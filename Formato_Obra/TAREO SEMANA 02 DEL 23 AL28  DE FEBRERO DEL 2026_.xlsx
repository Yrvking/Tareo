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Yrving\Tareo\Formato_Obra\"/>
    </mc:Choice>
  </mc:AlternateContent>
  <xr:revisionPtr revIDLastSave="0" documentId="13_ncr:1_{0A04FE11-D59B-4DBD-87AE-AAEA1732F2B2}" xr6:coauthVersionLast="47" xr6:coauthVersionMax="47" xr10:uidLastSave="{00000000-0000-0000-0000-000000000000}"/>
  <bookViews>
    <workbookView xWindow="-28920" yWindow="-705" windowWidth="29040" windowHeight="15720" tabRatio="803" firstSheet="3" activeTab="3" xr2:uid="{56F96625-E785-48A1-9431-51995202FE08}"/>
  </bookViews>
  <sheets>
    <sheet name="PRESUPUESTO DE OBRA" sheetId="10" r:id="rId1"/>
    <sheet name="TAREO SEMANAL" sheetId="1" r:id="rId2"/>
    <sheet name="Hoja1" sheetId="11" r:id="rId3"/>
    <sheet name="TAREO ACTIVIDADES TOTAL" sheetId="9" r:id="rId4"/>
    <sheet name="TAREO LUNES" sheetId="2" r:id="rId5"/>
    <sheet name="TAREO MARTES" sheetId="4" r:id="rId6"/>
    <sheet name="TAREO MIERCOLES" sheetId="5" r:id="rId7"/>
    <sheet name="TAREO JUEVES" sheetId="6" r:id="rId8"/>
    <sheet name="TAREO VIERNES" sheetId="7" r:id="rId9"/>
    <sheet name="TAREO SABADO" sheetId="8" r:id="rId10"/>
    <sheet name="SEM_2" sheetId="12" r:id="rId11"/>
  </sheets>
  <definedNames>
    <definedName name="_xlnm._FilterDatabase" localSheetId="0" hidden="1">'PRESUPUESTO DE OBRA'!$A$1:$M$2040</definedName>
    <definedName name="_xlnm._FilterDatabase" localSheetId="10" hidden="1">SEM_2!$B$3:$G$3</definedName>
    <definedName name="_xlnm._FilterDatabase" localSheetId="3" hidden="1">'TAREO ACTIVIDADES TOTAL'!$B$5:$E$77</definedName>
    <definedName name="_xlnm._FilterDatabase" localSheetId="9">'TAREO SABADO'!$B$5:$AJ$77</definedName>
    <definedName name="_xlnm.Print_Area" localSheetId="1">'TAREO SEMANAL'!$A$1:$W$66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0" i="12" l="1"/>
  <c r="C59" i="12"/>
  <c r="C58" i="12"/>
  <c r="C57" i="12"/>
  <c r="C56" i="12"/>
  <c r="C55" i="12"/>
  <c r="C54" i="12"/>
  <c r="C53" i="12"/>
  <c r="C52" i="12"/>
  <c r="C51" i="12"/>
  <c r="C50" i="12"/>
  <c r="C49" i="12"/>
  <c r="C48" i="12"/>
  <c r="C47" i="12"/>
  <c r="C46" i="12"/>
  <c r="C45" i="12"/>
  <c r="C44" i="12"/>
  <c r="C43" i="12"/>
  <c r="C38" i="12" l="1"/>
  <c r="C37" i="12"/>
  <c r="C36" i="12"/>
  <c r="C39" i="12"/>
  <c r="C40" i="12"/>
  <c r="C41" i="12"/>
  <c r="C42" i="12"/>
  <c r="C30" i="12"/>
  <c r="C31" i="12"/>
  <c r="C32" i="12"/>
  <c r="C33" i="12"/>
  <c r="C34" i="12"/>
  <c r="C35" i="12"/>
  <c r="C25" i="12"/>
  <c r="C23" i="12"/>
  <c r="C24" i="12"/>
  <c r="C26" i="12"/>
  <c r="C27" i="12"/>
  <c r="C28" i="12"/>
  <c r="C29" i="12"/>
  <c r="C18" i="12"/>
  <c r="C16" i="12"/>
  <c r="C17" i="12"/>
  <c r="C19" i="12"/>
  <c r="C20" i="12"/>
  <c r="C21" i="12"/>
  <c r="C22" i="12"/>
  <c r="C10" i="12"/>
  <c r="C11" i="12"/>
  <c r="C12" i="12"/>
  <c r="C13" i="12"/>
  <c r="C14" i="12"/>
  <c r="C15" i="12"/>
  <c r="C5" i="12"/>
  <c r="C6" i="12"/>
  <c r="C7" i="12"/>
  <c r="C8" i="12"/>
  <c r="C9" i="12"/>
  <c r="C4" i="12"/>
  <c r="U11" i="1"/>
  <c r="S11" i="1"/>
  <c r="T11"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12" i="1"/>
  <c r="R6" i="2"/>
  <c r="U6" i="2"/>
  <c r="V6" i="2"/>
  <c r="X6" i="2"/>
  <c r="Y6" i="2" s="1"/>
  <c r="Z6" i="2" s="1"/>
  <c r="AB6" i="2"/>
  <c r="AC6" i="2" s="1"/>
  <c r="AD6" i="2" s="1"/>
  <c r="AF6" i="2"/>
  <c r="AG6" i="2" s="1"/>
  <c r="C55" i="2"/>
  <c r="D55" i="2"/>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S42" i="1" l="1"/>
  <c r="V38" i="1"/>
  <c r="V27" i="1"/>
  <c r="V33" i="1"/>
  <c r="V39" i="1"/>
  <c r="V26" i="1"/>
  <c r="V24" i="1"/>
  <c r="V28" i="1"/>
  <c r="V35" i="1"/>
  <c r="V21" i="1"/>
  <c r="V40" i="1"/>
  <c r="V41" i="1"/>
  <c r="V30" i="1"/>
  <c r="V22" i="1"/>
  <c r="V23" i="1"/>
  <c r="V29" i="1"/>
  <c r="V32" i="1"/>
  <c r="V25" i="1"/>
  <c r="V31" i="1"/>
  <c r="V34" i="1"/>
  <c r="V37" i="1"/>
  <c r="V36" i="1"/>
  <c r="D76" i="8"/>
  <c r="C76" i="8"/>
  <c r="D75" i="8"/>
  <c r="C75" i="8"/>
  <c r="D74" i="8"/>
  <c r="C74" i="8"/>
  <c r="D73" i="8"/>
  <c r="C73" i="8"/>
  <c r="D72" i="8"/>
  <c r="C72" i="8"/>
  <c r="D71" i="8"/>
  <c r="C71"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D50"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C30" i="8"/>
  <c r="D29" i="8"/>
  <c r="C29" i="8"/>
  <c r="D28" i="8"/>
  <c r="C28" i="8"/>
  <c r="D27" i="8"/>
  <c r="C27" i="8"/>
  <c r="D26" i="8"/>
  <c r="C26" i="8"/>
  <c r="D25" i="8"/>
  <c r="C25" i="8"/>
  <c r="D24" i="8"/>
  <c r="C24" i="8"/>
  <c r="D23" i="8"/>
  <c r="C23" i="8"/>
  <c r="D22" i="8"/>
  <c r="C22" i="8"/>
  <c r="D21" i="8"/>
  <c r="C21" i="8"/>
  <c r="D20" i="8"/>
  <c r="C20" i="8"/>
  <c r="D19" i="8"/>
  <c r="C19" i="8"/>
  <c r="D18" i="8"/>
  <c r="C18" i="8"/>
  <c r="D17" i="8"/>
  <c r="C17" i="8"/>
  <c r="D16" i="8"/>
  <c r="C16" i="8"/>
  <c r="D15" i="8"/>
  <c r="C15" i="8"/>
  <c r="D14" i="8"/>
  <c r="C14" i="8"/>
  <c r="D13" i="8"/>
  <c r="C13" i="8"/>
  <c r="D12" i="8"/>
  <c r="C12" i="8"/>
  <c r="D11" i="8"/>
  <c r="C11" i="8"/>
  <c r="D10" i="8"/>
  <c r="C10" i="8"/>
  <c r="D9" i="8"/>
  <c r="C9" i="8"/>
  <c r="D8" i="8"/>
  <c r="D7" i="8"/>
  <c r="C7" i="8"/>
  <c r="D76" i="7"/>
  <c r="C76" i="7"/>
  <c r="D75" i="7"/>
  <c r="C75" i="7"/>
  <c r="D74" i="7"/>
  <c r="C74" i="7"/>
  <c r="D73" i="7"/>
  <c r="C73" i="7"/>
  <c r="D72" i="7"/>
  <c r="C72" i="7"/>
  <c r="D71" i="7"/>
  <c r="C71" i="7"/>
  <c r="D70" i="7"/>
  <c r="C70" i="7"/>
  <c r="D69" i="7"/>
  <c r="C69" i="7"/>
  <c r="D68" i="7"/>
  <c r="C68" i="7"/>
  <c r="D67" i="7"/>
  <c r="C67" i="7"/>
  <c r="D66" i="7"/>
  <c r="C66" i="7"/>
  <c r="D65" i="7"/>
  <c r="C65" i="7"/>
  <c r="D64" i="7"/>
  <c r="C64" i="7"/>
  <c r="D63" i="7"/>
  <c r="C63" i="7"/>
  <c r="D62" i="7"/>
  <c r="C62" i="7"/>
  <c r="D61" i="7"/>
  <c r="C61" i="7"/>
  <c r="D60" i="7"/>
  <c r="C60" i="7"/>
  <c r="D59" i="7"/>
  <c r="C59" i="7"/>
  <c r="D58" i="7"/>
  <c r="C58" i="7"/>
  <c r="D57" i="7"/>
  <c r="C57" i="7"/>
  <c r="D56" i="7"/>
  <c r="C56" i="7"/>
  <c r="D55" i="7"/>
  <c r="C55" i="7"/>
  <c r="D54" i="7"/>
  <c r="C54" i="7"/>
  <c r="D53" i="7"/>
  <c r="C53" i="7"/>
  <c r="D52" i="7"/>
  <c r="C52" i="7"/>
  <c r="D51" i="7"/>
  <c r="C51" i="7"/>
  <c r="D50" i="7"/>
  <c r="C50" i="7"/>
  <c r="D49" i="7"/>
  <c r="C49"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D32" i="7"/>
  <c r="C32" i="7"/>
  <c r="D31" i="7"/>
  <c r="C31" i="7"/>
  <c r="D30" i="7"/>
  <c r="C30" i="7"/>
  <c r="D29" i="7"/>
  <c r="C29" i="7"/>
  <c r="D28" i="7"/>
  <c r="C28" i="7"/>
  <c r="D27" i="7"/>
  <c r="C27" i="7"/>
  <c r="D26" i="7"/>
  <c r="C26" i="7"/>
  <c r="D25" i="7"/>
  <c r="C25" i="7"/>
  <c r="D24" i="7"/>
  <c r="C24" i="7"/>
  <c r="D23" i="7"/>
  <c r="C23" i="7"/>
  <c r="D22" i="7"/>
  <c r="C22" i="7"/>
  <c r="D21" i="7"/>
  <c r="C21" i="7"/>
  <c r="D20" i="7"/>
  <c r="C20" i="7"/>
  <c r="D19" i="7"/>
  <c r="C19" i="7"/>
  <c r="D18" i="7"/>
  <c r="C18" i="7"/>
  <c r="D17" i="7"/>
  <c r="C17" i="7"/>
  <c r="D16" i="7"/>
  <c r="C16" i="7"/>
  <c r="D15" i="7"/>
  <c r="C15" i="7"/>
  <c r="D14" i="7"/>
  <c r="C14" i="7"/>
  <c r="D13" i="7"/>
  <c r="C13" i="7"/>
  <c r="D12" i="7"/>
  <c r="C12" i="7"/>
  <c r="D11" i="7"/>
  <c r="C11" i="7"/>
  <c r="D10" i="7"/>
  <c r="C10" i="7"/>
  <c r="D9" i="7"/>
  <c r="C9" i="7"/>
  <c r="D8" i="7"/>
  <c r="C8" i="7"/>
  <c r="D7" i="7"/>
  <c r="C7" i="7"/>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D76" i="5"/>
  <c r="C76" i="5"/>
  <c r="D75" i="5"/>
  <c r="C75" i="5"/>
  <c r="D74" i="5"/>
  <c r="C74" i="5"/>
  <c r="D73" i="5"/>
  <c r="C73" i="5"/>
  <c r="D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C7" i="4"/>
  <c r="G6" i="2"/>
  <c r="H6" i="2" s="1"/>
  <c r="C72" i="2"/>
  <c r="D72" i="2"/>
  <c r="C73" i="2"/>
  <c r="D73" i="2"/>
  <c r="C74" i="2"/>
  <c r="D74" i="2"/>
  <c r="C75" i="2"/>
  <c r="D75" i="2"/>
  <c r="L4" i="1"/>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6" i="2"/>
  <c r="D76" i="2"/>
  <c r="AM77" i="6"/>
  <c r="AD77" i="6"/>
  <c r="AC77" i="6"/>
  <c r="X77" i="6"/>
  <c r="O77" i="6"/>
  <c r="N77" i="6"/>
  <c r="M77" i="6"/>
  <c r="L77" i="6"/>
  <c r="K77" i="6"/>
  <c r="J77" i="6"/>
  <c r="I77" i="6"/>
  <c r="H77" i="6"/>
  <c r="G77" i="6"/>
  <c r="F77" i="6"/>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F5" i="8"/>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AJ5" i="4"/>
  <c r="AI5" i="4"/>
  <c r="AH5" i="4"/>
  <c r="AG5" i="4"/>
  <c r="AF5" i="4"/>
  <c r="AE5" i="4"/>
  <c r="AC5" i="4"/>
  <c r="AB5" i="4"/>
  <c r="AA5" i="4"/>
  <c r="Z5" i="4"/>
  <c r="Y5" i="4"/>
  <c r="X5" i="4"/>
  <c r="W5" i="4"/>
  <c r="V5" i="4"/>
  <c r="U5" i="4"/>
  <c r="T5" i="4"/>
  <c r="S5" i="4"/>
  <c r="R5" i="4"/>
  <c r="Q5" i="4"/>
  <c r="P5" i="4"/>
  <c r="O5" i="4"/>
  <c r="N5" i="4"/>
  <c r="M5" i="4"/>
  <c r="L5" i="4"/>
  <c r="K5" i="4"/>
  <c r="J5" i="4"/>
  <c r="I5" i="4"/>
  <c r="H5" i="4"/>
  <c r="G5" i="4"/>
  <c r="F5" i="4"/>
  <c r="M5" i="2"/>
  <c r="N77" i="5"/>
  <c r="AH6" i="2" l="1"/>
  <c r="AI6" i="2" s="1"/>
  <c r="AJ6" i="2" s="1"/>
  <c r="I6" i="2"/>
  <c r="J6" i="2" s="1"/>
  <c r="K6" i="2" s="1"/>
  <c r="L6" i="2" s="1"/>
  <c r="M6" i="2" s="1"/>
  <c r="N6" i="2" s="1"/>
  <c r="O6" i="2" s="1"/>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AI77" i="7"/>
  <c r="AH77" i="7"/>
  <c r="AG77" i="7"/>
  <c r="AF77" i="7"/>
  <c r="AE77" i="7"/>
  <c r="AD77" i="7"/>
  <c r="AC77" i="7"/>
  <c r="AB77" i="7"/>
  <c r="AA77" i="7"/>
  <c r="Z77" i="7"/>
  <c r="Y77" i="7"/>
  <c r="X77" i="7"/>
  <c r="W77" i="7"/>
  <c r="V77" i="7"/>
  <c r="U77" i="7"/>
  <c r="T77" i="7"/>
  <c r="S77" i="7"/>
  <c r="R77" i="7"/>
  <c r="Q77" i="7"/>
  <c r="P77" i="7"/>
  <c r="O77" i="7"/>
  <c r="N77" i="7"/>
  <c r="M77" i="7"/>
  <c r="L77" i="7"/>
  <c r="K77" i="7"/>
  <c r="J77" i="7"/>
  <c r="I77" i="7"/>
  <c r="H77" i="7"/>
  <c r="G77" i="7"/>
  <c r="F77" i="7"/>
  <c r="AI77" i="5"/>
  <c r="AH77" i="5"/>
  <c r="M77" i="5"/>
  <c r="L77" i="5"/>
  <c r="K77" i="5"/>
  <c r="J77" i="5"/>
  <c r="I77" i="5"/>
  <c r="H77" i="5"/>
  <c r="G77" i="5"/>
  <c r="F77" i="5"/>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76" i="8"/>
  <c r="AJ5" i="2"/>
  <c r="AI5" i="2"/>
  <c r="AH5" i="2"/>
  <c r="AG5" i="2"/>
  <c r="AF5" i="2"/>
  <c r="AE5" i="2"/>
  <c r="AD5" i="2"/>
  <c r="AC5" i="2"/>
  <c r="AB5" i="2"/>
  <c r="AA5" i="2"/>
  <c r="Z5" i="2"/>
  <c r="Y5" i="2"/>
  <c r="W5" i="2"/>
  <c r="X5"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W33" i="1" l="1"/>
  <c r="W34" i="1"/>
  <c r="W39" i="1"/>
  <c r="W40" i="1"/>
  <c r="W41" i="1"/>
  <c r="W30" i="1"/>
  <c r="W35" i="1"/>
  <c r="W28" i="1"/>
  <c r="W32" i="1"/>
  <c r="W36" i="1"/>
  <c r="W31" i="1"/>
  <c r="W38" i="1"/>
  <c r="W29" i="1"/>
  <c r="W37" i="1"/>
  <c r="AK77" i="8"/>
  <c r="E77" i="8"/>
  <c r="AK77" i="4"/>
  <c r="E77" i="7"/>
  <c r="E77" i="2"/>
  <c r="T5" i="2"/>
  <c r="S5" i="2"/>
  <c r="U5" i="2"/>
  <c r="C4" i="9"/>
  <c r="L2039" i="10" l="1"/>
  <c r="M2039" i="10" s="1"/>
  <c r="L2038" i="10"/>
  <c r="M2038" i="10" s="1"/>
  <c r="L2037" i="10"/>
  <c r="M2037" i="10" s="1"/>
  <c r="L2036" i="10"/>
  <c r="M2036" i="10" s="1"/>
  <c r="L2035" i="10"/>
  <c r="M2035" i="10" s="1"/>
  <c r="L2034" i="10"/>
  <c r="M2034" i="10" s="1"/>
  <c r="L2033" i="10"/>
  <c r="M2033" i="10" s="1"/>
  <c r="L2032" i="10"/>
  <c r="M2032" i="10" s="1"/>
  <c r="L2030" i="10"/>
  <c r="M2030" i="10" s="1"/>
  <c r="L2029" i="10"/>
  <c r="M2029" i="10" s="1"/>
  <c r="L2028" i="10"/>
  <c r="M2028" i="10" s="1"/>
  <c r="L2027" i="10"/>
  <c r="M2027" i="10" s="1"/>
  <c r="L2026" i="10"/>
  <c r="M2026" i="10" s="1"/>
  <c r="L2025" i="10"/>
  <c r="M2025" i="10" s="1"/>
  <c r="L2024" i="10"/>
  <c r="M2024" i="10" s="1"/>
  <c r="L2023" i="10"/>
  <c r="M2023" i="10" s="1"/>
  <c r="L2021" i="10"/>
  <c r="M2021" i="10" s="1"/>
  <c r="L2020" i="10"/>
  <c r="M2020" i="10" s="1"/>
  <c r="L2019" i="10"/>
  <c r="M2019" i="10" s="1"/>
  <c r="L2018" i="10"/>
  <c r="M2018" i="10" s="1"/>
  <c r="L2017" i="10"/>
  <c r="M2017" i="10" s="1"/>
  <c r="L2016" i="10"/>
  <c r="M2016" i="10" s="1"/>
  <c r="L2015" i="10"/>
  <c r="M2015" i="10" s="1"/>
  <c r="L2013" i="10"/>
  <c r="M2013" i="10" s="1"/>
  <c r="L2012" i="10"/>
  <c r="M2012" i="10" s="1"/>
  <c r="L2011" i="10"/>
  <c r="M2011" i="10" s="1"/>
  <c r="L2010" i="10"/>
  <c r="M2010" i="10" s="1"/>
  <c r="L2009" i="10"/>
  <c r="M2009" i="10" s="1"/>
  <c r="L2008" i="10"/>
  <c r="M2008" i="10" s="1"/>
  <c r="L2007" i="10"/>
  <c r="M2007" i="10" s="1"/>
  <c r="L2006" i="10"/>
  <c r="M2006" i="10" s="1"/>
  <c r="L2005" i="10"/>
  <c r="M2005" i="10" s="1"/>
  <c r="L2003" i="10"/>
  <c r="M2003" i="10" s="1"/>
  <c r="K2000" i="10"/>
  <c r="L2000" i="10" s="1"/>
  <c r="M2000" i="10" s="1"/>
  <c r="M1999" i="10" s="1"/>
  <c r="L1998" i="10"/>
  <c r="M1998" i="10" s="1"/>
  <c r="L1997" i="10"/>
  <c r="M1997" i="10" s="1"/>
  <c r="K1995" i="10"/>
  <c r="L1995" i="10" s="1"/>
  <c r="M1995" i="10" s="1"/>
  <c r="L1992" i="10"/>
  <c r="M1992" i="10" s="1"/>
  <c r="L1991" i="10"/>
  <c r="M1991" i="10" s="1"/>
  <c r="L1990" i="10"/>
  <c r="M1990" i="10" s="1"/>
  <c r="L1989" i="10"/>
  <c r="M1989" i="10" s="1"/>
  <c r="L1988" i="10"/>
  <c r="M1988" i="10" s="1"/>
  <c r="L1987" i="10"/>
  <c r="M1987" i="10" s="1"/>
  <c r="L1985" i="10"/>
  <c r="M1985" i="10" s="1"/>
  <c r="L1984" i="10"/>
  <c r="M1984" i="10" s="1"/>
  <c r="L1983" i="10"/>
  <c r="M1983" i="10" s="1"/>
  <c r="L1979" i="10"/>
  <c r="M1979" i="10" s="1"/>
  <c r="L1978" i="10"/>
  <c r="M1978" i="10" s="1"/>
  <c r="L1977" i="10"/>
  <c r="M1977" i="10" s="1"/>
  <c r="L1976" i="10"/>
  <c r="M1976" i="10" s="1"/>
  <c r="L1975" i="10"/>
  <c r="M1975" i="10" s="1"/>
  <c r="L1974" i="10"/>
  <c r="M1974" i="10" s="1"/>
  <c r="L1973" i="10"/>
  <c r="M1973" i="10" s="1"/>
  <c r="L1972" i="10"/>
  <c r="M1972" i="10" s="1"/>
  <c r="L1971" i="10"/>
  <c r="M1971" i="10" s="1"/>
  <c r="L1969" i="10"/>
  <c r="M1969" i="10" s="1"/>
  <c r="L1968" i="10"/>
  <c r="M1968" i="10" s="1"/>
  <c r="L1967" i="10"/>
  <c r="M1967" i="10" s="1"/>
  <c r="L1966" i="10"/>
  <c r="M1966" i="10" s="1"/>
  <c r="L1962" i="10"/>
  <c r="M1962" i="10" s="1"/>
  <c r="L1961" i="10"/>
  <c r="M1961" i="10" s="1"/>
  <c r="L1960" i="10"/>
  <c r="M1960" i="10" s="1"/>
  <c r="L1959" i="10"/>
  <c r="M1959" i="10" s="1"/>
  <c r="L1958" i="10"/>
  <c r="M1958" i="10" s="1"/>
  <c r="L1957" i="10"/>
  <c r="M1957" i="10" s="1"/>
  <c r="L1956" i="10"/>
  <c r="M1956" i="10" s="1"/>
  <c r="L1955" i="10"/>
  <c r="M1955" i="10" s="1"/>
  <c r="L1954" i="10"/>
  <c r="M1954" i="10" s="1"/>
  <c r="L1953" i="10"/>
  <c r="M1953" i="10" s="1"/>
  <c r="L1952" i="10"/>
  <c r="M1952" i="10" s="1"/>
  <c r="L1951" i="10"/>
  <c r="M1951" i="10" s="1"/>
  <c r="L1950" i="10"/>
  <c r="M1950" i="10" s="1"/>
  <c r="L1949" i="10"/>
  <c r="M1949" i="10" s="1"/>
  <c r="L1948" i="10"/>
  <c r="M1948" i="10" s="1"/>
  <c r="L1946" i="10"/>
  <c r="M1946" i="10" s="1"/>
  <c r="L1945" i="10"/>
  <c r="M1945" i="10" s="1"/>
  <c r="L1944" i="10"/>
  <c r="M1944" i="10" s="1"/>
  <c r="L1943" i="10"/>
  <c r="M1943" i="10" s="1"/>
  <c r="L1942" i="10"/>
  <c r="M1942" i="10" s="1"/>
  <c r="L1941" i="10"/>
  <c r="M1941" i="10" s="1"/>
  <c r="L1940" i="10"/>
  <c r="M1940" i="10" s="1"/>
  <c r="L1936" i="10"/>
  <c r="M1936" i="10" s="1"/>
  <c r="L1935" i="10"/>
  <c r="M1935" i="10" s="1"/>
  <c r="L1934" i="10"/>
  <c r="M1934" i="10" s="1"/>
  <c r="L1933" i="10"/>
  <c r="M1933" i="10" s="1"/>
  <c r="L1932" i="10"/>
  <c r="M1932" i="10" s="1"/>
  <c r="L1931" i="10"/>
  <c r="M1931" i="10" s="1"/>
  <c r="L1930" i="10"/>
  <c r="M1930" i="10" s="1"/>
  <c r="L1929" i="10"/>
  <c r="M1929" i="10" s="1"/>
  <c r="L1928" i="10"/>
  <c r="M1928" i="10" s="1"/>
  <c r="L1927" i="10"/>
  <c r="M1927" i="10" s="1"/>
  <c r="L1925" i="10"/>
  <c r="M1925" i="10" s="1"/>
  <c r="L1924" i="10"/>
  <c r="M1924" i="10" s="1"/>
  <c r="L1923" i="10"/>
  <c r="M1923" i="10" s="1"/>
  <c r="L1922" i="10"/>
  <c r="M1922" i="10" s="1"/>
  <c r="L1918" i="10"/>
  <c r="M1918" i="10" s="1"/>
  <c r="M1917" i="10" s="1"/>
  <c r="L1916" i="10"/>
  <c r="M1916" i="10" s="1"/>
  <c r="L1915" i="10"/>
  <c r="M1915" i="10" s="1"/>
  <c r="L1911" i="10"/>
  <c r="M1911" i="10" s="1"/>
  <c r="L1910" i="10"/>
  <c r="M1910" i="10" s="1"/>
  <c r="L1909" i="10"/>
  <c r="M1909" i="10" s="1"/>
  <c r="L1908" i="10"/>
  <c r="M1908" i="10" s="1"/>
  <c r="L1907" i="10"/>
  <c r="M1907" i="10" s="1"/>
  <c r="L1906" i="10"/>
  <c r="M1906" i="10" s="1"/>
  <c r="L1905" i="10"/>
  <c r="M1905" i="10" s="1"/>
  <c r="L1904" i="10"/>
  <c r="M1904" i="10" s="1"/>
  <c r="L1902" i="10"/>
  <c r="M1902" i="10" s="1"/>
  <c r="L1901" i="10"/>
  <c r="M1901" i="10" s="1"/>
  <c r="L1897" i="10"/>
  <c r="M1897" i="10" s="1"/>
  <c r="L1896" i="10"/>
  <c r="M1896" i="10" s="1"/>
  <c r="L1895" i="10"/>
  <c r="M1895" i="10" s="1"/>
  <c r="L1894" i="10"/>
  <c r="M1894" i="10" s="1"/>
  <c r="L1893" i="10"/>
  <c r="M1893" i="10" s="1"/>
  <c r="L1892" i="10"/>
  <c r="M1892" i="10" s="1"/>
  <c r="L1891" i="10"/>
  <c r="M1891" i="10" s="1"/>
  <c r="L1890" i="10"/>
  <c r="M1890" i="10" s="1"/>
  <c r="L1889" i="10"/>
  <c r="M1889" i="10" s="1"/>
  <c r="L1888" i="10"/>
  <c r="M1888" i="10" s="1"/>
  <c r="L1887" i="10"/>
  <c r="M1887" i="10" s="1"/>
  <c r="L1886" i="10"/>
  <c r="M1886" i="10" s="1"/>
  <c r="L1885" i="10"/>
  <c r="M1885" i="10" s="1"/>
  <c r="L1884" i="10"/>
  <c r="M1884" i="10" s="1"/>
  <c r="L1883" i="10"/>
  <c r="M1883" i="10" s="1"/>
  <c r="L1882" i="10"/>
  <c r="M1882" i="10" s="1"/>
  <c r="L1880" i="10"/>
  <c r="M1880" i="10" s="1"/>
  <c r="L1879" i="10"/>
  <c r="M1879" i="10" s="1"/>
  <c r="L1878" i="10"/>
  <c r="M1878" i="10" s="1"/>
  <c r="L1877" i="10"/>
  <c r="M1877" i="10" s="1"/>
  <c r="L1873" i="10"/>
  <c r="M1873" i="10" s="1"/>
  <c r="L1872" i="10"/>
  <c r="M1872" i="10" s="1"/>
  <c r="L1871" i="10"/>
  <c r="M1871" i="10" s="1"/>
  <c r="L1870" i="10"/>
  <c r="M1870" i="10" s="1"/>
  <c r="L1869" i="10"/>
  <c r="M1869" i="10" s="1"/>
  <c r="L1868" i="10"/>
  <c r="M1868" i="10" s="1"/>
  <c r="L1867" i="10"/>
  <c r="M1867" i="10" s="1"/>
  <c r="L1866" i="10"/>
  <c r="M1866" i="10" s="1"/>
  <c r="L1865" i="10"/>
  <c r="M1865" i="10" s="1"/>
  <c r="L1864" i="10"/>
  <c r="M1864" i="10" s="1"/>
  <c r="L1862" i="10"/>
  <c r="M1862" i="10" s="1"/>
  <c r="L1861" i="10"/>
  <c r="M1861" i="10" s="1"/>
  <c r="L1860" i="10"/>
  <c r="M1860" i="10" s="1"/>
  <c r="L1859" i="10"/>
  <c r="M1859" i="10" s="1"/>
  <c r="L1858" i="10"/>
  <c r="M1858" i="10" s="1"/>
  <c r="L1857" i="10"/>
  <c r="M1857" i="10" s="1"/>
  <c r="L1853" i="10"/>
  <c r="M1853" i="10" s="1"/>
  <c r="L1852" i="10"/>
  <c r="M1852" i="10" s="1"/>
  <c r="L1851" i="10"/>
  <c r="M1851" i="10" s="1"/>
  <c r="L1850" i="10"/>
  <c r="M1850" i="10" s="1"/>
  <c r="L1849" i="10"/>
  <c r="M1849" i="10" s="1"/>
  <c r="L1848" i="10"/>
  <c r="M1848" i="10" s="1"/>
  <c r="L1847" i="10"/>
  <c r="M1847" i="10" s="1"/>
  <c r="L1846" i="10"/>
  <c r="M1846" i="10" s="1"/>
  <c r="L1845" i="10"/>
  <c r="M1845" i="10" s="1"/>
  <c r="L1843" i="10"/>
  <c r="M1843" i="10" s="1"/>
  <c r="L1842" i="10"/>
  <c r="M1842" i="10" s="1"/>
  <c r="L1841" i="10"/>
  <c r="M1841" i="10" s="1"/>
  <c r="L1840" i="10"/>
  <c r="M1840" i="10" s="1"/>
  <c r="L1839" i="10"/>
  <c r="M1839" i="10" s="1"/>
  <c r="L1838" i="10"/>
  <c r="M1838" i="10" s="1"/>
  <c r="L1837" i="10"/>
  <c r="M1837" i="10" s="1"/>
  <c r="L1832" i="10"/>
  <c r="M1832" i="10" s="1"/>
  <c r="L1831" i="10"/>
  <c r="M1831" i="10" s="1"/>
  <c r="L1829" i="10"/>
  <c r="M1829" i="10" s="1"/>
  <c r="L1828" i="10"/>
  <c r="M1828" i="10" s="1"/>
  <c r="L1827" i="10"/>
  <c r="M1827" i="10" s="1"/>
  <c r="L1825" i="10"/>
  <c r="M1825" i="10" s="1"/>
  <c r="L1824" i="10"/>
  <c r="M1824" i="10" s="1"/>
  <c r="L1821" i="10"/>
  <c r="M1821" i="10" s="1"/>
  <c r="L1820" i="10"/>
  <c r="M1820" i="10" s="1"/>
  <c r="L1819" i="10"/>
  <c r="M1819" i="10" s="1"/>
  <c r="L1818" i="10"/>
  <c r="M1818" i="10" s="1"/>
  <c r="L1817" i="10"/>
  <c r="M1817" i="10" s="1"/>
  <c r="L1816" i="10"/>
  <c r="M1816" i="10" s="1"/>
  <c r="L1812" i="10"/>
  <c r="M1812" i="10" s="1"/>
  <c r="L1811" i="10"/>
  <c r="M1811" i="10" s="1"/>
  <c r="L1810" i="10"/>
  <c r="M1810" i="10" s="1"/>
  <c r="L1809" i="10"/>
  <c r="M1809" i="10" s="1"/>
  <c r="L1806" i="10"/>
  <c r="M1806" i="10" s="1"/>
  <c r="L1805" i="10"/>
  <c r="M1805" i="10" s="1"/>
  <c r="L1804" i="10"/>
  <c r="M1804" i="10" s="1"/>
  <c r="L1803" i="10"/>
  <c r="M1803" i="10" s="1"/>
  <c r="L1798" i="10"/>
  <c r="M1798" i="10" s="1"/>
  <c r="L1797" i="10"/>
  <c r="M1797" i="10" s="1"/>
  <c r="L1796" i="10"/>
  <c r="M1796" i="10" s="1"/>
  <c r="L1795" i="10"/>
  <c r="M1795" i="10" s="1"/>
  <c r="L1794" i="10"/>
  <c r="M1794" i="10" s="1"/>
  <c r="L1793" i="10"/>
  <c r="M1793" i="10" s="1"/>
  <c r="L1791" i="10"/>
  <c r="M1791" i="10" s="1"/>
  <c r="L1790" i="10"/>
  <c r="M1790" i="10" s="1"/>
  <c r="L1786" i="10"/>
  <c r="M1786" i="10" s="1"/>
  <c r="M1785" i="10" s="1"/>
  <c r="L1784" i="10"/>
  <c r="M1784" i="10" s="1"/>
  <c r="L1783" i="10"/>
  <c r="M1783" i="10" s="1"/>
  <c r="L1782" i="10"/>
  <c r="M1782" i="10" s="1"/>
  <c r="L1781" i="10"/>
  <c r="M1781" i="10" s="1"/>
  <c r="L1780" i="10"/>
  <c r="M1780" i="10" s="1"/>
  <c r="L1779" i="10"/>
  <c r="M1779" i="10" s="1"/>
  <c r="L1778" i="10"/>
  <c r="M1778" i="10" s="1"/>
  <c r="L1777" i="10"/>
  <c r="M1777" i="10" s="1"/>
  <c r="L1776" i="10"/>
  <c r="M1776" i="10" s="1"/>
  <c r="L1775" i="10"/>
  <c r="M1775" i="10" s="1"/>
  <c r="L1774" i="10"/>
  <c r="M1774" i="10" s="1"/>
  <c r="L1773" i="10"/>
  <c r="M1773" i="10" s="1"/>
  <c r="L1772" i="10"/>
  <c r="G1772" i="10"/>
  <c r="L1770" i="10"/>
  <c r="M1770" i="10" s="1"/>
  <c r="L1769" i="10"/>
  <c r="M1769" i="10" s="1"/>
  <c r="L1767" i="10"/>
  <c r="M1767" i="10" s="1"/>
  <c r="L1766" i="10"/>
  <c r="M1766" i="10" s="1"/>
  <c r="L1765" i="10"/>
  <c r="M1765" i="10" s="1"/>
  <c r="L1764" i="10"/>
  <c r="M1764" i="10" s="1"/>
  <c r="L1763" i="10"/>
  <c r="M1763" i="10" s="1"/>
  <c r="L1762" i="10"/>
  <c r="M1762" i="10" s="1"/>
  <c r="L1761" i="10"/>
  <c r="M1761" i="10" s="1"/>
  <c r="L1760" i="10"/>
  <c r="M1760" i="10" s="1"/>
  <c r="L1758" i="10"/>
  <c r="M1758" i="10" s="1"/>
  <c r="L1757" i="10"/>
  <c r="M1757" i="10" s="1"/>
  <c r="L1756" i="10"/>
  <c r="M1756" i="10" s="1"/>
  <c r="L1755" i="10"/>
  <c r="M1755" i="10" s="1"/>
  <c r="L1754" i="10"/>
  <c r="M1754" i="10" s="1"/>
  <c r="L1752" i="10"/>
  <c r="M1752" i="10" s="1"/>
  <c r="L1751" i="10"/>
  <c r="M1751" i="10" s="1"/>
  <c r="L1750" i="10"/>
  <c r="M1750" i="10" s="1"/>
  <c r="L1749" i="10"/>
  <c r="M1749" i="10" s="1"/>
  <c r="L1748" i="10"/>
  <c r="M1748" i="10" s="1"/>
  <c r="L1744" i="10"/>
  <c r="M1744" i="10" s="1"/>
  <c r="M1743" i="10" s="1"/>
  <c r="L1742" i="10"/>
  <c r="M1742" i="10" s="1"/>
  <c r="L1741" i="10"/>
  <c r="M1741" i="10" s="1"/>
  <c r="L1739" i="10"/>
  <c r="M1739" i="10" s="1"/>
  <c r="L1738" i="10"/>
  <c r="M1738" i="10" s="1"/>
  <c r="L1736" i="10"/>
  <c r="M1736" i="10" s="1"/>
  <c r="L1735" i="10"/>
  <c r="M1735" i="10" s="1"/>
  <c r="L1731" i="10"/>
  <c r="M1731" i="10" s="1"/>
  <c r="M1730" i="10" s="1"/>
  <c r="L1729" i="10"/>
  <c r="M1729" i="10" s="1"/>
  <c r="L1727" i="10"/>
  <c r="M1727" i="10" s="1"/>
  <c r="L1726" i="10"/>
  <c r="M1726" i="10" s="1"/>
  <c r="L1725" i="10"/>
  <c r="M1725" i="10" s="1"/>
  <c r="L1724" i="10"/>
  <c r="M1724" i="10" s="1"/>
  <c r="L1723" i="10"/>
  <c r="M1723" i="10" s="1"/>
  <c r="L1722" i="10"/>
  <c r="M1722" i="10" s="1"/>
  <c r="L1720" i="10"/>
  <c r="M1720" i="10" s="1"/>
  <c r="L1719" i="10"/>
  <c r="M1719" i="10" s="1"/>
  <c r="L1718" i="10"/>
  <c r="M1718" i="10" s="1"/>
  <c r="L1717" i="10"/>
  <c r="M1717" i="10" s="1"/>
  <c r="L1716" i="10"/>
  <c r="M1716" i="10" s="1"/>
  <c r="L1715" i="10"/>
  <c r="M1715" i="10" s="1"/>
  <c r="L1714" i="10"/>
  <c r="M1714" i="10" s="1"/>
  <c r="L1713" i="10"/>
  <c r="M1713" i="10" s="1"/>
  <c r="L1712" i="10"/>
  <c r="M1712" i="10" s="1"/>
  <c r="L1710" i="10"/>
  <c r="M1710" i="10" s="1"/>
  <c r="L1709" i="10"/>
  <c r="M1709" i="10" s="1"/>
  <c r="L1708" i="10"/>
  <c r="M1708" i="10" s="1"/>
  <c r="L1707" i="10"/>
  <c r="M1707" i="10" s="1"/>
  <c r="L1706" i="10"/>
  <c r="M1706" i="10" s="1"/>
  <c r="L1705" i="10"/>
  <c r="M1705" i="10" s="1"/>
  <c r="L1703" i="10"/>
  <c r="M1703" i="10" s="1"/>
  <c r="L1702" i="10"/>
  <c r="M1702" i="10" s="1"/>
  <c r="L1701" i="10"/>
  <c r="M1701" i="10" s="1"/>
  <c r="L1694" i="10"/>
  <c r="M1694" i="10" s="1"/>
  <c r="L1693" i="10"/>
  <c r="M1693" i="10" s="1"/>
  <c r="L1692" i="10"/>
  <c r="M1692" i="10" s="1"/>
  <c r="L1690" i="10"/>
  <c r="M1690" i="10" s="1"/>
  <c r="M1689" i="10" s="1"/>
  <c r="L1688" i="10"/>
  <c r="M1688" i="10" s="1"/>
  <c r="M1687" i="10" s="1"/>
  <c r="L1686" i="10"/>
  <c r="M1686" i="10" s="1"/>
  <c r="L1684" i="10"/>
  <c r="M1684" i="10" s="1"/>
  <c r="M1683" i="10" s="1"/>
  <c r="L1682" i="10"/>
  <c r="M1682" i="10" s="1"/>
  <c r="L1680" i="10"/>
  <c r="M1680" i="10" s="1"/>
  <c r="L1679" i="10"/>
  <c r="M1679" i="10" s="1"/>
  <c r="L1678" i="10"/>
  <c r="M1678" i="10" s="1"/>
  <c r="L1677" i="10"/>
  <c r="M1677" i="10" s="1"/>
  <c r="L1676" i="10"/>
  <c r="M1676" i="10" s="1"/>
  <c r="L1675" i="10"/>
  <c r="M1675" i="10" s="1"/>
  <c r="L1674" i="10"/>
  <c r="M1674" i="10" s="1"/>
  <c r="L1672" i="10"/>
  <c r="M1672" i="10" s="1"/>
  <c r="L1671" i="10"/>
  <c r="M1671" i="10" s="1"/>
  <c r="L1670" i="10"/>
  <c r="M1670" i="10" s="1"/>
  <c r="L1669" i="10"/>
  <c r="M1669" i="10" s="1"/>
  <c r="L1668" i="10"/>
  <c r="M1668" i="10" s="1"/>
  <c r="L1667" i="10"/>
  <c r="M1667" i="10" s="1"/>
  <c r="L1666" i="10"/>
  <c r="M1666" i="10" s="1"/>
  <c r="L1664" i="10"/>
  <c r="M1664" i="10" s="1"/>
  <c r="L1663" i="10"/>
  <c r="M1663" i="10" s="1"/>
  <c r="L1662" i="10"/>
  <c r="M1662" i="10" s="1"/>
  <c r="L1661" i="10"/>
  <c r="M1661" i="10" s="1"/>
  <c r="L1660" i="10"/>
  <c r="M1660" i="10" s="1"/>
  <c r="L1659" i="10"/>
  <c r="M1659" i="10" s="1"/>
  <c r="L1658" i="10"/>
  <c r="M1658" i="10" s="1"/>
  <c r="L1657" i="10"/>
  <c r="M1657" i="10" s="1"/>
  <c r="L1656" i="10"/>
  <c r="M1656" i="10" s="1"/>
  <c r="L1655" i="10"/>
  <c r="M1655" i="10" s="1"/>
  <c r="L1654" i="10"/>
  <c r="M1654" i="10" s="1"/>
  <c r="L1653" i="10"/>
  <c r="M1653" i="10" s="1"/>
  <c r="L1652" i="10"/>
  <c r="M1652" i="10" s="1"/>
  <c r="L1651" i="10"/>
  <c r="M1651" i="10" s="1"/>
  <c r="L1650" i="10"/>
  <c r="M1650" i="10" s="1"/>
  <c r="L1646" i="10"/>
  <c r="M1646" i="10" s="1"/>
  <c r="L1645" i="10"/>
  <c r="M1645" i="10" s="1"/>
  <c r="L1644" i="10"/>
  <c r="M1644" i="10" s="1"/>
  <c r="L1642" i="10"/>
  <c r="M1642" i="10" s="1"/>
  <c r="L1641" i="10"/>
  <c r="M1641" i="10" s="1"/>
  <c r="L1640" i="10"/>
  <c r="M1640" i="10" s="1"/>
  <c r="L1639" i="10"/>
  <c r="M1639" i="10" s="1"/>
  <c r="G1625" i="10"/>
  <c r="L1624" i="10"/>
  <c r="M1624" i="10" s="1"/>
  <c r="L1623" i="10"/>
  <c r="M1623" i="10" s="1"/>
  <c r="L1622" i="10"/>
  <c r="M1622" i="10" s="1"/>
  <c r="L1621" i="10"/>
  <c r="M1621" i="10" s="1"/>
  <c r="L1620" i="10"/>
  <c r="M1620" i="10" s="1"/>
  <c r="L1619" i="10"/>
  <c r="M1619" i="10" s="1"/>
  <c r="L1618" i="10"/>
  <c r="M1618" i="10" s="1"/>
  <c r="L1617" i="10"/>
  <c r="M1617" i="10" s="1"/>
  <c r="G1616" i="10"/>
  <c r="L1613" i="10"/>
  <c r="M1613" i="10" s="1"/>
  <c r="L1612" i="10"/>
  <c r="M1612" i="10" s="1"/>
  <c r="L1611" i="10"/>
  <c r="M1611" i="10" s="1"/>
  <c r="L1610" i="10"/>
  <c r="M1610" i="10" s="1"/>
  <c r="L1609" i="10"/>
  <c r="M1609" i="10" s="1"/>
  <c r="L1608" i="10"/>
  <c r="M1608" i="10" s="1"/>
  <c r="L1607" i="10"/>
  <c r="M1607" i="10" s="1"/>
  <c r="L1606" i="10"/>
  <c r="M1606" i="10" s="1"/>
  <c r="L1605" i="10"/>
  <c r="M1605" i="10" s="1"/>
  <c r="L1604" i="10"/>
  <c r="M1604" i="10" s="1"/>
  <c r="L1603" i="10"/>
  <c r="M1603" i="10" s="1"/>
  <c r="L1601" i="10"/>
  <c r="M1601" i="10" s="1"/>
  <c r="L1600" i="10"/>
  <c r="M1600" i="10" s="1"/>
  <c r="L1599" i="10"/>
  <c r="M1599" i="10" s="1"/>
  <c r="L1598" i="10"/>
  <c r="M1598" i="10" s="1"/>
  <c r="L1597" i="10"/>
  <c r="M1597" i="10" s="1"/>
  <c r="L1596" i="10"/>
  <c r="M1596" i="10" s="1"/>
  <c r="L1595" i="10"/>
  <c r="M1595" i="10" s="1"/>
  <c r="L1594" i="10"/>
  <c r="M1594" i="10" s="1"/>
  <c r="L1593" i="10"/>
  <c r="M1593" i="10" s="1"/>
  <c r="L1592" i="10"/>
  <c r="M1592" i="10" s="1"/>
  <c r="L1591" i="10"/>
  <c r="M1591" i="10" s="1"/>
  <c r="L1590" i="10"/>
  <c r="M1590" i="10" s="1"/>
  <c r="L1589" i="10"/>
  <c r="M1589" i="10" s="1"/>
  <c r="L1588" i="10"/>
  <c r="M1588" i="10" s="1"/>
  <c r="L1587" i="10"/>
  <c r="M1587" i="10" s="1"/>
  <c r="L1586" i="10"/>
  <c r="M1586" i="10" s="1"/>
  <c r="L1585" i="10"/>
  <c r="M1585" i="10" s="1"/>
  <c r="L1584" i="10"/>
  <c r="M1584" i="10" s="1"/>
  <c r="L1583" i="10"/>
  <c r="M1583" i="10" s="1"/>
  <c r="L1582" i="10"/>
  <c r="M1582" i="10" s="1"/>
  <c r="L1581" i="10"/>
  <c r="M1581" i="10" s="1"/>
  <c r="L1580" i="10"/>
  <c r="M1580" i="10" s="1"/>
  <c r="L1579" i="10"/>
  <c r="M1579" i="10" s="1"/>
  <c r="L1575" i="10"/>
  <c r="M1575" i="10" s="1"/>
  <c r="L1574" i="10"/>
  <c r="M1574" i="10" s="1"/>
  <c r="L1573" i="10"/>
  <c r="M1573" i="10" s="1"/>
  <c r="L1572" i="10"/>
  <c r="M1572" i="10" s="1"/>
  <c r="L1571" i="10"/>
  <c r="M1571" i="10" s="1"/>
  <c r="L1570" i="10"/>
  <c r="M1570" i="10" s="1"/>
  <c r="L1567" i="10"/>
  <c r="M1567" i="10" s="1"/>
  <c r="L1566" i="10"/>
  <c r="M1566" i="10" s="1"/>
  <c r="L1565" i="10"/>
  <c r="M1565" i="10" s="1"/>
  <c r="L1564" i="10"/>
  <c r="M1564" i="10" s="1"/>
  <c r="L1563" i="10"/>
  <c r="M1563" i="10" s="1"/>
  <c r="L1562" i="10"/>
  <c r="M1562" i="10" s="1"/>
  <c r="L1561" i="10"/>
  <c r="M1561" i="10" s="1"/>
  <c r="L1560" i="10"/>
  <c r="M1560" i="10" s="1"/>
  <c r="L1559" i="10"/>
  <c r="M1559" i="10" s="1"/>
  <c r="L1558" i="10"/>
  <c r="M1558" i="10" s="1"/>
  <c r="L1557" i="10"/>
  <c r="M1557" i="10" s="1"/>
  <c r="L1556" i="10"/>
  <c r="M1556" i="10" s="1"/>
  <c r="L1555" i="10"/>
  <c r="M1555" i="10" s="1"/>
  <c r="L1554" i="10"/>
  <c r="M1554" i="10" s="1"/>
  <c r="L1553" i="10"/>
  <c r="M1553" i="10" s="1"/>
  <c r="L1552" i="10"/>
  <c r="M1552" i="10" s="1"/>
  <c r="L1551" i="10"/>
  <c r="M1551" i="10" s="1"/>
  <c r="L1550" i="10"/>
  <c r="M1550" i="10" s="1"/>
  <c r="L1549" i="10"/>
  <c r="M1549" i="10" s="1"/>
  <c r="L1548" i="10"/>
  <c r="M1548" i="10" s="1"/>
  <c r="L1547" i="10"/>
  <c r="M1547" i="10" s="1"/>
  <c r="L1546" i="10"/>
  <c r="M1546" i="10" s="1"/>
  <c r="L1545" i="10"/>
  <c r="M1545" i="10" s="1"/>
  <c r="L1544" i="10"/>
  <c r="M1544" i="10" s="1"/>
  <c r="L1543" i="10"/>
  <c r="M1543" i="10" s="1"/>
  <c r="L1542" i="10"/>
  <c r="M1542" i="10" s="1"/>
  <c r="L1541" i="10"/>
  <c r="M1541" i="10" s="1"/>
  <c r="L1540" i="10"/>
  <c r="M1540" i="10" s="1"/>
  <c r="L1539" i="10"/>
  <c r="M1539" i="10" s="1"/>
  <c r="L1538" i="10"/>
  <c r="M1538" i="10" s="1"/>
  <c r="L1537" i="10"/>
  <c r="M1537" i="10" s="1"/>
  <c r="L1536" i="10"/>
  <c r="M1536" i="10" s="1"/>
  <c r="L1535" i="10"/>
  <c r="M1535" i="10" s="1"/>
  <c r="L1534" i="10"/>
  <c r="M1534" i="10" s="1"/>
  <c r="L1533" i="10"/>
  <c r="M1533" i="10" s="1"/>
  <c r="L1532" i="10"/>
  <c r="M1532" i="10" s="1"/>
  <c r="L1531" i="10"/>
  <c r="M1531" i="10" s="1"/>
  <c r="L1530" i="10"/>
  <c r="M1530" i="10" s="1"/>
  <c r="L1529" i="10"/>
  <c r="M1529" i="10" s="1"/>
  <c r="L1526" i="10"/>
  <c r="M1526" i="10" s="1"/>
  <c r="L1525" i="10"/>
  <c r="M1525" i="10" s="1"/>
  <c r="L1524" i="10"/>
  <c r="M1524" i="10" s="1"/>
  <c r="L1523" i="10"/>
  <c r="M1523" i="10" s="1"/>
  <c r="L1522" i="10"/>
  <c r="M1522" i="10" s="1"/>
  <c r="L1521" i="10"/>
  <c r="M1521" i="10" s="1"/>
  <c r="L1520" i="10"/>
  <c r="M1520" i="10" s="1"/>
  <c r="L1519" i="10"/>
  <c r="M1519" i="10" s="1"/>
  <c r="L1518" i="10"/>
  <c r="M1518" i="10" s="1"/>
  <c r="L1517" i="10"/>
  <c r="M1517" i="10" s="1"/>
  <c r="L1516" i="10"/>
  <c r="M1516" i="10" s="1"/>
  <c r="G1515" i="10"/>
  <c r="L1514" i="10"/>
  <c r="M1514" i="10" s="1"/>
  <c r="L1513" i="10"/>
  <c r="M1513" i="10" s="1"/>
  <c r="L1512" i="10"/>
  <c r="M1512" i="10" s="1"/>
  <c r="L1511" i="10"/>
  <c r="M1511" i="10" s="1"/>
  <c r="L1510" i="10"/>
  <c r="M1510" i="10" s="1"/>
  <c r="L1509" i="10"/>
  <c r="M1509" i="10" s="1"/>
  <c r="L1508" i="10"/>
  <c r="M1508" i="10" s="1"/>
  <c r="L1507" i="10"/>
  <c r="M1507" i="10" s="1"/>
  <c r="L1506" i="10"/>
  <c r="M1506" i="10" s="1"/>
  <c r="L1505" i="10"/>
  <c r="M1505" i="10" s="1"/>
  <c r="L1504" i="10"/>
  <c r="M1504" i="10" s="1"/>
  <c r="L1503" i="10"/>
  <c r="M1503" i="10" s="1"/>
  <c r="L1502" i="10"/>
  <c r="M1502" i="10" s="1"/>
  <c r="L1501" i="10"/>
  <c r="M1501" i="10" s="1"/>
  <c r="L1500" i="10"/>
  <c r="M1500" i="10" s="1"/>
  <c r="L1499" i="10"/>
  <c r="M1499" i="10" s="1"/>
  <c r="L1498" i="10"/>
  <c r="M1498" i="10" s="1"/>
  <c r="L1497" i="10"/>
  <c r="M1497" i="10" s="1"/>
  <c r="L1496" i="10"/>
  <c r="M1496" i="10" s="1"/>
  <c r="L1495" i="10"/>
  <c r="M1495" i="10" s="1"/>
  <c r="L1494" i="10"/>
  <c r="M1494" i="10" s="1"/>
  <c r="L1493" i="10"/>
  <c r="M1493" i="10" s="1"/>
  <c r="L1492" i="10"/>
  <c r="M1492" i="10" s="1"/>
  <c r="L1491" i="10"/>
  <c r="M1491" i="10" s="1"/>
  <c r="L1490" i="10"/>
  <c r="M1490" i="10" s="1"/>
  <c r="L1489" i="10"/>
  <c r="M1489" i="10" s="1"/>
  <c r="L1488" i="10"/>
  <c r="M1488" i="10" s="1"/>
  <c r="L1487" i="10"/>
  <c r="M1487" i="10" s="1"/>
  <c r="L1486" i="10"/>
  <c r="M1486" i="10" s="1"/>
  <c r="L1485" i="10"/>
  <c r="M1485" i="10" s="1"/>
  <c r="L1484" i="10"/>
  <c r="M1484" i="10" s="1"/>
  <c r="L1483" i="10"/>
  <c r="M1483" i="10" s="1"/>
  <c r="L1482" i="10"/>
  <c r="M1482" i="10" s="1"/>
  <c r="L1481" i="10"/>
  <c r="M1481" i="10" s="1"/>
  <c r="L1480" i="10"/>
  <c r="M1480" i="10" s="1"/>
  <c r="L1479" i="10"/>
  <c r="M1479" i="10" s="1"/>
  <c r="L1478" i="10"/>
  <c r="M1478" i="10" s="1"/>
  <c r="L1477" i="10"/>
  <c r="M1477" i="10" s="1"/>
  <c r="L1476" i="10"/>
  <c r="M1476" i="10" s="1"/>
  <c r="L1475" i="10"/>
  <c r="M1475" i="10" s="1"/>
  <c r="L1474" i="10"/>
  <c r="M1474" i="10" s="1"/>
  <c r="L1473" i="10"/>
  <c r="M1473" i="10" s="1"/>
  <c r="L1472" i="10"/>
  <c r="M1472" i="10" s="1"/>
  <c r="L1471" i="10"/>
  <c r="M1471" i="10" s="1"/>
  <c r="L1470" i="10"/>
  <c r="M1470" i="10" s="1"/>
  <c r="L1469" i="10"/>
  <c r="M1469" i="10" s="1"/>
  <c r="L1468" i="10"/>
  <c r="M1468" i="10" s="1"/>
  <c r="L1467" i="10"/>
  <c r="M1467" i="10" s="1"/>
  <c r="L1466" i="10"/>
  <c r="M1466" i="10" s="1"/>
  <c r="G1465" i="10"/>
  <c r="L1462" i="10"/>
  <c r="M1462" i="10" s="1"/>
  <c r="L1461" i="10"/>
  <c r="M1461" i="10" s="1"/>
  <c r="L1460" i="10"/>
  <c r="M1460" i="10" s="1"/>
  <c r="L1459" i="10"/>
  <c r="M1459" i="10" s="1"/>
  <c r="L1458" i="10"/>
  <c r="M1458" i="10" s="1"/>
  <c r="L1457" i="10"/>
  <c r="M1457" i="10" s="1"/>
  <c r="L1456" i="10"/>
  <c r="M1456" i="10" s="1"/>
  <c r="L1455" i="10"/>
  <c r="M1455" i="10" s="1"/>
  <c r="L1454" i="10"/>
  <c r="M1454" i="10" s="1"/>
  <c r="L1453" i="10"/>
  <c r="M1453" i="10" s="1"/>
  <c r="L1452" i="10"/>
  <c r="M1452" i="10" s="1"/>
  <c r="L1451" i="10"/>
  <c r="M1451" i="10" s="1"/>
  <c r="L1450" i="10"/>
  <c r="M1450" i="10" s="1"/>
  <c r="L1449" i="10"/>
  <c r="M1449" i="10" s="1"/>
  <c r="L1448" i="10"/>
  <c r="M1448" i="10" s="1"/>
  <c r="L1447" i="10"/>
  <c r="M1447" i="10" s="1"/>
  <c r="L1446" i="10"/>
  <c r="M1446" i="10" s="1"/>
  <c r="L1445" i="10"/>
  <c r="M1445" i="10" s="1"/>
  <c r="L1444" i="10"/>
  <c r="M1444" i="10" s="1"/>
  <c r="L1443" i="10"/>
  <c r="M1443" i="10" s="1"/>
  <c r="L1442" i="10"/>
  <c r="M1442" i="10" s="1"/>
  <c r="L1441" i="10"/>
  <c r="M1441" i="10" s="1"/>
  <c r="L1440" i="10"/>
  <c r="M1440" i="10" s="1"/>
  <c r="L1439" i="10"/>
  <c r="M1439" i="10" s="1"/>
  <c r="L1438" i="10"/>
  <c r="M1438" i="10" s="1"/>
  <c r="L1437" i="10"/>
  <c r="M1437" i="10" s="1"/>
  <c r="L1436" i="10"/>
  <c r="M1436" i="10" s="1"/>
  <c r="L1435" i="10"/>
  <c r="M1435" i="10" s="1"/>
  <c r="L1434" i="10"/>
  <c r="M1434" i="10" s="1"/>
  <c r="L1433" i="10"/>
  <c r="M1433" i="10" s="1"/>
  <c r="L1432" i="10"/>
  <c r="M1432" i="10" s="1"/>
  <c r="L1431" i="10"/>
  <c r="M1431" i="10" s="1"/>
  <c r="L1430" i="10"/>
  <c r="M1430" i="10" s="1"/>
  <c r="L1429" i="10"/>
  <c r="M1429" i="10" s="1"/>
  <c r="L1428" i="10"/>
  <c r="M1428" i="10" s="1"/>
  <c r="L1426" i="10"/>
  <c r="M1426" i="10" s="1"/>
  <c r="L1425" i="10"/>
  <c r="M1425" i="10" s="1"/>
  <c r="L1424" i="10"/>
  <c r="M1424" i="10" s="1"/>
  <c r="L1423" i="10"/>
  <c r="M1423" i="10" s="1"/>
  <c r="L1421" i="10"/>
  <c r="M1421" i="10" s="1"/>
  <c r="L1420" i="10"/>
  <c r="M1420" i="10" s="1"/>
  <c r="L1419" i="10"/>
  <c r="M1419" i="10" s="1"/>
  <c r="L1418" i="10"/>
  <c r="M1418" i="10" s="1"/>
  <c r="L1417" i="10"/>
  <c r="M1417" i="10" s="1"/>
  <c r="L1415" i="10"/>
  <c r="M1415" i="10" s="1"/>
  <c r="L1414" i="10"/>
  <c r="M1414" i="10" s="1"/>
  <c r="L1413" i="10"/>
  <c r="M1413" i="10" s="1"/>
  <c r="L1412" i="10"/>
  <c r="M1412" i="10" s="1"/>
  <c r="L1411" i="10"/>
  <c r="M1411" i="10" s="1"/>
  <c r="L1410" i="10"/>
  <c r="M1410" i="10" s="1"/>
  <c r="L1409" i="10"/>
  <c r="M1409" i="10" s="1"/>
  <c r="L1408" i="10"/>
  <c r="M1408" i="10" s="1"/>
  <c r="L1407" i="10"/>
  <c r="M1407" i="10" s="1"/>
  <c r="L1406" i="10"/>
  <c r="M1406" i="10" s="1"/>
  <c r="L1405" i="10"/>
  <c r="M1405" i="10" s="1"/>
  <c r="L1404" i="10"/>
  <c r="M1404" i="10" s="1"/>
  <c r="L1403" i="10"/>
  <c r="M1403" i="10" s="1"/>
  <c r="L1402" i="10"/>
  <c r="M1402" i="10" s="1"/>
  <c r="L1401" i="10"/>
  <c r="M1401" i="10" s="1"/>
  <c r="L1400" i="10"/>
  <c r="M1400" i="10" s="1"/>
  <c r="L1399" i="10"/>
  <c r="M1399" i="10" s="1"/>
  <c r="L1398" i="10"/>
  <c r="M1398" i="10" s="1"/>
  <c r="L1397" i="10"/>
  <c r="M1397" i="10" s="1"/>
  <c r="L1396" i="10"/>
  <c r="M1396" i="10" s="1"/>
  <c r="L1395" i="10"/>
  <c r="M1395" i="10" s="1"/>
  <c r="L1394" i="10"/>
  <c r="M1394" i="10" s="1"/>
  <c r="L1393" i="10"/>
  <c r="M1393" i="10" s="1"/>
  <c r="L1392" i="10"/>
  <c r="M1392" i="10" s="1"/>
  <c r="L1391" i="10"/>
  <c r="M1391" i="10" s="1"/>
  <c r="L1382" i="10"/>
  <c r="M1382" i="10" s="1"/>
  <c r="L1381" i="10"/>
  <c r="M1381" i="10" s="1"/>
  <c r="L1380" i="10"/>
  <c r="M1380" i="10" s="1"/>
  <c r="L1379" i="10"/>
  <c r="M1379" i="10" s="1"/>
  <c r="L1378" i="10"/>
  <c r="M1378" i="10" s="1"/>
  <c r="L1377" i="10"/>
  <c r="G1377" i="10"/>
  <c r="L1376" i="10"/>
  <c r="M1376" i="10" s="1"/>
  <c r="L1375" i="10"/>
  <c r="M1375" i="10" s="1"/>
  <c r="L1374" i="10"/>
  <c r="G1374" i="10"/>
  <c r="L1373" i="10"/>
  <c r="M1373" i="10" s="1"/>
  <c r="L1372" i="10"/>
  <c r="M1372" i="10" s="1"/>
  <c r="L1370" i="10"/>
  <c r="M1370" i="10" s="1"/>
  <c r="L1369" i="10"/>
  <c r="M1369" i="10" s="1"/>
  <c r="L1368" i="10"/>
  <c r="M1368" i="10" s="1"/>
  <c r="L1367" i="10"/>
  <c r="M1367" i="10" s="1"/>
  <c r="L1366" i="10"/>
  <c r="M1366" i="10" s="1"/>
  <c r="L1363" i="10"/>
  <c r="M1363" i="10" s="1"/>
  <c r="L1362" i="10"/>
  <c r="M1362" i="10" s="1"/>
  <c r="L1361" i="10"/>
  <c r="M1361" i="10" s="1"/>
  <c r="L1359" i="10"/>
  <c r="M1359" i="10" s="1"/>
  <c r="L1358" i="10"/>
  <c r="M1358" i="10" s="1"/>
  <c r="L1357" i="10"/>
  <c r="M1357" i="10" s="1"/>
  <c r="L1356" i="10"/>
  <c r="M1356" i="10" s="1"/>
  <c r="K1355" i="10"/>
  <c r="L1355" i="10" s="1"/>
  <c r="M1355" i="10" s="1"/>
  <c r="K1354" i="10"/>
  <c r="I1354" i="10"/>
  <c r="L1353" i="10"/>
  <c r="M1353" i="10" s="1"/>
  <c r="K1352" i="10"/>
  <c r="L1352" i="10" s="1"/>
  <c r="M1352" i="10" s="1"/>
  <c r="K1351" i="10"/>
  <c r="L1351" i="10" s="1"/>
  <c r="M1351" i="10" s="1"/>
  <c r="K1350" i="10"/>
  <c r="I1350" i="10"/>
  <c r="L1350" i="10" s="1"/>
  <c r="M1350" i="10" s="1"/>
  <c r="L1348" i="10"/>
  <c r="M1348" i="10" s="1"/>
  <c r="L1347" i="10"/>
  <c r="M1347" i="10" s="1"/>
  <c r="L1346" i="10"/>
  <c r="M1346" i="10" s="1"/>
  <c r="L1345" i="10"/>
  <c r="M1345" i="10" s="1"/>
  <c r="L1344" i="10"/>
  <c r="M1344" i="10" s="1"/>
  <c r="L1343" i="10"/>
  <c r="M1343" i="10" s="1"/>
  <c r="L1342" i="10"/>
  <c r="M1342" i="10" s="1"/>
  <c r="L1341" i="10"/>
  <c r="M1341" i="10" s="1"/>
  <c r="L1340" i="10"/>
  <c r="M1340" i="10" s="1"/>
  <c r="L1339" i="10"/>
  <c r="M1339" i="10" s="1"/>
  <c r="L1338" i="10"/>
  <c r="M1338" i="10" s="1"/>
  <c r="L1337" i="10"/>
  <c r="M1337" i="10" s="1"/>
  <c r="L1336" i="10"/>
  <c r="M1336" i="10" s="1"/>
  <c r="L1335" i="10"/>
  <c r="M1335" i="10" s="1"/>
  <c r="L1334" i="10"/>
  <c r="M1334" i="10" s="1"/>
  <c r="L1333" i="10"/>
  <c r="M1333" i="10" s="1"/>
  <c r="L1332" i="10"/>
  <c r="M1332" i="10" s="1"/>
  <c r="L1331" i="10"/>
  <c r="M1331" i="10" s="1"/>
  <c r="L1330" i="10"/>
  <c r="M1330" i="10" s="1"/>
  <c r="L1329" i="10"/>
  <c r="M1329" i="10" s="1"/>
  <c r="L1328" i="10"/>
  <c r="M1328" i="10" s="1"/>
  <c r="L1327" i="10"/>
  <c r="M1327" i="10" s="1"/>
  <c r="L1326" i="10"/>
  <c r="M1326" i="10" s="1"/>
  <c r="L1325" i="10"/>
  <c r="M1325" i="10" s="1"/>
  <c r="K1324" i="10"/>
  <c r="L1324" i="10" s="1"/>
  <c r="M1324" i="10" s="1"/>
  <c r="K1323" i="10"/>
  <c r="L1323" i="10" s="1"/>
  <c r="M1323" i="10" s="1"/>
  <c r="L1322" i="10"/>
  <c r="M1322" i="10" s="1"/>
  <c r="L1321" i="10"/>
  <c r="M1321" i="10" s="1"/>
  <c r="L1320" i="10"/>
  <c r="M1320" i="10" s="1"/>
  <c r="K1319" i="10"/>
  <c r="I1319" i="10"/>
  <c r="L1318" i="10"/>
  <c r="M1318" i="10" s="1"/>
  <c r="L1317" i="10"/>
  <c r="M1317" i="10" s="1"/>
  <c r="I1316" i="10"/>
  <c r="L1316" i="10" s="1"/>
  <c r="M1316" i="10" s="1"/>
  <c r="L1315" i="10"/>
  <c r="M1315" i="10" s="1"/>
  <c r="L1314" i="10"/>
  <c r="M1314" i="10" s="1"/>
  <c r="K1313" i="10"/>
  <c r="L1313" i="10" s="1"/>
  <c r="M1313" i="10" s="1"/>
  <c r="K1311" i="10"/>
  <c r="L1311" i="10" s="1"/>
  <c r="M1311" i="10" s="1"/>
  <c r="K1310" i="10"/>
  <c r="L1310" i="10" s="1"/>
  <c r="M1310" i="10" s="1"/>
  <c r="K1309" i="10"/>
  <c r="L1309" i="10" s="1"/>
  <c r="M1309" i="10" s="1"/>
  <c r="K1308" i="10"/>
  <c r="L1308" i="10" s="1"/>
  <c r="M1308" i="10" s="1"/>
  <c r="L1307" i="10"/>
  <c r="M1307" i="10" s="1"/>
  <c r="L1306" i="10"/>
  <c r="M1306" i="10" s="1"/>
  <c r="L1305" i="10"/>
  <c r="M1305" i="10" s="1"/>
  <c r="I1304" i="10"/>
  <c r="L1304" i="10" s="1"/>
  <c r="M1304" i="10" s="1"/>
  <c r="L1303" i="10"/>
  <c r="M1303" i="10" s="1"/>
  <c r="L1302" i="10"/>
  <c r="M1302" i="10" s="1"/>
  <c r="L1301" i="10"/>
  <c r="M1301" i="10" s="1"/>
  <c r="L1300" i="10"/>
  <c r="M1300" i="10" s="1"/>
  <c r="L1299" i="10"/>
  <c r="M1299" i="10" s="1"/>
  <c r="L1298" i="10"/>
  <c r="M1298" i="10" s="1"/>
  <c r="L1297" i="10"/>
  <c r="M1297" i="10" s="1"/>
  <c r="L1296" i="10"/>
  <c r="M1296" i="10" s="1"/>
  <c r="K1295" i="10"/>
  <c r="L1295" i="10" s="1"/>
  <c r="M1295" i="10" s="1"/>
  <c r="L1294" i="10"/>
  <c r="G1294" i="10"/>
  <c r="K1293" i="10"/>
  <c r="L1293" i="10" s="1"/>
  <c r="M1293" i="10" s="1"/>
  <c r="L1292" i="10"/>
  <c r="M1292" i="10" s="1"/>
  <c r="L1291" i="10"/>
  <c r="M1291" i="10" s="1"/>
  <c r="L1290" i="10"/>
  <c r="M1290" i="10" s="1"/>
  <c r="L1289" i="10"/>
  <c r="M1289" i="10" s="1"/>
  <c r="L1288" i="10"/>
  <c r="M1288" i="10" s="1"/>
  <c r="L1287" i="10"/>
  <c r="M1287" i="10" s="1"/>
  <c r="L1286" i="10"/>
  <c r="M1286" i="10" s="1"/>
  <c r="L1285" i="10"/>
  <c r="M1285" i="10" s="1"/>
  <c r="L1284" i="10"/>
  <c r="M1284" i="10" s="1"/>
  <c r="L1283" i="10"/>
  <c r="M1283" i="10" s="1"/>
  <c r="L1282" i="10"/>
  <c r="M1282" i="10" s="1"/>
  <c r="L1281" i="10"/>
  <c r="M1281" i="10" s="1"/>
  <c r="L1280" i="10"/>
  <c r="M1280" i="10" s="1"/>
  <c r="L1279" i="10"/>
  <c r="M1279" i="10" s="1"/>
  <c r="L1277" i="10"/>
  <c r="M1277" i="10" s="1"/>
  <c r="L1276" i="10"/>
  <c r="M1276" i="10" s="1"/>
  <c r="L1275" i="10"/>
  <c r="M1275" i="10" s="1"/>
  <c r="L1274" i="10"/>
  <c r="M1274" i="10" s="1"/>
  <c r="L1273" i="10"/>
  <c r="M1273" i="10" s="1"/>
  <c r="L1272" i="10"/>
  <c r="M1272" i="10" s="1"/>
  <c r="L1271" i="10"/>
  <c r="M1271" i="10" s="1"/>
  <c r="L1270" i="10"/>
  <c r="M1270" i="10" s="1"/>
  <c r="L1269" i="10"/>
  <c r="M1269" i="10" s="1"/>
  <c r="L1268" i="10"/>
  <c r="M1268" i="10" s="1"/>
  <c r="L1267" i="10"/>
  <c r="M1267" i="10" s="1"/>
  <c r="L1266" i="10"/>
  <c r="M1266" i="10" s="1"/>
  <c r="L1265" i="10"/>
  <c r="M1265" i="10" s="1"/>
  <c r="L1264" i="10"/>
  <c r="M1264" i="10" s="1"/>
  <c r="L1263" i="10"/>
  <c r="M1263" i="10" s="1"/>
  <c r="I1262" i="10"/>
  <c r="L1262" i="10" s="1"/>
  <c r="M1262" i="10" s="1"/>
  <c r="L1261" i="10"/>
  <c r="M1261" i="10" s="1"/>
  <c r="L1260" i="10"/>
  <c r="M1260" i="10" s="1"/>
  <c r="L1259" i="10"/>
  <c r="M1259" i="10" s="1"/>
  <c r="I1258" i="10"/>
  <c r="L1258" i="10" s="1"/>
  <c r="M1258" i="10" s="1"/>
  <c r="L1256" i="10"/>
  <c r="M1256" i="10" s="1"/>
  <c r="L1255" i="10"/>
  <c r="M1255" i="10" s="1"/>
  <c r="L1254" i="10"/>
  <c r="M1254" i="10" s="1"/>
  <c r="L1253" i="10"/>
  <c r="M1253" i="10" s="1"/>
  <c r="L1252" i="10"/>
  <c r="M1252" i="10" s="1"/>
  <c r="L1251" i="10"/>
  <c r="M1251" i="10" s="1"/>
  <c r="L1250" i="10"/>
  <c r="M1250" i="10" s="1"/>
  <c r="L1249" i="10"/>
  <c r="M1249" i="10" s="1"/>
  <c r="L1248" i="10"/>
  <c r="M1248" i="10" s="1"/>
  <c r="L1247" i="10"/>
  <c r="M1247" i="10" s="1"/>
  <c r="K1246" i="10"/>
  <c r="L1246" i="10" s="1"/>
  <c r="M1246" i="10" s="1"/>
  <c r="L1245" i="10"/>
  <c r="G1245" i="10"/>
  <c r="L1244" i="10"/>
  <c r="M1244" i="10" s="1"/>
  <c r="K1244" i="10"/>
  <c r="L1243" i="10"/>
  <c r="M1243" i="10" s="1"/>
  <c r="L1242" i="10"/>
  <c r="M1242" i="10" s="1"/>
  <c r="L1241" i="10"/>
  <c r="M1241" i="10" s="1"/>
  <c r="L1240" i="10"/>
  <c r="M1240" i="10" s="1"/>
  <c r="L1239" i="10"/>
  <c r="M1239" i="10" s="1"/>
  <c r="L1238" i="10"/>
  <c r="M1238" i="10" s="1"/>
  <c r="L1237" i="10"/>
  <c r="M1237" i="10" s="1"/>
  <c r="L1236" i="10"/>
  <c r="M1236" i="10" s="1"/>
  <c r="L1235" i="10"/>
  <c r="M1235" i="10" s="1"/>
  <c r="L1234" i="10"/>
  <c r="M1234" i="10" s="1"/>
  <c r="K1233" i="10"/>
  <c r="L1233" i="10" s="1"/>
  <c r="M1233" i="10" s="1"/>
  <c r="L1232" i="10"/>
  <c r="M1232" i="10" s="1"/>
  <c r="L1231" i="10"/>
  <c r="M1231" i="10" s="1"/>
  <c r="L1230" i="10"/>
  <c r="M1230" i="10" s="1"/>
  <c r="L1229" i="10"/>
  <c r="M1229" i="10" s="1"/>
  <c r="K1229" i="10"/>
  <c r="L1228" i="10"/>
  <c r="M1228" i="10" s="1"/>
  <c r="L1227" i="10"/>
  <c r="M1227" i="10" s="1"/>
  <c r="K1225" i="10"/>
  <c r="L1225" i="10" s="1"/>
  <c r="M1225" i="10" s="1"/>
  <c r="L1224" i="10"/>
  <c r="M1224" i="10" s="1"/>
  <c r="L1223" i="10"/>
  <c r="M1223" i="10" s="1"/>
  <c r="L1222" i="10"/>
  <c r="M1222" i="10" s="1"/>
  <c r="L1221" i="10"/>
  <c r="M1221" i="10" s="1"/>
  <c r="L1220" i="10"/>
  <c r="M1220" i="10" s="1"/>
  <c r="L1219" i="10"/>
  <c r="M1219" i="10" s="1"/>
  <c r="L1218" i="10"/>
  <c r="M1218" i="10" s="1"/>
  <c r="K1217" i="10"/>
  <c r="L1217" i="10" s="1"/>
  <c r="M1217" i="10" s="1"/>
  <c r="L1216" i="10"/>
  <c r="G1216" i="10"/>
  <c r="K1215" i="10"/>
  <c r="L1215" i="10" s="1"/>
  <c r="M1215" i="10" s="1"/>
  <c r="L1214" i="10"/>
  <c r="M1214" i="10" s="1"/>
  <c r="L1213" i="10"/>
  <c r="M1213" i="10" s="1"/>
  <c r="L1212" i="10"/>
  <c r="M1212" i="10" s="1"/>
  <c r="L1211" i="10"/>
  <c r="M1211" i="10" s="1"/>
  <c r="L1210" i="10"/>
  <c r="M1210" i="10" s="1"/>
  <c r="L1209" i="10"/>
  <c r="M1209" i="10" s="1"/>
  <c r="L1208" i="10"/>
  <c r="M1208" i="10" s="1"/>
  <c r="L1207" i="10"/>
  <c r="M1207" i="10" s="1"/>
  <c r="L1206" i="10"/>
  <c r="M1206" i="10" s="1"/>
  <c r="L1205" i="10"/>
  <c r="M1205" i="10" s="1"/>
  <c r="L1204" i="10"/>
  <c r="M1204" i="10" s="1"/>
  <c r="L1203" i="10"/>
  <c r="M1203" i="10" s="1"/>
  <c r="L1202" i="10"/>
  <c r="M1202" i="10" s="1"/>
  <c r="L1201" i="10"/>
  <c r="M1201" i="10" s="1"/>
  <c r="L1200" i="10"/>
  <c r="M1200" i="10" s="1"/>
  <c r="L1199" i="10"/>
  <c r="M1199" i="10" s="1"/>
  <c r="L1198" i="10"/>
  <c r="M1198" i="10" s="1"/>
  <c r="L1197" i="10"/>
  <c r="M1197" i="10" s="1"/>
  <c r="L1196" i="10"/>
  <c r="M1196" i="10" s="1"/>
  <c r="L1195" i="10"/>
  <c r="M1195" i="10" s="1"/>
  <c r="L1194" i="10"/>
  <c r="M1194" i="10" s="1"/>
  <c r="L1193" i="10"/>
  <c r="M1193" i="10" s="1"/>
  <c r="K1192" i="10"/>
  <c r="L1192" i="10" s="1"/>
  <c r="M1192" i="10" s="1"/>
  <c r="L1191" i="10"/>
  <c r="M1191" i="10" s="1"/>
  <c r="L1190" i="10"/>
  <c r="M1190" i="10" s="1"/>
  <c r="I1189" i="10"/>
  <c r="L1189" i="10" s="1"/>
  <c r="M1189" i="10" s="1"/>
  <c r="K1188" i="10"/>
  <c r="L1188" i="10" s="1"/>
  <c r="M1188" i="10" s="1"/>
  <c r="L1187" i="10"/>
  <c r="M1187" i="10" s="1"/>
  <c r="L1186" i="10"/>
  <c r="M1186" i="10" s="1"/>
  <c r="K1185" i="10"/>
  <c r="L1185" i="10" s="1"/>
  <c r="M1185" i="10" s="1"/>
  <c r="L1183" i="10"/>
  <c r="M1183" i="10" s="1"/>
  <c r="L1182" i="10"/>
  <c r="M1182" i="10" s="1"/>
  <c r="L1181" i="10"/>
  <c r="M1181" i="10" s="1"/>
  <c r="L1180" i="10"/>
  <c r="M1180" i="10" s="1"/>
  <c r="L1179" i="10"/>
  <c r="M1179" i="10" s="1"/>
  <c r="L1178" i="10"/>
  <c r="G1178" i="10"/>
  <c r="L1177" i="10"/>
  <c r="M1177" i="10" s="1"/>
  <c r="L1176" i="10"/>
  <c r="M1176" i="10" s="1"/>
  <c r="L1175" i="10"/>
  <c r="M1175" i="10" s="1"/>
  <c r="L1174" i="10"/>
  <c r="M1174" i="10" s="1"/>
  <c r="L1173" i="10"/>
  <c r="M1173" i="10" s="1"/>
  <c r="L1172" i="10"/>
  <c r="M1172" i="10" s="1"/>
  <c r="L1171" i="10"/>
  <c r="M1171" i="10" s="1"/>
  <c r="L1170" i="10"/>
  <c r="M1170" i="10" s="1"/>
  <c r="K1169" i="10"/>
  <c r="L1169" i="10" s="1"/>
  <c r="M1169" i="10" s="1"/>
  <c r="K1168" i="10"/>
  <c r="L1168" i="10" s="1"/>
  <c r="M1168" i="10" s="1"/>
  <c r="L1167" i="10"/>
  <c r="M1167" i="10" s="1"/>
  <c r="L1166" i="10"/>
  <c r="M1166" i="10" s="1"/>
  <c r="L1165" i="10"/>
  <c r="M1165" i="10" s="1"/>
  <c r="L1164" i="10"/>
  <c r="M1164" i="10" s="1"/>
  <c r="K1163" i="10"/>
  <c r="L1163" i="10" s="1"/>
  <c r="M1163" i="10" s="1"/>
  <c r="L1162" i="10"/>
  <c r="M1162" i="10" s="1"/>
  <c r="L1161" i="10"/>
  <c r="M1161" i="10" s="1"/>
  <c r="L1160" i="10"/>
  <c r="M1160" i="10" s="1"/>
  <c r="I1159" i="10"/>
  <c r="L1159" i="10" s="1"/>
  <c r="M1159" i="10" s="1"/>
  <c r="L1158" i="10"/>
  <c r="M1158" i="10" s="1"/>
  <c r="L1156" i="10"/>
  <c r="M1156" i="10" s="1"/>
  <c r="L1155" i="10"/>
  <c r="M1155" i="10" s="1"/>
  <c r="I1154" i="10"/>
  <c r="L1154" i="10" s="1"/>
  <c r="M1154" i="10" s="1"/>
  <c r="L1153" i="10"/>
  <c r="M1153" i="10" s="1"/>
  <c r="L1152" i="10"/>
  <c r="M1152" i="10" s="1"/>
  <c r="K1151" i="10"/>
  <c r="L1151" i="10" s="1"/>
  <c r="M1151" i="10" s="1"/>
  <c r="L1150" i="10"/>
  <c r="M1150" i="10" s="1"/>
  <c r="K1149" i="10"/>
  <c r="L1149" i="10" s="1"/>
  <c r="M1149" i="10" s="1"/>
  <c r="L1148" i="10"/>
  <c r="M1148" i="10" s="1"/>
  <c r="L1147" i="10"/>
  <c r="M1147" i="10" s="1"/>
  <c r="L1146" i="10"/>
  <c r="M1146" i="10" s="1"/>
  <c r="L1145" i="10"/>
  <c r="M1145" i="10" s="1"/>
  <c r="L1144" i="10"/>
  <c r="M1144" i="10" s="1"/>
  <c r="L1143" i="10"/>
  <c r="M1143" i="10" s="1"/>
  <c r="L1142" i="10"/>
  <c r="M1142" i="10" s="1"/>
  <c r="L1141" i="10"/>
  <c r="M1141" i="10" s="1"/>
  <c r="L1140" i="10"/>
  <c r="M1140" i="10" s="1"/>
  <c r="L1139" i="10"/>
  <c r="M1139" i="10" s="1"/>
  <c r="L1138" i="10"/>
  <c r="M1138" i="10" s="1"/>
  <c r="L1137" i="10"/>
  <c r="M1137" i="10" s="1"/>
  <c r="L1136" i="10"/>
  <c r="M1136" i="10" s="1"/>
  <c r="K1134" i="10"/>
  <c r="L1134" i="10" s="1"/>
  <c r="M1134" i="10" s="1"/>
  <c r="K1133" i="10"/>
  <c r="L1133" i="10" s="1"/>
  <c r="M1133" i="10" s="1"/>
  <c r="K1132" i="10"/>
  <c r="L1132" i="10" s="1"/>
  <c r="M1132" i="10" s="1"/>
  <c r="L1131" i="10"/>
  <c r="M1131" i="10" s="1"/>
  <c r="L1130" i="10"/>
  <c r="M1130" i="10" s="1"/>
  <c r="L1129" i="10"/>
  <c r="M1129" i="10" s="1"/>
  <c r="L1128" i="10"/>
  <c r="M1128" i="10" s="1"/>
  <c r="L1127" i="10"/>
  <c r="M1127" i="10" s="1"/>
  <c r="L1126" i="10"/>
  <c r="M1126" i="10" s="1"/>
  <c r="L1125" i="10"/>
  <c r="M1125" i="10" s="1"/>
  <c r="L1124" i="10"/>
  <c r="M1124" i="10" s="1"/>
  <c r="L1123" i="10"/>
  <c r="M1123" i="10" s="1"/>
  <c r="G1123" i="10"/>
  <c r="L1122" i="10"/>
  <c r="G1122" i="10"/>
  <c r="L1121" i="10"/>
  <c r="M1121" i="10" s="1"/>
  <c r="L1120" i="10"/>
  <c r="M1120" i="10" s="1"/>
  <c r="L1119" i="10"/>
  <c r="M1119" i="10" s="1"/>
  <c r="K1117" i="10"/>
  <c r="L1117" i="10" s="1"/>
  <c r="M1117" i="10" s="1"/>
  <c r="L1116" i="10"/>
  <c r="M1116" i="10" s="1"/>
  <c r="L1115" i="10"/>
  <c r="M1115" i="10" s="1"/>
  <c r="L1114" i="10"/>
  <c r="M1114" i="10" s="1"/>
  <c r="L1113" i="10"/>
  <c r="M1113" i="10" s="1"/>
  <c r="L1112" i="10"/>
  <c r="M1112" i="10" s="1"/>
  <c r="L1111" i="10"/>
  <c r="M1111" i="10" s="1"/>
  <c r="L1110" i="10"/>
  <c r="M1110" i="10" s="1"/>
  <c r="L1109" i="10"/>
  <c r="M1109" i="10" s="1"/>
  <c r="K1108" i="10"/>
  <c r="L1108" i="10" s="1"/>
  <c r="M1108" i="10" s="1"/>
  <c r="L1107" i="10"/>
  <c r="M1107" i="10" s="1"/>
  <c r="K1106" i="10"/>
  <c r="L1106" i="10" s="1"/>
  <c r="M1106" i="10" s="1"/>
  <c r="K1105" i="10"/>
  <c r="L1105" i="10" s="1"/>
  <c r="M1105" i="10" s="1"/>
  <c r="L1104" i="10"/>
  <c r="M1104" i="10" s="1"/>
  <c r="L1099" i="10"/>
  <c r="M1099" i="10" s="1"/>
  <c r="M1098" i="10" s="1"/>
  <c r="K1096" i="10"/>
  <c r="L1096" i="10" s="1"/>
  <c r="M1096" i="10" s="1"/>
  <c r="L1095" i="10"/>
  <c r="M1095" i="10" s="1"/>
  <c r="K1094" i="10"/>
  <c r="L1094" i="10" s="1"/>
  <c r="M1094" i="10" s="1"/>
  <c r="L1093" i="10"/>
  <c r="M1093" i="10" s="1"/>
  <c r="L1092" i="10"/>
  <c r="M1092" i="10" s="1"/>
  <c r="L1091" i="10"/>
  <c r="M1091" i="10" s="1"/>
  <c r="L1089" i="10"/>
  <c r="M1089" i="10" s="1"/>
  <c r="L1088" i="10"/>
  <c r="M1088" i="10" s="1"/>
  <c r="L1087" i="10"/>
  <c r="M1087" i="10" s="1"/>
  <c r="L1085" i="10"/>
  <c r="M1085" i="10" s="1"/>
  <c r="L1084" i="10"/>
  <c r="M1084" i="10" s="1"/>
  <c r="L1083" i="10"/>
  <c r="M1083" i="10" s="1"/>
  <c r="L1082" i="10"/>
  <c r="M1082" i="10" s="1"/>
  <c r="L1081" i="10"/>
  <c r="M1081" i="10" s="1"/>
  <c r="L1080" i="10"/>
  <c r="M1080" i="10" s="1"/>
  <c r="L1079" i="10"/>
  <c r="M1079" i="10" s="1"/>
  <c r="L1078" i="10"/>
  <c r="M1078" i="10" s="1"/>
  <c r="L1077" i="10"/>
  <c r="M1077" i="10" s="1"/>
  <c r="L1076" i="10"/>
  <c r="M1076" i="10" s="1"/>
  <c r="L1075" i="10"/>
  <c r="M1075" i="10" s="1"/>
  <c r="L1074" i="10"/>
  <c r="M1074" i="10" s="1"/>
  <c r="L1073" i="10"/>
  <c r="M1073" i="10" s="1"/>
  <c r="L1072" i="10"/>
  <c r="M1072" i="10" s="1"/>
  <c r="L1071" i="10"/>
  <c r="M1071" i="10" s="1"/>
  <c r="L1070" i="10"/>
  <c r="M1070" i="10" s="1"/>
  <c r="L1069" i="10"/>
  <c r="M1069" i="10" s="1"/>
  <c r="L1068" i="10"/>
  <c r="M1068" i="10" s="1"/>
  <c r="L1067" i="10"/>
  <c r="M1067" i="10" s="1"/>
  <c r="L1066" i="10"/>
  <c r="M1066" i="10" s="1"/>
  <c r="L1065" i="10"/>
  <c r="M1065" i="10" s="1"/>
  <c r="L1064" i="10"/>
  <c r="M1064" i="10" s="1"/>
  <c r="L1063" i="10"/>
  <c r="M1063" i="10" s="1"/>
  <c r="K1062" i="10"/>
  <c r="L1062" i="10" s="1"/>
  <c r="M1062" i="10" s="1"/>
  <c r="K1061" i="10"/>
  <c r="L1061" i="10" s="1"/>
  <c r="M1061" i="10" s="1"/>
  <c r="L1059" i="10"/>
  <c r="M1059" i="10" s="1"/>
  <c r="L1058" i="10"/>
  <c r="M1058" i="10" s="1"/>
  <c r="L1057" i="10"/>
  <c r="M1057" i="10" s="1"/>
  <c r="L1056" i="10"/>
  <c r="M1056" i="10" s="1"/>
  <c r="L1055" i="10"/>
  <c r="M1055" i="10" s="1"/>
  <c r="L1054" i="10"/>
  <c r="M1054" i="10" s="1"/>
  <c r="L1053" i="10"/>
  <c r="M1053" i="10" s="1"/>
  <c r="L1052" i="10"/>
  <c r="M1052" i="10" s="1"/>
  <c r="L1051" i="10"/>
  <c r="M1051" i="10" s="1"/>
  <c r="L1050" i="10"/>
  <c r="M1050" i="10" s="1"/>
  <c r="L1049" i="10"/>
  <c r="M1049" i="10" s="1"/>
  <c r="L1048" i="10"/>
  <c r="M1048" i="10" s="1"/>
  <c r="L1047" i="10"/>
  <c r="M1047" i="10" s="1"/>
  <c r="L1046" i="10"/>
  <c r="M1046" i="10" s="1"/>
  <c r="L1045" i="10"/>
  <c r="M1045" i="10" s="1"/>
  <c r="L1044" i="10"/>
  <c r="M1044" i="10" s="1"/>
  <c r="L1043" i="10"/>
  <c r="M1043" i="10" s="1"/>
  <c r="L1042" i="10"/>
  <c r="M1042" i="10" s="1"/>
  <c r="L1041" i="10"/>
  <c r="M1041" i="10" s="1"/>
  <c r="L1040" i="10"/>
  <c r="M1040" i="10" s="1"/>
  <c r="L1039" i="10"/>
  <c r="M1039" i="10" s="1"/>
  <c r="L1038" i="10"/>
  <c r="M1038" i="10" s="1"/>
  <c r="L1037" i="10"/>
  <c r="M1037" i="10" s="1"/>
  <c r="K1037" i="10"/>
  <c r="L1036" i="10"/>
  <c r="M1036" i="10" s="1"/>
  <c r="K1035" i="10"/>
  <c r="L1035" i="10" s="1"/>
  <c r="M1035" i="10" s="1"/>
  <c r="L1034" i="10"/>
  <c r="M1034" i="10" s="1"/>
  <c r="L1033" i="10"/>
  <c r="G1033" i="10"/>
  <c r="L1032" i="10"/>
  <c r="M1032" i="10" s="1"/>
  <c r="L1031" i="10"/>
  <c r="M1031" i="10" s="1"/>
  <c r="L1030" i="10"/>
  <c r="M1030" i="10" s="1"/>
  <c r="L1029" i="10"/>
  <c r="M1029" i="10" s="1"/>
  <c r="L1028" i="10"/>
  <c r="M1028" i="10" s="1"/>
  <c r="L1027" i="10"/>
  <c r="M1027" i="10" s="1"/>
  <c r="L1026" i="10"/>
  <c r="M1026" i="10" s="1"/>
  <c r="L1025" i="10"/>
  <c r="M1025" i="10" s="1"/>
  <c r="L1024" i="10"/>
  <c r="M1024" i="10" s="1"/>
  <c r="L1023" i="10"/>
  <c r="M1023" i="10" s="1"/>
  <c r="L1022" i="10"/>
  <c r="M1022" i="10" s="1"/>
  <c r="L1021" i="10"/>
  <c r="M1021" i="10" s="1"/>
  <c r="L1020" i="10"/>
  <c r="M1020" i="10" s="1"/>
  <c r="L1019" i="10"/>
  <c r="M1019" i="10" s="1"/>
  <c r="L1018" i="10"/>
  <c r="M1018" i="10" s="1"/>
  <c r="L1017" i="10"/>
  <c r="M1017" i="10" s="1"/>
  <c r="L1016" i="10"/>
  <c r="M1016" i="10" s="1"/>
  <c r="L1015" i="10"/>
  <c r="M1015" i="10" s="1"/>
  <c r="L1014" i="10"/>
  <c r="M1014" i="10" s="1"/>
  <c r="L1013" i="10"/>
  <c r="M1013" i="10" s="1"/>
  <c r="L1012" i="10"/>
  <c r="M1012" i="10" s="1"/>
  <c r="L1011" i="10"/>
  <c r="M1011" i="10" s="1"/>
  <c r="L1010" i="10"/>
  <c r="M1010" i="10" s="1"/>
  <c r="L1009" i="10"/>
  <c r="M1009" i="10" s="1"/>
  <c r="I1008" i="10"/>
  <c r="L1008" i="10" s="1"/>
  <c r="M1008" i="10" s="1"/>
  <c r="L1007" i="10"/>
  <c r="M1007" i="10" s="1"/>
  <c r="L1006" i="10"/>
  <c r="M1006" i="10" s="1"/>
  <c r="L1005" i="10"/>
  <c r="M1005" i="10" s="1"/>
  <c r="L1004" i="10"/>
  <c r="M1004" i="10" s="1"/>
  <c r="L1003" i="10"/>
  <c r="M1003" i="10" s="1"/>
  <c r="L1002" i="10"/>
  <c r="M1002" i="10" s="1"/>
  <c r="L1001" i="10"/>
  <c r="M1001" i="10" s="1"/>
  <c r="L1000" i="10"/>
  <c r="M1000" i="10" s="1"/>
  <c r="L999" i="10"/>
  <c r="M999" i="10" s="1"/>
  <c r="K998" i="10"/>
  <c r="L998" i="10" s="1"/>
  <c r="M998" i="10" s="1"/>
  <c r="K997" i="10"/>
  <c r="L997" i="10" s="1"/>
  <c r="M997" i="10" s="1"/>
  <c r="K996" i="10"/>
  <c r="L996" i="10" s="1"/>
  <c r="M996" i="10" s="1"/>
  <c r="K995" i="10"/>
  <c r="L995" i="10" s="1"/>
  <c r="M995" i="10" s="1"/>
  <c r="I994" i="10"/>
  <c r="L994" i="10" s="1"/>
  <c r="M994" i="10" s="1"/>
  <c r="K993" i="10"/>
  <c r="L993" i="10" s="1"/>
  <c r="M993" i="10" s="1"/>
  <c r="L992" i="10"/>
  <c r="M992" i="10" s="1"/>
  <c r="K992" i="10"/>
  <c r="K991" i="10"/>
  <c r="L991" i="10" s="1"/>
  <c r="M991" i="10" s="1"/>
  <c r="K990" i="10"/>
  <c r="L990" i="10" s="1"/>
  <c r="M990" i="10" s="1"/>
  <c r="K989" i="10"/>
  <c r="L989" i="10" s="1"/>
  <c r="M989" i="10" s="1"/>
  <c r="K988" i="10"/>
  <c r="L988" i="10" s="1"/>
  <c r="M988" i="10" s="1"/>
  <c r="K987" i="10"/>
  <c r="L987" i="10" s="1"/>
  <c r="M987" i="10" s="1"/>
  <c r="K986" i="10"/>
  <c r="L986" i="10" s="1"/>
  <c r="M986" i="10" s="1"/>
  <c r="K985" i="10"/>
  <c r="L985" i="10" s="1"/>
  <c r="M985" i="10" s="1"/>
  <c r="K984" i="10"/>
  <c r="L984" i="10" s="1"/>
  <c r="M984" i="10" s="1"/>
  <c r="K983" i="10"/>
  <c r="L983" i="10" s="1"/>
  <c r="M983" i="10" s="1"/>
  <c r="L981" i="10"/>
  <c r="M981" i="10" s="1"/>
  <c r="L979" i="10"/>
  <c r="M979" i="10" s="1"/>
  <c r="L978" i="10"/>
  <c r="M978" i="10" s="1"/>
  <c r="L977" i="10"/>
  <c r="M977" i="10" s="1"/>
  <c r="L976" i="10"/>
  <c r="M976" i="10" s="1"/>
  <c r="L975" i="10"/>
  <c r="M975" i="10" s="1"/>
  <c r="L974" i="10"/>
  <c r="M974" i="10" s="1"/>
  <c r="L973" i="10"/>
  <c r="M973" i="10" s="1"/>
  <c r="L972" i="10"/>
  <c r="M972" i="10" s="1"/>
  <c r="L970" i="10"/>
  <c r="M970" i="10" s="1"/>
  <c r="L969" i="10"/>
  <c r="M969" i="10" s="1"/>
  <c r="L968" i="10"/>
  <c r="M968" i="10" s="1"/>
  <c r="L966" i="10"/>
  <c r="M966" i="10" s="1"/>
  <c r="L965" i="10"/>
  <c r="M965" i="10" s="1"/>
  <c r="L964" i="10"/>
  <c r="M964" i="10" s="1"/>
  <c r="L963" i="10"/>
  <c r="M963" i="10" s="1"/>
  <c r="L962" i="10"/>
  <c r="M962" i="10" s="1"/>
  <c r="L961" i="10"/>
  <c r="M961" i="10" s="1"/>
  <c r="L960" i="10"/>
  <c r="M960" i="10" s="1"/>
  <c r="L959" i="10"/>
  <c r="M959" i="10" s="1"/>
  <c r="L958" i="10"/>
  <c r="M958" i="10" s="1"/>
  <c r="L957" i="10"/>
  <c r="M957" i="10" s="1"/>
  <c r="L956" i="10"/>
  <c r="M956" i="10" s="1"/>
  <c r="K954" i="10"/>
  <c r="L954" i="10" s="1"/>
  <c r="M954" i="10" s="1"/>
  <c r="L953" i="10"/>
  <c r="M953" i="10" s="1"/>
  <c r="L952" i="10"/>
  <c r="M952" i="10" s="1"/>
  <c r="L951" i="10"/>
  <c r="M951" i="10" s="1"/>
  <c r="L950" i="10"/>
  <c r="M950" i="10" s="1"/>
  <c r="L949" i="10"/>
  <c r="M949" i="10" s="1"/>
  <c r="L948" i="10"/>
  <c r="M948" i="10" s="1"/>
  <c r="K947" i="10"/>
  <c r="L947" i="10" s="1"/>
  <c r="M947" i="10" s="1"/>
  <c r="L943" i="10"/>
  <c r="M943" i="10" s="1"/>
  <c r="L942" i="10"/>
  <c r="M942" i="10" s="1"/>
  <c r="L941" i="10"/>
  <c r="M941" i="10" s="1"/>
  <c r="L940" i="10"/>
  <c r="M940" i="10" s="1"/>
  <c r="L939" i="10"/>
  <c r="M939" i="10" s="1"/>
  <c r="L938" i="10"/>
  <c r="M938" i="10" s="1"/>
  <c r="L937" i="10"/>
  <c r="M937" i="10" s="1"/>
  <c r="L936" i="10"/>
  <c r="M936" i="10" s="1"/>
  <c r="L935" i="10"/>
  <c r="M935" i="10" s="1"/>
  <c r="L934" i="10"/>
  <c r="M934" i="10" s="1"/>
  <c r="L933" i="10"/>
  <c r="M933" i="10" s="1"/>
  <c r="L932" i="10"/>
  <c r="M932" i="10" s="1"/>
  <c r="L931" i="10"/>
  <c r="M931" i="10" s="1"/>
  <c r="L930" i="10"/>
  <c r="M930" i="10" s="1"/>
  <c r="L929" i="10"/>
  <c r="M929" i="10" s="1"/>
  <c r="L928" i="10"/>
  <c r="M928" i="10" s="1"/>
  <c r="L927" i="10"/>
  <c r="M927" i="10" s="1"/>
  <c r="I923" i="10"/>
  <c r="L923" i="10" s="1"/>
  <c r="M923" i="10" s="1"/>
  <c r="I922" i="10"/>
  <c r="L922" i="10" s="1"/>
  <c r="M922" i="10" s="1"/>
  <c r="I921" i="10"/>
  <c r="L921" i="10" s="1"/>
  <c r="M921" i="10" s="1"/>
  <c r="I920" i="10"/>
  <c r="L920" i="10" s="1"/>
  <c r="M920" i="10" s="1"/>
  <c r="I919" i="10"/>
  <c r="L919" i="10" s="1"/>
  <c r="M919" i="10" s="1"/>
  <c r="I918" i="10"/>
  <c r="L918" i="10" s="1"/>
  <c r="M918" i="10" s="1"/>
  <c r="L917" i="10"/>
  <c r="M917" i="10" s="1"/>
  <c r="L916" i="10"/>
  <c r="M916" i="10" s="1"/>
  <c r="L915" i="10"/>
  <c r="M915" i="10" s="1"/>
  <c r="L914" i="10"/>
  <c r="M914" i="10" s="1"/>
  <c r="L913" i="10"/>
  <c r="M913" i="10" s="1"/>
  <c r="L912" i="10"/>
  <c r="M912" i="10" s="1"/>
  <c r="L911" i="10"/>
  <c r="M911" i="10" s="1"/>
  <c r="I910" i="10"/>
  <c r="L910" i="10" s="1"/>
  <c r="M910" i="10" s="1"/>
  <c r="L909" i="10"/>
  <c r="M909" i="10" s="1"/>
  <c r="L907" i="10"/>
  <c r="M907" i="10" s="1"/>
  <c r="L906" i="10"/>
  <c r="M906" i="10" s="1"/>
  <c r="L905" i="10"/>
  <c r="M905" i="10" s="1"/>
  <c r="L904" i="10"/>
  <c r="M904" i="10" s="1"/>
  <c r="L903" i="10"/>
  <c r="M903" i="10" s="1"/>
  <c r="L902" i="10"/>
  <c r="M902" i="10" s="1"/>
  <c r="L901" i="10"/>
  <c r="M901" i="10" s="1"/>
  <c r="L899" i="10"/>
  <c r="M899" i="10" s="1"/>
  <c r="L898" i="10"/>
  <c r="M898" i="10" s="1"/>
  <c r="L897" i="10"/>
  <c r="M897" i="10" s="1"/>
  <c r="L896" i="10"/>
  <c r="M896" i="10" s="1"/>
  <c r="L895" i="10"/>
  <c r="M895" i="10" s="1"/>
  <c r="L894" i="10"/>
  <c r="M894" i="10" s="1"/>
  <c r="L893" i="10"/>
  <c r="M893" i="10" s="1"/>
  <c r="L892" i="10"/>
  <c r="M892" i="10" s="1"/>
  <c r="L891" i="10"/>
  <c r="M891" i="10" s="1"/>
  <c r="L890" i="10"/>
  <c r="M890" i="10" s="1"/>
  <c r="L886" i="10"/>
  <c r="M886" i="10" s="1"/>
  <c r="L885" i="10"/>
  <c r="M885" i="10" s="1"/>
  <c r="L884" i="10"/>
  <c r="M884" i="10" s="1"/>
  <c r="L883" i="10"/>
  <c r="M883" i="10" s="1"/>
  <c r="L882" i="10"/>
  <c r="M882" i="10" s="1"/>
  <c r="L879" i="10"/>
  <c r="M879" i="10" s="1"/>
  <c r="K877" i="10"/>
  <c r="L877" i="10" s="1"/>
  <c r="M877" i="10" s="1"/>
  <c r="K876" i="10"/>
  <c r="L876" i="10" s="1"/>
  <c r="M876" i="10" s="1"/>
  <c r="K875" i="10"/>
  <c r="L875" i="10" s="1"/>
  <c r="M875" i="10" s="1"/>
  <c r="K874" i="10"/>
  <c r="L874" i="10" s="1"/>
  <c r="M874" i="10" s="1"/>
  <c r="L872" i="10"/>
  <c r="M872" i="10" s="1"/>
  <c r="L871" i="10"/>
  <c r="M871" i="10" s="1"/>
  <c r="L870" i="10"/>
  <c r="M870" i="10" s="1"/>
  <c r="K869" i="10"/>
  <c r="L869" i="10" s="1"/>
  <c r="M869" i="10" s="1"/>
  <c r="K868" i="10"/>
  <c r="L868" i="10" s="1"/>
  <c r="M868" i="10" s="1"/>
  <c r="L867" i="10"/>
  <c r="M867" i="10" s="1"/>
  <c r="K867" i="10"/>
  <c r="L865" i="10"/>
  <c r="M865" i="10" s="1"/>
  <c r="K863" i="10"/>
  <c r="L863" i="10" s="1"/>
  <c r="M863" i="10" s="1"/>
  <c r="K862" i="10"/>
  <c r="L862" i="10" s="1"/>
  <c r="M862" i="10" s="1"/>
  <c r="K861" i="10"/>
  <c r="L861" i="10" s="1"/>
  <c r="M861" i="10" s="1"/>
  <c r="K860" i="10"/>
  <c r="L860" i="10" s="1"/>
  <c r="M860" i="10" s="1"/>
  <c r="K859" i="10"/>
  <c r="L859" i="10" s="1"/>
  <c r="M859" i="10" s="1"/>
  <c r="K858" i="10"/>
  <c r="L858" i="10" s="1"/>
  <c r="M858" i="10" s="1"/>
  <c r="K857" i="10"/>
  <c r="L857" i="10" s="1"/>
  <c r="M857" i="10" s="1"/>
  <c r="K856" i="10"/>
  <c r="L856" i="10" s="1"/>
  <c r="M856" i="10" s="1"/>
  <c r="K855" i="10"/>
  <c r="L855" i="10" s="1"/>
  <c r="M855" i="10" s="1"/>
  <c r="K854" i="10"/>
  <c r="L854" i="10" s="1"/>
  <c r="M854" i="10" s="1"/>
  <c r="K853" i="10"/>
  <c r="L853" i="10" s="1"/>
  <c r="M853" i="10" s="1"/>
  <c r="K852" i="10"/>
  <c r="L852" i="10" s="1"/>
  <c r="M852" i="10" s="1"/>
  <c r="K851" i="10"/>
  <c r="L851" i="10" s="1"/>
  <c r="M851" i="10" s="1"/>
  <c r="K850" i="10"/>
  <c r="L850" i="10" s="1"/>
  <c r="M850" i="10" s="1"/>
  <c r="K849" i="10"/>
  <c r="L849" i="10" s="1"/>
  <c r="M849" i="10" s="1"/>
  <c r="K848" i="10"/>
  <c r="L848" i="10" s="1"/>
  <c r="M848" i="10" s="1"/>
  <c r="K847" i="10"/>
  <c r="L847" i="10" s="1"/>
  <c r="M847" i="10" s="1"/>
  <c r="K846" i="10"/>
  <c r="L846" i="10" s="1"/>
  <c r="M846" i="10" s="1"/>
  <c r="K845" i="10"/>
  <c r="L845" i="10" s="1"/>
  <c r="M845" i="10" s="1"/>
  <c r="K844" i="10"/>
  <c r="L844" i="10" s="1"/>
  <c r="M844" i="10" s="1"/>
  <c r="K843" i="10"/>
  <c r="L843" i="10" s="1"/>
  <c r="M843" i="10" s="1"/>
  <c r="K842" i="10"/>
  <c r="L842" i="10" s="1"/>
  <c r="M842" i="10" s="1"/>
  <c r="K841" i="10"/>
  <c r="L841" i="10" s="1"/>
  <c r="M841" i="10" s="1"/>
  <c r="K840" i="10"/>
  <c r="L840" i="10" s="1"/>
  <c r="M840" i="10" s="1"/>
  <c r="K839" i="10"/>
  <c r="L839" i="10" s="1"/>
  <c r="M839" i="10" s="1"/>
  <c r="K838" i="10"/>
  <c r="L838" i="10" s="1"/>
  <c r="M838" i="10" s="1"/>
  <c r="K837" i="10"/>
  <c r="L837" i="10" s="1"/>
  <c r="M837" i="10" s="1"/>
  <c r="K836" i="10"/>
  <c r="L836" i="10" s="1"/>
  <c r="M836" i="10" s="1"/>
  <c r="K835" i="10"/>
  <c r="L835" i="10" s="1"/>
  <c r="M835" i="10" s="1"/>
  <c r="K834" i="10"/>
  <c r="L834" i="10" s="1"/>
  <c r="M834" i="10" s="1"/>
  <c r="K833" i="10"/>
  <c r="L833" i="10" s="1"/>
  <c r="M833" i="10" s="1"/>
  <c r="K832" i="10"/>
  <c r="L832" i="10" s="1"/>
  <c r="M832" i="10" s="1"/>
  <c r="K831" i="10"/>
  <c r="L831" i="10" s="1"/>
  <c r="M831" i="10" s="1"/>
  <c r="K830" i="10"/>
  <c r="L830" i="10" s="1"/>
  <c r="M830" i="10" s="1"/>
  <c r="K828" i="10"/>
  <c r="L828" i="10" s="1"/>
  <c r="M828" i="10" s="1"/>
  <c r="K827" i="10"/>
  <c r="L827" i="10" s="1"/>
  <c r="M827" i="10" s="1"/>
  <c r="K825" i="10"/>
  <c r="L825" i="10" s="1"/>
  <c r="M825" i="10" s="1"/>
  <c r="K822" i="10"/>
  <c r="L822" i="10" s="1"/>
  <c r="M822" i="10" s="1"/>
  <c r="K821" i="10"/>
  <c r="L821" i="10" s="1"/>
  <c r="M821" i="10" s="1"/>
  <c r="K820" i="10"/>
  <c r="L820" i="10" s="1"/>
  <c r="M820" i="10" s="1"/>
  <c r="K819" i="10"/>
  <c r="L819" i="10" s="1"/>
  <c r="M819" i="10" s="1"/>
  <c r="K818" i="10"/>
  <c r="L818" i="10" s="1"/>
  <c r="M818" i="10" s="1"/>
  <c r="K817" i="10"/>
  <c r="L817" i="10" s="1"/>
  <c r="M817" i="10" s="1"/>
  <c r="L814" i="10"/>
  <c r="M814" i="10" s="1"/>
  <c r="L813" i="10"/>
  <c r="M813" i="10" s="1"/>
  <c r="K812" i="10"/>
  <c r="L812" i="10" s="1"/>
  <c r="M812" i="10" s="1"/>
  <c r="K811" i="10"/>
  <c r="L811" i="10" s="1"/>
  <c r="M811" i="10" s="1"/>
  <c r="K810" i="10"/>
  <c r="L810" i="10" s="1"/>
  <c r="M810" i="10" s="1"/>
  <c r="K809" i="10"/>
  <c r="L809" i="10" s="1"/>
  <c r="M809" i="10" s="1"/>
  <c r="L808" i="10"/>
  <c r="M808" i="10" s="1"/>
  <c r="L807" i="10"/>
  <c r="M807" i="10" s="1"/>
  <c r="L806" i="10"/>
  <c r="M806" i="10" s="1"/>
  <c r="L805" i="10"/>
  <c r="M805" i="10" s="1"/>
  <c r="L804" i="10"/>
  <c r="M804" i="10" s="1"/>
  <c r="L803" i="10"/>
  <c r="M803" i="10" s="1"/>
  <c r="L802" i="10"/>
  <c r="M802" i="10" s="1"/>
  <c r="L801" i="10"/>
  <c r="M801" i="10" s="1"/>
  <c r="L800" i="10"/>
  <c r="M800" i="10" s="1"/>
  <c r="L799" i="10"/>
  <c r="M799" i="10" s="1"/>
  <c r="L795" i="10"/>
  <c r="M795" i="10" s="1"/>
  <c r="L794" i="10"/>
  <c r="M794" i="10" s="1"/>
  <c r="L793" i="10"/>
  <c r="M793" i="10" s="1"/>
  <c r="L792" i="10"/>
  <c r="M792" i="10" s="1"/>
  <c r="L791" i="10"/>
  <c r="M791" i="10" s="1"/>
  <c r="L790" i="10"/>
  <c r="M790" i="10" s="1"/>
  <c r="L789" i="10"/>
  <c r="M789" i="10" s="1"/>
  <c r="L788" i="10"/>
  <c r="M788" i="10" s="1"/>
  <c r="L787" i="10"/>
  <c r="M787" i="10" s="1"/>
  <c r="L786" i="10"/>
  <c r="M786" i="10" s="1"/>
  <c r="L785" i="10"/>
  <c r="M785" i="10" s="1"/>
  <c r="L783" i="10"/>
  <c r="M783" i="10" s="1"/>
  <c r="L782" i="10"/>
  <c r="M782" i="10" s="1"/>
  <c r="L781" i="10"/>
  <c r="M781" i="10" s="1"/>
  <c r="L780" i="10"/>
  <c r="M780" i="10" s="1"/>
  <c r="L778" i="10"/>
  <c r="M778" i="10" s="1"/>
  <c r="L777" i="10"/>
  <c r="M777" i="10" s="1"/>
  <c r="L773" i="10"/>
  <c r="M773" i="10" s="1"/>
  <c r="L772" i="10"/>
  <c r="M772" i="10" s="1"/>
  <c r="L771" i="10"/>
  <c r="M771" i="10" s="1"/>
  <c r="L769" i="10"/>
  <c r="M769" i="10" s="1"/>
  <c r="L768" i="10"/>
  <c r="M768" i="10" s="1"/>
  <c r="L765" i="10"/>
  <c r="M765" i="10" s="1"/>
  <c r="L764" i="10"/>
  <c r="M764" i="10" s="1"/>
  <c r="L761" i="10"/>
  <c r="M761" i="10" s="1"/>
  <c r="L760" i="10"/>
  <c r="M760" i="10" s="1"/>
  <c r="L759" i="10"/>
  <c r="M759" i="10" s="1"/>
  <c r="L758" i="10"/>
  <c r="M758" i="10" s="1"/>
  <c r="L756" i="10"/>
  <c r="M756" i="10" s="1"/>
  <c r="L755" i="10"/>
  <c r="M755" i="10" s="1"/>
  <c r="L754" i="10"/>
  <c r="M754" i="10" s="1"/>
  <c r="L753" i="10"/>
  <c r="M753" i="10" s="1"/>
  <c r="M749" i="10"/>
  <c r="K748" i="10"/>
  <c r="I748" i="10"/>
  <c r="M746" i="10"/>
  <c r="K745" i="10"/>
  <c r="I745" i="10"/>
  <c r="L745" i="10" s="1"/>
  <c r="M745" i="10" s="1"/>
  <c r="L741" i="10"/>
  <c r="M741" i="10" s="1"/>
  <c r="L739" i="10"/>
  <c r="M739" i="10" s="1"/>
  <c r="L738" i="10"/>
  <c r="M738" i="10" s="1"/>
  <c r="M736" i="10"/>
  <c r="M735" i="10"/>
  <c r="M734" i="10"/>
  <c r="M733" i="10"/>
  <c r="L732" i="10"/>
  <c r="M732" i="10" s="1"/>
  <c r="M730" i="10"/>
  <c r="M729" i="10"/>
  <c r="M728" i="10"/>
  <c r="M727" i="10"/>
  <c r="M726" i="10"/>
  <c r="M725" i="10"/>
  <c r="M724" i="10"/>
  <c r="M723" i="10"/>
  <c r="M722" i="10"/>
  <c r="M721" i="10"/>
  <c r="M720" i="10"/>
  <c r="M719" i="10"/>
  <c r="M718" i="10"/>
  <c r="M717" i="10"/>
  <c r="M716" i="10"/>
  <c r="L715" i="10"/>
  <c r="M715" i="10" s="1"/>
  <c r="M713" i="10"/>
  <c r="M712" i="10"/>
  <c r="M711" i="10"/>
  <c r="M710" i="10"/>
  <c r="M709" i="10"/>
  <c r="M708" i="10"/>
  <c r="M707" i="10"/>
  <c r="M706" i="10"/>
  <c r="M705" i="10"/>
  <c r="M704" i="10"/>
  <c r="M703" i="10"/>
  <c r="M702" i="10"/>
  <c r="L701" i="10"/>
  <c r="M701" i="10" s="1"/>
  <c r="L697" i="10"/>
  <c r="M697" i="10" s="1"/>
  <c r="K696" i="10"/>
  <c r="L696" i="10" s="1"/>
  <c r="M696" i="10" s="1"/>
  <c r="K695" i="10"/>
  <c r="L695" i="10" s="1"/>
  <c r="M695" i="10" s="1"/>
  <c r="L694" i="10"/>
  <c r="M694" i="10" s="1"/>
  <c r="L693" i="10"/>
  <c r="M693" i="10" s="1"/>
  <c r="L692" i="10"/>
  <c r="M692" i="10" s="1"/>
  <c r="L691" i="10"/>
  <c r="M691" i="10" s="1"/>
  <c r="L690" i="10"/>
  <c r="M690" i="10" s="1"/>
  <c r="L689" i="10"/>
  <c r="M689" i="10" s="1"/>
  <c r="L687" i="10"/>
  <c r="M687" i="10" s="1"/>
  <c r="L686" i="10"/>
  <c r="M686" i="10" s="1"/>
  <c r="L684" i="10"/>
  <c r="M684" i="10" s="1"/>
  <c r="L683" i="10"/>
  <c r="M683" i="10" s="1"/>
  <c r="L682" i="10"/>
  <c r="M682" i="10" s="1"/>
  <c r="L681" i="10"/>
  <c r="M681" i="10" s="1"/>
  <c r="L680" i="10"/>
  <c r="M680" i="10" s="1"/>
  <c r="L679" i="10"/>
  <c r="M679" i="10" s="1"/>
  <c r="L678" i="10"/>
  <c r="M678" i="10" s="1"/>
  <c r="I677" i="10"/>
  <c r="L677" i="10" s="1"/>
  <c r="M677" i="10" s="1"/>
  <c r="L676" i="10"/>
  <c r="M676" i="10" s="1"/>
  <c r="L675" i="10"/>
  <c r="M675" i="10" s="1"/>
  <c r="L674" i="10"/>
  <c r="M674" i="10" s="1"/>
  <c r="L673" i="10"/>
  <c r="M673" i="10" s="1"/>
  <c r="L672" i="10"/>
  <c r="M672" i="10" s="1"/>
  <c r="L671" i="10"/>
  <c r="M671" i="10" s="1"/>
  <c r="L670" i="10"/>
  <c r="M670" i="10" s="1"/>
  <c r="L668" i="10"/>
  <c r="M668" i="10" s="1"/>
  <c r="L667" i="10"/>
  <c r="M667" i="10" s="1"/>
  <c r="L666" i="10"/>
  <c r="M666" i="10" s="1"/>
  <c r="L665" i="10"/>
  <c r="M665" i="10" s="1"/>
  <c r="L664" i="10"/>
  <c r="M664" i="10" s="1"/>
  <c r="L663" i="10"/>
  <c r="M663" i="10" s="1"/>
  <c r="L662" i="10"/>
  <c r="M662" i="10" s="1"/>
  <c r="L661" i="10"/>
  <c r="M661" i="10" s="1"/>
  <c r="L660" i="10"/>
  <c r="M660" i="10" s="1"/>
  <c r="L659" i="10"/>
  <c r="M659" i="10" s="1"/>
  <c r="L658" i="10"/>
  <c r="M658" i="10" s="1"/>
  <c r="L654" i="10"/>
  <c r="M654" i="10" s="1"/>
  <c r="M653" i="10" s="1"/>
  <c r="L652" i="10"/>
  <c r="M652" i="10" s="1"/>
  <c r="L651" i="10"/>
  <c r="M651" i="10" s="1"/>
  <c r="L650" i="10"/>
  <c r="M650" i="10" s="1"/>
  <c r="L649" i="10"/>
  <c r="M649" i="10" s="1"/>
  <c r="L648" i="10"/>
  <c r="M648" i="10" s="1"/>
  <c r="L647" i="10"/>
  <c r="M647" i="10" s="1"/>
  <c r="I646" i="10"/>
  <c r="L646" i="10" s="1"/>
  <c r="M646" i="10" s="1"/>
  <c r="I645" i="10"/>
  <c r="L645" i="10" s="1"/>
  <c r="M645" i="10" s="1"/>
  <c r="I644" i="10"/>
  <c r="L644" i="10" s="1"/>
  <c r="M644" i="10" s="1"/>
  <c r="L643" i="10"/>
  <c r="M643" i="10" s="1"/>
  <c r="I642" i="10"/>
  <c r="L641" i="10"/>
  <c r="M641" i="10" s="1"/>
  <c r="L640" i="10"/>
  <c r="M640" i="10" s="1"/>
  <c r="L639" i="10"/>
  <c r="M639" i="10" s="1"/>
  <c r="L638" i="10"/>
  <c r="M638" i="10" s="1"/>
  <c r="I637" i="10"/>
  <c r="L637" i="10" s="1"/>
  <c r="M637" i="10" s="1"/>
  <c r="I636" i="10"/>
  <c r="L636" i="10" s="1"/>
  <c r="M636" i="10" s="1"/>
  <c r="I635" i="10"/>
  <c r="L635" i="10" s="1"/>
  <c r="M635" i="10" s="1"/>
  <c r="L634" i="10"/>
  <c r="M634" i="10" s="1"/>
  <c r="L633" i="10"/>
  <c r="M633" i="10" s="1"/>
  <c r="L631" i="10"/>
  <c r="M631" i="10" s="1"/>
  <c r="L630" i="10"/>
  <c r="M630" i="10" s="1"/>
  <c r="L629" i="10"/>
  <c r="M629" i="10" s="1"/>
  <c r="L628" i="10"/>
  <c r="M628" i="10" s="1"/>
  <c r="L627" i="10"/>
  <c r="M627" i="10" s="1"/>
  <c r="L626" i="10"/>
  <c r="M626" i="10" s="1"/>
  <c r="L625" i="10"/>
  <c r="M625" i="10" s="1"/>
  <c r="L624" i="10"/>
  <c r="M624" i="10" s="1"/>
  <c r="L623" i="10"/>
  <c r="M623" i="10" s="1"/>
  <c r="L622" i="10"/>
  <c r="M622" i="10" s="1"/>
  <c r="L621" i="10"/>
  <c r="M621" i="10" s="1"/>
  <c r="K617" i="10"/>
  <c r="L617" i="10" s="1"/>
  <c r="M617" i="10" s="1"/>
  <c r="L616" i="10"/>
  <c r="M616" i="10" s="1"/>
  <c r="L615" i="10"/>
  <c r="M615" i="10" s="1"/>
  <c r="K614" i="10"/>
  <c r="L614" i="10" s="1"/>
  <c r="M614" i="10" s="1"/>
  <c r="L613" i="10"/>
  <c r="M613" i="10" s="1"/>
  <c r="K612" i="10"/>
  <c r="L612" i="10" s="1"/>
  <c r="M612" i="10" s="1"/>
  <c r="K611" i="10"/>
  <c r="L611" i="10" s="1"/>
  <c r="M611" i="10" s="1"/>
  <c r="K610" i="10"/>
  <c r="L610" i="10" s="1"/>
  <c r="M610" i="10" s="1"/>
  <c r="K609" i="10"/>
  <c r="L609" i="10" s="1"/>
  <c r="M609" i="10" s="1"/>
  <c r="L607" i="10"/>
  <c r="M607" i="10" s="1"/>
  <c r="L606" i="10"/>
  <c r="M606" i="10" s="1"/>
  <c r="L605" i="10"/>
  <c r="M605" i="10" s="1"/>
  <c r="L604" i="10"/>
  <c r="M604" i="10" s="1"/>
  <c r="L603" i="10"/>
  <c r="M603" i="10" s="1"/>
  <c r="L602" i="10"/>
  <c r="M602" i="10" s="1"/>
  <c r="L601" i="10"/>
  <c r="M601" i="10" s="1"/>
  <c r="L600" i="10"/>
  <c r="M600" i="10" s="1"/>
  <c r="L598" i="10"/>
  <c r="M598" i="10" s="1"/>
  <c r="L597" i="10"/>
  <c r="M597" i="10" s="1"/>
  <c r="L596" i="10"/>
  <c r="M596" i="10" s="1"/>
  <c r="L595" i="10"/>
  <c r="M595" i="10" s="1"/>
  <c r="L594" i="10"/>
  <c r="M594" i="10" s="1"/>
  <c r="L593" i="10"/>
  <c r="M593" i="10" s="1"/>
  <c r="L592" i="10"/>
  <c r="M592" i="10" s="1"/>
  <c r="L591" i="10"/>
  <c r="M591" i="10" s="1"/>
  <c r="L590" i="10"/>
  <c r="M590" i="10" s="1"/>
  <c r="L589" i="10"/>
  <c r="M589" i="10" s="1"/>
  <c r="L587" i="10"/>
  <c r="M587" i="10" s="1"/>
  <c r="L586" i="10"/>
  <c r="M586" i="10" s="1"/>
  <c r="L585" i="10"/>
  <c r="M585" i="10" s="1"/>
  <c r="L584" i="10"/>
  <c r="M584" i="10" s="1"/>
  <c r="L583" i="10"/>
  <c r="M583" i="10" s="1"/>
  <c r="L582" i="10"/>
  <c r="M582" i="10" s="1"/>
  <c r="L581" i="10"/>
  <c r="M581" i="10" s="1"/>
  <c r="L580" i="10"/>
  <c r="M580" i="10" s="1"/>
  <c r="L579" i="10"/>
  <c r="M579" i="10" s="1"/>
  <c r="L578" i="10"/>
  <c r="M578" i="10" s="1"/>
  <c r="L577" i="10"/>
  <c r="M577" i="10" s="1"/>
  <c r="L576" i="10"/>
  <c r="M576" i="10" s="1"/>
  <c r="L575" i="10"/>
  <c r="M575" i="10" s="1"/>
  <c r="L574" i="10"/>
  <c r="M574" i="10" s="1"/>
  <c r="L573" i="10"/>
  <c r="M573" i="10" s="1"/>
  <c r="L572" i="10"/>
  <c r="M572" i="10" s="1"/>
  <c r="L571" i="10"/>
  <c r="M571" i="10" s="1"/>
  <c r="M568" i="10"/>
  <c r="L567" i="10"/>
  <c r="M567" i="10" s="1"/>
  <c r="L566" i="10"/>
  <c r="M566" i="10" s="1"/>
  <c r="L565" i="10"/>
  <c r="M565" i="10" s="1"/>
  <c r="L564" i="10"/>
  <c r="M564" i="10" s="1"/>
  <c r="L563" i="10"/>
  <c r="M563" i="10" s="1"/>
  <c r="L562" i="10"/>
  <c r="M562" i="10" s="1"/>
  <c r="L561" i="10"/>
  <c r="M561" i="10" s="1"/>
  <c r="L560" i="10"/>
  <c r="M560" i="10" s="1"/>
  <c r="L559" i="10"/>
  <c r="M559" i="10" s="1"/>
  <c r="L558" i="10"/>
  <c r="M558" i="10" s="1"/>
  <c r="I557" i="10"/>
  <c r="L557" i="10" s="1"/>
  <c r="G557" i="10"/>
  <c r="L556" i="10"/>
  <c r="M556" i="10" s="1"/>
  <c r="L555" i="10"/>
  <c r="M555" i="10" s="1"/>
  <c r="L554" i="10"/>
  <c r="M554" i="10" s="1"/>
  <c r="L553" i="10"/>
  <c r="M553" i="10" s="1"/>
  <c r="L552" i="10"/>
  <c r="M552" i="10" s="1"/>
  <c r="L551" i="10"/>
  <c r="M551" i="10" s="1"/>
  <c r="L550" i="10"/>
  <c r="M550" i="10" s="1"/>
  <c r="L549" i="10"/>
  <c r="M549" i="10" s="1"/>
  <c r="L548" i="10"/>
  <c r="M548" i="10" s="1"/>
  <c r="L547" i="10"/>
  <c r="M547" i="10" s="1"/>
  <c r="L546" i="10"/>
  <c r="M546" i="10" s="1"/>
  <c r="L545" i="10"/>
  <c r="M545" i="10" s="1"/>
  <c r="L544" i="10"/>
  <c r="M544" i="10" s="1"/>
  <c r="K543" i="10"/>
  <c r="L543" i="10" s="1"/>
  <c r="G543" i="10"/>
  <c r="L537" i="10"/>
  <c r="M537" i="10" s="1"/>
  <c r="M536" i="10" s="1"/>
  <c r="L535" i="10"/>
  <c r="M535" i="10" s="1"/>
  <c r="L534" i="10"/>
  <c r="M534" i="10" s="1"/>
  <c r="L532" i="10"/>
  <c r="M532" i="10" s="1"/>
  <c r="L531" i="10"/>
  <c r="M531" i="10" s="1"/>
  <c r="L530" i="10"/>
  <c r="M530" i="10" s="1"/>
  <c r="L529" i="10"/>
  <c r="M529" i="10" s="1"/>
  <c r="L528" i="10"/>
  <c r="M528" i="10" s="1"/>
  <c r="L527" i="10"/>
  <c r="M527" i="10" s="1"/>
  <c r="L523" i="10"/>
  <c r="M523" i="10" s="1"/>
  <c r="K522" i="10"/>
  <c r="L522" i="10" s="1"/>
  <c r="M522" i="10" s="1"/>
  <c r="L521" i="10"/>
  <c r="M521" i="10" s="1"/>
  <c r="L520" i="10"/>
  <c r="M520" i="10" s="1"/>
  <c r="L519" i="10"/>
  <c r="M519" i="10" s="1"/>
  <c r="L518" i="10"/>
  <c r="M518" i="10" s="1"/>
  <c r="L517" i="10"/>
  <c r="M517" i="10" s="1"/>
  <c r="L516" i="10"/>
  <c r="M516" i="10" s="1"/>
  <c r="L515" i="10"/>
  <c r="M515" i="10" s="1"/>
  <c r="L513" i="10"/>
  <c r="M513" i="10" s="1"/>
  <c r="L512" i="10"/>
  <c r="M512" i="10" s="1"/>
  <c r="L511" i="10"/>
  <c r="M511" i="10" s="1"/>
  <c r="L510" i="10"/>
  <c r="M510" i="10" s="1"/>
  <c r="L509" i="10"/>
  <c r="M509" i="10" s="1"/>
  <c r="L508" i="10"/>
  <c r="M508" i="10" s="1"/>
  <c r="L507" i="10"/>
  <c r="G507" i="10"/>
  <c r="P507" i="10" s="1"/>
  <c r="Q507" i="10" s="1"/>
  <c r="Q508" i="10" s="1"/>
  <c r="L506" i="10"/>
  <c r="M506" i="10" s="1"/>
  <c r="L502" i="10"/>
  <c r="M502" i="10" s="1"/>
  <c r="M501" i="10" s="1"/>
  <c r="M500" i="10" s="1"/>
  <c r="L498" i="10"/>
  <c r="M498" i="10" s="1"/>
  <c r="L497" i="10"/>
  <c r="M497" i="10" s="1"/>
  <c r="L496" i="10"/>
  <c r="M496" i="10" s="1"/>
  <c r="L495" i="10"/>
  <c r="M495" i="10" s="1"/>
  <c r="L494" i="10"/>
  <c r="M494" i="10" s="1"/>
  <c r="L493" i="10"/>
  <c r="M493" i="10" s="1"/>
  <c r="L492" i="10"/>
  <c r="M492" i="10" s="1"/>
  <c r="L491" i="10"/>
  <c r="M491" i="10" s="1"/>
  <c r="K489" i="10"/>
  <c r="L489" i="10" s="1"/>
  <c r="M489" i="10" s="1"/>
  <c r="K488" i="10"/>
  <c r="L488" i="10" s="1"/>
  <c r="M488" i="10" s="1"/>
  <c r="L484" i="10"/>
  <c r="M484" i="10" s="1"/>
  <c r="L483" i="10"/>
  <c r="M483" i="10" s="1"/>
  <c r="L481" i="10"/>
  <c r="M481" i="10" s="1"/>
  <c r="L480" i="10"/>
  <c r="M480" i="10" s="1"/>
  <c r="L479" i="10"/>
  <c r="M479" i="10" s="1"/>
  <c r="L475" i="10"/>
  <c r="M475" i="10" s="1"/>
  <c r="L474" i="10"/>
  <c r="M474" i="10" s="1"/>
  <c r="I472" i="10"/>
  <c r="L472" i="10" s="1"/>
  <c r="M472" i="10" s="1"/>
  <c r="M471" i="10" s="1"/>
  <c r="L468" i="10"/>
  <c r="M468" i="10" s="1"/>
  <c r="I467" i="10"/>
  <c r="L467" i="10" s="1"/>
  <c r="M467" i="10" s="1"/>
  <c r="I466" i="10"/>
  <c r="L466" i="10" s="1"/>
  <c r="M466" i="10" s="1"/>
  <c r="L465" i="10"/>
  <c r="M465" i="10" s="1"/>
  <c r="M464" i="10"/>
  <c r="L463" i="10"/>
  <c r="M463" i="10" s="1"/>
  <c r="L462" i="10"/>
  <c r="M462" i="10" s="1"/>
  <c r="L461" i="10"/>
  <c r="M461" i="10" s="1"/>
  <c r="L460" i="10"/>
  <c r="M460" i="10" s="1"/>
  <c r="L456" i="10"/>
  <c r="M456" i="10" s="1"/>
  <c r="L455" i="10"/>
  <c r="M455" i="10" s="1"/>
  <c r="L454" i="10"/>
  <c r="M454" i="10" s="1"/>
  <c r="L453" i="10"/>
  <c r="M453" i="10" s="1"/>
  <c r="L452" i="10"/>
  <c r="M452" i="10" s="1"/>
  <c r="L450" i="10"/>
  <c r="M450" i="10" s="1"/>
  <c r="L449" i="10"/>
  <c r="M449" i="10" s="1"/>
  <c r="L448" i="10"/>
  <c r="M448" i="10" s="1"/>
  <c r="L447" i="10"/>
  <c r="M447" i="10" s="1"/>
  <c r="L446" i="10"/>
  <c r="M446" i="10" s="1"/>
  <c r="L444" i="10"/>
  <c r="M444" i="10" s="1"/>
  <c r="L443" i="10"/>
  <c r="M443" i="10" s="1"/>
  <c r="L442" i="10"/>
  <c r="M442" i="10" s="1"/>
  <c r="L441" i="10"/>
  <c r="M441" i="10" s="1"/>
  <c r="K437" i="10"/>
  <c r="L437" i="10" s="1"/>
  <c r="M437" i="10" s="1"/>
  <c r="K436" i="10"/>
  <c r="L436" i="10" s="1"/>
  <c r="M436" i="10" s="1"/>
  <c r="K435" i="10"/>
  <c r="L435" i="10" s="1"/>
  <c r="M435" i="10" s="1"/>
  <c r="K434" i="10"/>
  <c r="L434" i="10" s="1"/>
  <c r="M434" i="10" s="1"/>
  <c r="L432" i="10"/>
  <c r="M432" i="10" s="1"/>
  <c r="L431" i="10"/>
  <c r="M431" i="10" s="1"/>
  <c r="I430" i="10"/>
  <c r="L430" i="10" s="1"/>
  <c r="G430" i="10"/>
  <c r="L429" i="10"/>
  <c r="M429" i="10" s="1"/>
  <c r="L428" i="10"/>
  <c r="M428" i="10" s="1"/>
  <c r="L427" i="10"/>
  <c r="M427" i="10" s="1"/>
  <c r="L426" i="10"/>
  <c r="M426" i="10" s="1"/>
  <c r="L425" i="10"/>
  <c r="M425" i="10" s="1"/>
  <c r="L424" i="10"/>
  <c r="M424" i="10" s="1"/>
  <c r="K422" i="10"/>
  <c r="L422" i="10" s="1"/>
  <c r="M422" i="10" s="1"/>
  <c r="M421" i="10" s="1"/>
  <c r="L414" i="10"/>
  <c r="M414" i="10" s="1"/>
  <c r="K413" i="10"/>
  <c r="I413" i="10"/>
  <c r="L413" i="10" s="1"/>
  <c r="M413" i="10" s="1"/>
  <c r="L412" i="10"/>
  <c r="M412" i="10" s="1"/>
  <c r="L411" i="10"/>
  <c r="M411" i="10" s="1"/>
  <c r="L409" i="10"/>
  <c r="M409" i="10" s="1"/>
  <c r="K408" i="10"/>
  <c r="I408" i="10"/>
  <c r="L407" i="10"/>
  <c r="M407" i="10" s="1"/>
  <c r="L406" i="10"/>
  <c r="M406" i="10" s="1"/>
  <c r="L404" i="10"/>
  <c r="M404" i="10" s="1"/>
  <c r="K403" i="10"/>
  <c r="I403" i="10"/>
  <c r="L403" i="10" s="1"/>
  <c r="M403" i="10" s="1"/>
  <c r="L402" i="10"/>
  <c r="M402" i="10" s="1"/>
  <c r="L401" i="10"/>
  <c r="M401" i="10" s="1"/>
  <c r="L399" i="10"/>
  <c r="M399" i="10" s="1"/>
  <c r="K398" i="10"/>
  <c r="I398" i="10"/>
  <c r="L398" i="10" s="1"/>
  <c r="M398" i="10" s="1"/>
  <c r="L397" i="10"/>
  <c r="M397" i="10" s="1"/>
  <c r="L396" i="10"/>
  <c r="M396" i="10" s="1"/>
  <c r="L393" i="10"/>
  <c r="M393" i="10" s="1"/>
  <c r="I391" i="10"/>
  <c r="L391" i="10" s="1"/>
  <c r="M391" i="10" s="1"/>
  <c r="M390" i="10" s="1"/>
  <c r="L389" i="10"/>
  <c r="G389" i="10"/>
  <c r="L387" i="10"/>
  <c r="M387" i="10" s="1"/>
  <c r="M386" i="10" s="1"/>
  <c r="L383" i="10"/>
  <c r="M383" i="10" s="1"/>
  <c r="M382" i="10" s="1"/>
  <c r="L381" i="10"/>
  <c r="M381" i="10" s="1"/>
  <c r="L379" i="10"/>
  <c r="M379" i="10" s="1"/>
  <c r="M378" i="10" s="1"/>
  <c r="K377" i="10"/>
  <c r="I377" i="10"/>
  <c r="L375" i="10"/>
  <c r="M375" i="10" s="1"/>
  <c r="L371" i="10"/>
  <c r="M371" i="10" s="1"/>
  <c r="M370" i="10" s="1"/>
  <c r="L369" i="10"/>
  <c r="M369" i="10" s="1"/>
  <c r="M368" i="10" s="1"/>
  <c r="L367" i="10"/>
  <c r="M367" i="10" s="1"/>
  <c r="L366" i="10"/>
  <c r="M366" i="10" s="1"/>
  <c r="L365" i="10"/>
  <c r="M365" i="10" s="1"/>
  <c r="K363" i="10"/>
  <c r="I363" i="10"/>
  <c r="L363" i="10" s="1"/>
  <c r="M363" i="10" s="1"/>
  <c r="M362" i="10" s="1"/>
  <c r="L360" i="10"/>
  <c r="M360" i="10" s="1"/>
  <c r="L359" i="10"/>
  <c r="M359" i="10" s="1"/>
  <c r="L358" i="10"/>
  <c r="M358" i="10" s="1"/>
  <c r="L357" i="10"/>
  <c r="M357" i="10" s="1"/>
  <c r="L353" i="10"/>
  <c r="M353" i="10" s="1"/>
  <c r="M352" i="10" s="1"/>
  <c r="K351" i="10"/>
  <c r="I351" i="10"/>
  <c r="L351" i="10" s="1"/>
  <c r="M351" i="10" s="1"/>
  <c r="K350" i="10"/>
  <c r="I350" i="10"/>
  <c r="L348" i="10"/>
  <c r="M348" i="10" s="1"/>
  <c r="L346" i="10"/>
  <c r="M346" i="10" s="1"/>
  <c r="L345" i="10"/>
  <c r="M345" i="10" s="1"/>
  <c r="L341" i="10"/>
  <c r="M341" i="10" s="1"/>
  <c r="M340" i="10" s="1"/>
  <c r="K339" i="10"/>
  <c r="I339" i="10"/>
  <c r="K338" i="10"/>
  <c r="I338" i="10"/>
  <c r="L336" i="10"/>
  <c r="M336" i="10" s="1"/>
  <c r="L335" i="10"/>
  <c r="M335" i="10" s="1"/>
  <c r="L333" i="10"/>
  <c r="M333" i="10" s="1"/>
  <c r="L332" i="10"/>
  <c r="M332" i="10" s="1"/>
  <c r="L331" i="10"/>
  <c r="M331" i="10" s="1"/>
  <c r="L330" i="10"/>
  <c r="M330" i="10" s="1"/>
  <c r="L329" i="10"/>
  <c r="M329" i="10" s="1"/>
  <c r="L325" i="10"/>
  <c r="M325" i="10" s="1"/>
  <c r="M324" i="10" s="1"/>
  <c r="K323" i="10"/>
  <c r="I323" i="10"/>
  <c r="L321" i="10"/>
  <c r="M321" i="10" s="1"/>
  <c r="M320" i="10" s="1"/>
  <c r="L319" i="10"/>
  <c r="M319" i="10" s="1"/>
  <c r="L318" i="10"/>
  <c r="M318" i="10" s="1"/>
  <c r="L317" i="10"/>
  <c r="M317" i="10" s="1"/>
  <c r="L311" i="10"/>
  <c r="M311" i="10" s="1"/>
  <c r="M310" i="10" s="1"/>
  <c r="I309" i="10"/>
  <c r="L309" i="10" s="1"/>
  <c r="M309" i="10" s="1"/>
  <c r="M308" i="10" s="1"/>
  <c r="L307" i="10"/>
  <c r="M307" i="10" s="1"/>
  <c r="M306" i="10" s="1"/>
  <c r="G307" i="10"/>
  <c r="L305" i="10"/>
  <c r="M305" i="10" s="1"/>
  <c r="M304" i="10" s="1"/>
  <c r="L301" i="10"/>
  <c r="M301" i="10" s="1"/>
  <c r="M300" i="10" s="1"/>
  <c r="L299" i="10"/>
  <c r="M299" i="10" s="1"/>
  <c r="M298" i="10" s="1"/>
  <c r="L297" i="10"/>
  <c r="M297" i="10" s="1"/>
  <c r="M296" i="10" s="1"/>
  <c r="K295" i="10"/>
  <c r="I295" i="10"/>
  <c r="L293" i="10"/>
  <c r="M293" i="10" s="1"/>
  <c r="L292" i="10"/>
  <c r="M292" i="10" s="1"/>
  <c r="L291" i="10"/>
  <c r="M291" i="10" s="1"/>
  <c r="L287" i="10"/>
  <c r="M287" i="10" s="1"/>
  <c r="M286" i="10" s="1"/>
  <c r="L285" i="10"/>
  <c r="M285" i="10" s="1"/>
  <c r="L284" i="10"/>
  <c r="M284" i="10" s="1"/>
  <c r="L282" i="10"/>
  <c r="M282" i="10" s="1"/>
  <c r="K280" i="10"/>
  <c r="I280" i="10"/>
  <c r="L278" i="10"/>
  <c r="M278" i="10" s="1"/>
  <c r="M277" i="10" s="1"/>
  <c r="L274" i="10"/>
  <c r="M274" i="10" s="1"/>
  <c r="M273" i="10" s="1"/>
  <c r="K272" i="10"/>
  <c r="I272" i="10"/>
  <c r="L270" i="10"/>
  <c r="M270" i="10" s="1"/>
  <c r="M269" i="10" s="1"/>
  <c r="I268" i="10"/>
  <c r="L268" i="10" s="1"/>
  <c r="M268" i="10" s="1"/>
  <c r="L267" i="10"/>
  <c r="M267" i="10" s="1"/>
  <c r="L263" i="10"/>
  <c r="M263" i="10" s="1"/>
  <c r="M262" i="10" s="1"/>
  <c r="K261" i="10"/>
  <c r="I261" i="10"/>
  <c r="L261" i="10" s="1"/>
  <c r="M261" i="10" s="1"/>
  <c r="M260" i="10" s="1"/>
  <c r="L259" i="10"/>
  <c r="M259" i="10" s="1"/>
  <c r="M258" i="10" s="1"/>
  <c r="L257" i="10"/>
  <c r="M257" i="10" s="1"/>
  <c r="L256" i="10"/>
  <c r="M256" i="10" s="1"/>
  <c r="L255" i="10"/>
  <c r="M255" i="10" s="1"/>
  <c r="L251" i="10"/>
  <c r="M251" i="10" s="1"/>
  <c r="K249" i="10"/>
  <c r="I249" i="10"/>
  <c r="L247" i="10"/>
  <c r="M247" i="10" s="1"/>
  <c r="L245" i="10"/>
  <c r="M245" i="10" s="1"/>
  <c r="L244" i="10"/>
  <c r="M244" i="10" s="1"/>
  <c r="L238" i="10"/>
  <c r="M238" i="10" s="1"/>
  <c r="L236" i="10"/>
  <c r="M236" i="10" s="1"/>
  <c r="M235" i="10" s="1"/>
  <c r="L234" i="10"/>
  <c r="M234" i="10" s="1"/>
  <c r="M233" i="10" s="1"/>
  <c r="L232" i="10"/>
  <c r="M232" i="10" s="1"/>
  <c r="L231" i="10"/>
  <c r="M231" i="10" s="1"/>
  <c r="L230" i="10"/>
  <c r="M230" i="10" s="1"/>
  <c r="L229" i="10"/>
  <c r="M229" i="10" s="1"/>
  <c r="L228" i="10"/>
  <c r="M228" i="10" s="1"/>
  <c r="L227" i="10"/>
  <c r="M227" i="10" s="1"/>
  <c r="L225" i="10"/>
  <c r="M225" i="10" s="1"/>
  <c r="I223" i="10"/>
  <c r="L223" i="10" s="1"/>
  <c r="M223" i="10" s="1"/>
  <c r="I222" i="10"/>
  <c r="L222" i="10" s="1"/>
  <c r="M222" i="10" s="1"/>
  <c r="L220" i="10"/>
  <c r="M220" i="10" s="1"/>
  <c r="L219" i="10"/>
  <c r="M219" i="10" s="1"/>
  <c r="L217" i="10"/>
  <c r="M217" i="10" s="1"/>
  <c r="L216" i="10"/>
  <c r="M216" i="10" s="1"/>
  <c r="L215" i="10"/>
  <c r="M215" i="10" s="1"/>
  <c r="L214" i="10"/>
  <c r="M214" i="10" s="1"/>
  <c r="L213" i="10"/>
  <c r="M213" i="10" s="1"/>
  <c r="L212" i="10"/>
  <c r="M212" i="10" s="1"/>
  <c r="L210" i="10"/>
  <c r="M210" i="10" s="1"/>
  <c r="L209" i="10"/>
  <c r="M209" i="10" s="1"/>
  <c r="L208" i="10"/>
  <c r="M208" i="10" s="1"/>
  <c r="L207" i="10"/>
  <c r="M207" i="10" s="1"/>
  <c r="L206" i="10"/>
  <c r="M206" i="10" s="1"/>
  <c r="L205" i="10"/>
  <c r="M205" i="10" s="1"/>
  <c r="L201" i="10"/>
  <c r="M201" i="10" s="1"/>
  <c r="M200" i="10" s="1"/>
  <c r="L199" i="10"/>
  <c r="M199" i="10" s="1"/>
  <c r="M198" i="10" s="1"/>
  <c r="L197" i="10"/>
  <c r="M197" i="10" s="1"/>
  <c r="M196" i="10" s="1"/>
  <c r="L195" i="10"/>
  <c r="M195" i="10" s="1"/>
  <c r="M194" i="10" s="1"/>
  <c r="L191" i="10"/>
  <c r="M191" i="10" s="1"/>
  <c r="M190" i="10" s="1"/>
  <c r="I189" i="10"/>
  <c r="L189" i="10" s="1"/>
  <c r="M189" i="10" s="1"/>
  <c r="M188" i="10" s="1"/>
  <c r="L187" i="10"/>
  <c r="M187" i="10" s="1"/>
  <c r="M186" i="10" s="1"/>
  <c r="L185" i="10"/>
  <c r="M185" i="10" s="1"/>
  <c r="L181" i="10"/>
  <c r="M181" i="10" s="1"/>
  <c r="M180" i="10" s="1"/>
  <c r="L179" i="10"/>
  <c r="M179" i="10" s="1"/>
  <c r="I179" i="10"/>
  <c r="L177" i="10"/>
  <c r="M177" i="10" s="1"/>
  <c r="M176" i="10" s="1"/>
  <c r="L175" i="10"/>
  <c r="M175" i="10" s="1"/>
  <c r="M174" i="10" s="1"/>
  <c r="L171" i="10"/>
  <c r="M171" i="10" s="1"/>
  <c r="M170" i="10" s="1"/>
  <c r="L169" i="10"/>
  <c r="M169" i="10" s="1"/>
  <c r="M168" i="10" s="1"/>
  <c r="L167" i="10"/>
  <c r="M167" i="10" s="1"/>
  <c r="M166" i="10" s="1"/>
  <c r="L165" i="10"/>
  <c r="M165" i="10" s="1"/>
  <c r="M164" i="10" s="1"/>
  <c r="L159" i="10"/>
  <c r="M159" i="10" s="1"/>
  <c r="L158" i="10"/>
  <c r="M158" i="10" s="1"/>
  <c r="L156" i="10"/>
  <c r="M156" i="10" s="1"/>
  <c r="M155" i="10" s="1"/>
  <c r="L154" i="10"/>
  <c r="M154" i="10" s="1"/>
  <c r="M153" i="10" s="1"/>
  <c r="L152" i="10"/>
  <c r="M152" i="10" s="1"/>
  <c r="L148" i="10"/>
  <c r="M148" i="10" s="1"/>
  <c r="L147" i="10"/>
  <c r="M147" i="10" s="1"/>
  <c r="L146" i="10"/>
  <c r="M146" i="10" s="1"/>
  <c r="L142" i="10"/>
  <c r="M142" i="10" s="1"/>
  <c r="M141" i="10" s="1"/>
  <c r="L140" i="10"/>
  <c r="G140" i="10"/>
  <c r="L134" i="10"/>
  <c r="M134" i="10" s="1"/>
  <c r="L133" i="10"/>
  <c r="M133" i="10" s="1"/>
  <c r="L131" i="10"/>
  <c r="M131" i="10" s="1"/>
  <c r="M130" i="10" s="1"/>
  <c r="L129" i="10"/>
  <c r="M129" i="10" s="1"/>
  <c r="M128" i="10" s="1"/>
  <c r="L127" i="10"/>
  <c r="M127" i="10" s="1"/>
  <c r="L123" i="10"/>
  <c r="M123" i="10" s="1"/>
  <c r="L121" i="10"/>
  <c r="M121" i="10" s="1"/>
  <c r="L120" i="10"/>
  <c r="M120" i="10" s="1"/>
  <c r="L119" i="10"/>
  <c r="M119" i="10" s="1"/>
  <c r="L118" i="10"/>
  <c r="M118" i="10" s="1"/>
  <c r="L117" i="10"/>
  <c r="M117" i="10" s="1"/>
  <c r="L116" i="10"/>
  <c r="M116" i="10" s="1"/>
  <c r="L115" i="10"/>
  <c r="M115" i="10" s="1"/>
  <c r="L114" i="10"/>
  <c r="M114" i="10" s="1"/>
  <c r="L113" i="10"/>
  <c r="M113" i="10" s="1"/>
  <c r="L112" i="10"/>
  <c r="M112" i="10" s="1"/>
  <c r="L109" i="10"/>
  <c r="M109" i="10" s="1"/>
  <c r="M108" i="10" s="1"/>
  <c r="L101" i="10"/>
  <c r="M101" i="10" s="1"/>
  <c r="M100" i="10" s="1"/>
  <c r="N100" i="10"/>
  <c r="L100" i="10"/>
  <c r="N99" i="10"/>
  <c r="L99" i="10"/>
  <c r="M99" i="10" s="1"/>
  <c r="M98" i="10" s="1"/>
  <c r="N98" i="10"/>
  <c r="L98" i="10"/>
  <c r="N97" i="10"/>
  <c r="L97" i="10"/>
  <c r="M97" i="10" s="1"/>
  <c r="L96" i="10"/>
  <c r="M96" i="10" s="1"/>
  <c r="L95" i="10"/>
  <c r="L94" i="10"/>
  <c r="M94" i="10" s="1"/>
  <c r="L93" i="10"/>
  <c r="M93" i="10" s="1"/>
  <c r="L92" i="10"/>
  <c r="L91" i="10"/>
  <c r="M91" i="10" s="1"/>
  <c r="K90" i="10"/>
  <c r="L90" i="10" s="1"/>
  <c r="M90" i="10" s="1"/>
  <c r="M89" i="10" s="1"/>
  <c r="L89" i="10"/>
  <c r="L88" i="10"/>
  <c r="M88" i="10" s="1"/>
  <c r="L87" i="10"/>
  <c r="M87" i="10" s="1"/>
  <c r="L86" i="10"/>
  <c r="M86" i="10" s="1"/>
  <c r="L85" i="10"/>
  <c r="M85" i="10" s="1"/>
  <c r="L84" i="10"/>
  <c r="M84" i="10" s="1"/>
  <c r="L83" i="10"/>
  <c r="L82" i="10"/>
  <c r="M82" i="10" s="1"/>
  <c r="L81" i="10"/>
  <c r="M81" i="10" s="1"/>
  <c r="L80" i="10"/>
  <c r="L79" i="10"/>
  <c r="L78" i="10"/>
  <c r="M78" i="10" s="1"/>
  <c r="L77" i="10"/>
  <c r="M77" i="10" s="1"/>
  <c r="L76" i="10"/>
  <c r="L75" i="10"/>
  <c r="M75" i="10" s="1"/>
  <c r="M74" i="10" s="1"/>
  <c r="L74" i="10"/>
  <c r="L73" i="10"/>
  <c r="L72" i="10"/>
  <c r="L71" i="10"/>
  <c r="M71" i="10" s="1"/>
  <c r="M70" i="10" s="1"/>
  <c r="L70" i="10"/>
  <c r="L69" i="10"/>
  <c r="M69" i="10" s="1"/>
  <c r="L68" i="10"/>
  <c r="M68" i="10" s="1"/>
  <c r="L67" i="10"/>
  <c r="L66" i="10"/>
  <c r="M66" i="10" s="1"/>
  <c r="L65" i="10"/>
  <c r="L64" i="10"/>
  <c r="M64" i="10" s="1"/>
  <c r="M63" i="10" s="1"/>
  <c r="L63" i="10"/>
  <c r="L62" i="10"/>
  <c r="M62" i="10" s="1"/>
  <c r="M61" i="10" s="1"/>
  <c r="L61" i="10"/>
  <c r="L60" i="10"/>
  <c r="M60" i="10" s="1"/>
  <c r="M59" i="10" s="1"/>
  <c r="L59" i="10"/>
  <c r="K58" i="10"/>
  <c r="L58" i="10" s="1"/>
  <c r="M58" i="10" s="1"/>
  <c r="L57" i="10"/>
  <c r="M57" i="10" s="1"/>
  <c r="K57" i="10"/>
  <c r="K52" i="10"/>
  <c r="L52" i="10" s="1"/>
  <c r="M52" i="10" s="1"/>
  <c r="M51" i="10" s="1"/>
  <c r="L51" i="10"/>
  <c r="L50" i="10"/>
  <c r="M50" i="10" s="1"/>
  <c r="L49" i="10"/>
  <c r="M49" i="10" s="1"/>
  <c r="L48" i="10"/>
  <c r="K47" i="10"/>
  <c r="L47" i="10" s="1"/>
  <c r="M47" i="10" s="1"/>
  <c r="K46" i="10"/>
  <c r="L46" i="10" s="1"/>
  <c r="M46" i="10" s="1"/>
  <c r="L45" i="10"/>
  <c r="M45" i="10" s="1"/>
  <c r="L44" i="10"/>
  <c r="L43" i="10"/>
  <c r="M43" i="10" s="1"/>
  <c r="L42" i="10"/>
  <c r="M42" i="10" s="1"/>
  <c r="L41" i="10"/>
  <c r="M41" i="10" s="1"/>
  <c r="L40" i="10"/>
  <c r="M40" i="10" s="1"/>
  <c r="L39" i="10"/>
  <c r="M39" i="10" s="1"/>
  <c r="L38" i="10"/>
  <c r="M38" i="10" s="1"/>
  <c r="L37" i="10"/>
  <c r="M37" i="10" s="1"/>
  <c r="L36" i="10"/>
  <c r="L35" i="10"/>
  <c r="M35" i="10" s="1"/>
  <c r="M34" i="10" s="1"/>
  <c r="L34" i="10"/>
  <c r="L33" i="10"/>
  <c r="M33" i="10" s="1"/>
  <c r="M32" i="10" s="1"/>
  <c r="L32" i="10"/>
  <c r="L31" i="10"/>
  <c r="M31" i="10" s="1"/>
  <c r="L30" i="10"/>
  <c r="M30" i="10" s="1"/>
  <c r="L29" i="10"/>
  <c r="L28" i="10"/>
  <c r="M28" i="10" s="1"/>
  <c r="M27" i="10" s="1"/>
  <c r="L27" i="10"/>
  <c r="L26" i="10"/>
  <c r="M26" i="10" s="1"/>
  <c r="L25" i="10"/>
  <c r="M25" i="10" s="1"/>
  <c r="L24" i="10"/>
  <c r="L23" i="10"/>
  <c r="M23" i="10" s="1"/>
  <c r="L22" i="10"/>
  <c r="M22" i="10" s="1"/>
  <c r="L21" i="10"/>
  <c r="M21" i="10" s="1"/>
  <c r="L20" i="10"/>
  <c r="M20" i="10" s="1"/>
  <c r="L19" i="10"/>
  <c r="L18" i="10"/>
  <c r="M18" i="10" s="1"/>
  <c r="M17" i="10" s="1"/>
  <c r="L17" i="10"/>
  <c r="L16" i="10"/>
  <c r="M16" i="10" s="1"/>
  <c r="L15" i="10"/>
  <c r="M15" i="10" s="1"/>
  <c r="L14" i="10"/>
  <c r="M14" i="10" s="1"/>
  <c r="L13" i="10"/>
  <c r="M13" i="10" s="1"/>
  <c r="L12" i="10"/>
  <c r="L11" i="10"/>
  <c r="M11" i="10" s="1"/>
  <c r="L10" i="10"/>
  <c r="M10" i="10" s="1"/>
  <c r="L9" i="10"/>
  <c r="L8" i="10"/>
  <c r="M8" i="10" s="1"/>
  <c r="M7" i="10" s="1"/>
  <c r="L7" i="10"/>
  <c r="L6" i="10"/>
  <c r="M6" i="10" s="1"/>
  <c r="L5" i="10"/>
  <c r="M5" i="10" s="1"/>
  <c r="L249" i="10" l="1"/>
  <c r="M249" i="10" s="1"/>
  <c r="M248" i="10" s="1"/>
  <c r="M1122" i="10"/>
  <c r="M389" i="10"/>
  <c r="M388" i="10" s="1"/>
  <c r="L377" i="10"/>
  <c r="M377" i="10" s="1"/>
  <c r="M376" i="10" s="1"/>
  <c r="L1319" i="10"/>
  <c r="M1319" i="10" s="1"/>
  <c r="M1312" i="10" s="1"/>
  <c r="M1245" i="10"/>
  <c r="M1226" i="10" s="1"/>
  <c r="M737" i="10"/>
  <c r="M24" i="10"/>
  <c r="M1914" i="10"/>
  <c r="M1913" i="10" s="1"/>
  <c r="M254" i="10"/>
  <c r="M253" i="10" s="1"/>
  <c r="M557" i="10"/>
  <c r="M1294" i="10"/>
  <c r="M1278" i="10" s="1"/>
  <c r="M763" i="10"/>
  <c r="M95" i="10"/>
  <c r="M770" i="10"/>
  <c r="M9" i="10"/>
  <c r="M1374" i="10"/>
  <c r="M48" i="10"/>
  <c r="M283" i="10"/>
  <c r="M344" i="10"/>
  <c r="M533" i="10"/>
  <c r="M1033" i="10"/>
  <c r="M982" i="10" s="1"/>
  <c r="L323" i="10"/>
  <c r="M323" i="10" s="1"/>
  <c r="M322" i="10" s="1"/>
  <c r="M543" i="10"/>
  <c r="M1740" i="10"/>
  <c r="M266" i="10"/>
  <c r="M1700" i="10"/>
  <c r="M1772" i="10"/>
  <c r="M1771" i="10" s="1"/>
  <c r="M1830" i="10"/>
  <c r="M1939" i="10"/>
  <c r="L272" i="10"/>
  <c r="M272" i="10" s="1"/>
  <c r="M271" i="10" s="1"/>
  <c r="M1996" i="10"/>
  <c r="M507" i="10"/>
  <c r="M505" i="10" s="1"/>
  <c r="H1515" i="10"/>
  <c r="L295" i="10"/>
  <c r="M295" i="10" s="1"/>
  <c r="M294" i="10" s="1"/>
  <c r="M316" i="10"/>
  <c r="M1823" i="10"/>
  <c r="L1354" i="10"/>
  <c r="M1354" i="10" s="1"/>
  <c r="M1349" i="10" s="1"/>
  <c r="M226" i="10"/>
  <c r="M243" i="10"/>
  <c r="M1422" i="10"/>
  <c r="M1737" i="10"/>
  <c r="M347" i="10"/>
  <c r="M632" i="10"/>
  <c r="M246" i="10"/>
  <c r="M281" i="10"/>
  <c r="M184" i="10"/>
  <c r="M183" i="10" s="1"/>
  <c r="M374" i="10"/>
  <c r="M380" i="10"/>
  <c r="M178" i="10"/>
  <c r="M173" i="10" s="1"/>
  <c r="M237" i="10"/>
  <c r="M328" i="10"/>
  <c r="M145" i="10"/>
  <c r="M144" i="10" s="1"/>
  <c r="L339" i="10"/>
  <c r="M339" i="10" s="1"/>
  <c r="L408" i="10"/>
  <c r="M408" i="10" s="1"/>
  <c r="M405" i="10" s="1"/>
  <c r="M1681" i="10"/>
  <c r="L280" i="10"/>
  <c r="M280" i="10" s="1"/>
  <c r="M279" i="10" s="1"/>
  <c r="M459" i="10"/>
  <c r="M458" i="10" s="1"/>
  <c r="M1685" i="10"/>
  <c r="M163" i="10"/>
  <c r="M334" i="10"/>
  <c r="M67" i="10"/>
  <c r="M204" i="10"/>
  <c r="M364" i="10"/>
  <c r="M2002" i="10"/>
  <c r="M140" i="10"/>
  <c r="M139" i="10" s="1"/>
  <c r="M138" i="10" s="1"/>
  <c r="M487" i="10"/>
  <c r="M1728" i="10"/>
  <c r="M224" i="10"/>
  <c r="M1257" i="10"/>
  <c r="M193" i="10"/>
  <c r="L338" i="10"/>
  <c r="M338" i="10" s="1"/>
  <c r="M473" i="10"/>
  <c r="M470" i="10" s="1"/>
  <c r="M685" i="10"/>
  <c r="M740" i="10"/>
  <c r="M218" i="10"/>
  <c r="L350" i="10"/>
  <c r="M350" i="10" s="1"/>
  <c r="M349" i="10" s="1"/>
  <c r="M400" i="10"/>
  <c r="M1118" i="10"/>
  <c r="M752" i="10"/>
  <c r="M751" i="10" s="1"/>
  <c r="M926" i="10"/>
  <c r="M925" i="10" s="1"/>
  <c r="M1377" i="10"/>
  <c r="M1602" i="10"/>
  <c r="M1616" i="10"/>
  <c r="M1856" i="10"/>
  <c r="M967" i="10"/>
  <c r="M1789" i="10"/>
  <c r="M1970" i="10"/>
  <c r="M1734" i="10"/>
  <c r="M1826" i="10"/>
  <c r="M1900" i="10"/>
  <c r="M1649" i="10"/>
  <c r="M1863" i="10"/>
  <c r="M1965" i="10"/>
  <c r="M779" i="10"/>
  <c r="M1060" i="10"/>
  <c r="L748" i="10"/>
  <c r="M748" i="10" s="1"/>
  <c r="M747" i="10" s="1"/>
  <c r="M1216" i="10"/>
  <c r="M1184" i="10" s="1"/>
  <c r="M1753" i="10"/>
  <c r="M1768" i="10"/>
  <c r="M4" i="10"/>
  <c r="M29" i="10"/>
  <c r="M44" i="10"/>
  <c r="M19" i="10"/>
  <c r="M36" i="10"/>
  <c r="M83" i="10"/>
  <c r="M65" i="10"/>
  <c r="M12" i="10"/>
  <c r="M122" i="10"/>
  <c r="M80" i="10"/>
  <c r="M76" i="10"/>
  <c r="M56" i="10"/>
  <c r="M92" i="10"/>
  <c r="M445" i="10"/>
  <c r="M111" i="10"/>
  <c r="M392" i="10"/>
  <c r="M126" i="10"/>
  <c r="M157" i="10"/>
  <c r="M451" i="10"/>
  <c r="O97" i="10"/>
  <c r="M588" i="10"/>
  <c r="M211" i="10"/>
  <c r="M303" i="10"/>
  <c r="M356" i="10"/>
  <c r="M250" i="10"/>
  <c r="M132" i="10"/>
  <c r="M221" i="10"/>
  <c r="M151" i="10"/>
  <c r="M290" i="10"/>
  <c r="M490" i="10"/>
  <c r="M642" i="10"/>
  <c r="M570" i="10"/>
  <c r="M608" i="10"/>
  <c r="M620" i="10"/>
  <c r="M478" i="10"/>
  <c r="M599" i="10"/>
  <c r="M657" i="10"/>
  <c r="M669" i="10"/>
  <c r="M410" i="10"/>
  <c r="M433" i="10"/>
  <c r="M514" i="10"/>
  <c r="M526" i="10"/>
  <c r="M395" i="10"/>
  <c r="M688" i="10"/>
  <c r="M744" i="10"/>
  <c r="M430" i="10"/>
  <c r="M423" i="10" s="1"/>
  <c r="M440" i="10"/>
  <c r="M700" i="10"/>
  <c r="M482" i="10"/>
  <c r="M815" i="10"/>
  <c r="M881" i="10"/>
  <c r="M900" i="10"/>
  <c r="M784" i="10"/>
  <c r="M889" i="10"/>
  <c r="M714" i="10"/>
  <c r="M955" i="10"/>
  <c r="M980" i="10"/>
  <c r="M1135" i="10"/>
  <c r="M731" i="10"/>
  <c r="M971" i="10"/>
  <c r="M767" i="10"/>
  <c r="M776" i="10"/>
  <c r="M946" i="10"/>
  <c r="M798" i="10"/>
  <c r="M1103" i="10"/>
  <c r="M1390" i="10"/>
  <c r="M1416" i="10"/>
  <c r="M1178" i="10"/>
  <c r="M1157" i="10" s="1"/>
  <c r="M1638" i="10"/>
  <c r="M1665" i="10"/>
  <c r="M1994" i="10"/>
  <c r="M1569" i="10"/>
  <c r="M1427" i="10"/>
  <c r="M1982" i="10"/>
  <c r="M1528" i="10"/>
  <c r="M1578" i="10"/>
  <c r="M1465" i="10"/>
  <c r="M1643" i="10"/>
  <c r="M1673" i="10"/>
  <c r="M1691" i="10"/>
  <c r="M1844" i="10"/>
  <c r="M1947" i="10"/>
  <c r="M1711" i="10"/>
  <c r="M2022" i="10"/>
  <c r="M1802" i="10"/>
  <c r="M1836" i="10"/>
  <c r="M1926" i="10"/>
  <c r="M1704" i="10"/>
  <c r="M1747" i="10"/>
  <c r="M1808" i="10"/>
  <c r="M1815" i="10"/>
  <c r="M1903" i="10"/>
  <c r="M1921" i="10"/>
  <c r="M2004" i="10"/>
  <c r="M2014" i="10"/>
  <c r="M1881" i="10"/>
  <c r="M1986" i="10"/>
  <c r="M1759" i="10"/>
  <c r="M1792" i="10"/>
  <c r="M1876" i="10"/>
  <c r="M2031" i="10"/>
  <c r="M1721" i="10"/>
  <c r="M385" i="10" l="1"/>
  <c r="M743" i="10"/>
  <c r="M289" i="10"/>
  <c r="M542" i="10"/>
  <c r="M355" i="10"/>
  <c r="M343" i="10"/>
  <c r="M315" i="10"/>
  <c r="M766" i="10"/>
  <c r="M1822" i="10"/>
  <c r="M242" i="10"/>
  <c r="M1964" i="10"/>
  <c r="M1365" i="10"/>
  <c r="M1102" i="10" s="1"/>
  <c r="M1938" i="10"/>
  <c r="M525" i="10"/>
  <c r="M1577" i="10"/>
  <c r="M1733" i="10"/>
  <c r="M420" i="10"/>
  <c r="M619" i="10"/>
  <c r="M1788" i="10"/>
  <c r="M1835" i="10"/>
  <c r="M888" i="10"/>
  <c r="M439" i="10"/>
  <c r="M1899" i="10"/>
  <c r="M203" i="10"/>
  <c r="M162" i="10" s="1"/>
  <c r="M1648" i="10"/>
  <c r="M486" i="10"/>
  <c r="M265" i="10"/>
  <c r="M1875" i="10"/>
  <c r="M373" i="10"/>
  <c r="M775" i="10"/>
  <c r="M276" i="10"/>
  <c r="M1699" i="10"/>
  <c r="M1615" i="10"/>
  <c r="M125" i="10"/>
  <c r="M337" i="10"/>
  <c r="M327" i="10" s="1"/>
  <c r="M1389" i="10"/>
  <c r="M1855" i="10"/>
  <c r="M504" i="10"/>
  <c r="M3" i="10"/>
  <c r="M477" i="10"/>
  <c r="M569" i="10"/>
  <c r="M1981" i="10"/>
  <c r="M1746" i="10"/>
  <c r="M656" i="10"/>
  <c r="M797" i="10"/>
  <c r="M1920" i="10"/>
  <c r="M110" i="10"/>
  <c r="M55" i="10"/>
  <c r="M1464" i="10"/>
  <c r="M945" i="10"/>
  <c r="M699" i="10"/>
  <c r="M150" i="10"/>
  <c r="M137" i="10" s="1"/>
  <c r="M79" i="10"/>
  <c r="M73" i="10" s="1"/>
  <c r="M107" i="10" l="1"/>
  <c r="M241" i="10"/>
  <c r="M314" i="10"/>
  <c r="M419" i="10"/>
  <c r="M1388" i="10"/>
  <c r="M1698" i="10"/>
  <c r="M1834" i="10"/>
  <c r="M1814" i="10" s="1"/>
  <c r="M541" i="10"/>
  <c r="M418" i="10" s="1"/>
  <c r="M54" i="10"/>
  <c r="M2" i="10" s="1"/>
  <c r="M106" i="10" l="1"/>
  <c r="M2042" i="10" s="1"/>
  <c r="B8" i="6" l="1"/>
  <c r="B9" i="6" s="1"/>
  <c r="B10" i="6" s="1"/>
  <c r="B11" i="6" s="1"/>
  <c r="B12" i="6" s="1"/>
  <c r="B13" i="6" s="1"/>
  <c r="B14" i="6" s="1"/>
  <c r="B15" i="6" s="1"/>
  <c r="B16" i="6" s="1"/>
  <c r="B17" i="6" s="1"/>
  <c r="C7" i="2"/>
  <c r="D7" i="2"/>
  <c r="V5" i="2"/>
  <c r="G5" i="2"/>
  <c r="H5" i="2"/>
  <c r="I5" i="2"/>
  <c r="J5" i="2"/>
  <c r="K5" i="2"/>
  <c r="L5" i="2"/>
  <c r="N5" i="2"/>
  <c r="O5" i="2"/>
  <c r="P5" i="2"/>
  <c r="Q5" i="2"/>
  <c r="R5" i="2"/>
  <c r="F5" i="2"/>
  <c r="G9" i="1"/>
  <c r="I9" i="1" s="1"/>
  <c r="E11" i="9" l="1"/>
  <c r="E66" i="9"/>
  <c r="E38" i="9"/>
  <c r="E54" i="9"/>
  <c r="E76" i="9"/>
  <c r="E49" i="9"/>
  <c r="E43" i="9"/>
  <c r="E31" i="9"/>
  <c r="E51" i="9"/>
  <c r="E25" i="9"/>
  <c r="E8" i="9"/>
  <c r="E16" i="9"/>
  <c r="E17" i="9"/>
  <c r="E28" i="9"/>
  <c r="E33" i="9"/>
  <c r="E19" i="9"/>
  <c r="E18" i="9"/>
  <c r="E53" i="9"/>
  <c r="E62" i="9"/>
  <c r="E24" i="9"/>
  <c r="E65" i="9"/>
  <c r="E67" i="9"/>
  <c r="E41" i="9"/>
  <c r="E30" i="9"/>
  <c r="E26" i="9"/>
  <c r="E22" i="9"/>
  <c r="E55" i="9"/>
  <c r="E32" i="9"/>
  <c r="E9" i="9"/>
  <c r="E59" i="9"/>
  <c r="E13" i="9"/>
  <c r="E70" i="9"/>
  <c r="E40" i="9"/>
  <c r="E10" i="9"/>
  <c r="E75" i="9"/>
  <c r="E37" i="9"/>
  <c r="E50" i="9"/>
  <c r="E46" i="9"/>
  <c r="E12" i="9"/>
  <c r="E21" i="9"/>
  <c r="E45" i="9"/>
  <c r="E23" i="9"/>
  <c r="E48" i="9"/>
  <c r="E34" i="9"/>
  <c r="E44" i="9"/>
  <c r="E56" i="9"/>
  <c r="E63" i="9"/>
  <c r="E52" i="9"/>
  <c r="E72" i="9"/>
  <c r="E36" i="9"/>
  <c r="E61" i="9"/>
  <c r="E29" i="9"/>
  <c r="E39" i="9"/>
  <c r="E64" i="9"/>
  <c r="E42" i="9"/>
  <c r="E60" i="9"/>
  <c r="E35" i="9"/>
  <c r="E15" i="9"/>
  <c r="E68" i="9"/>
  <c r="E73" i="9"/>
  <c r="E74" i="9"/>
  <c r="E20" i="9"/>
  <c r="E27" i="9"/>
  <c r="E69" i="9"/>
  <c r="E14" i="9"/>
  <c r="E47" i="9"/>
  <c r="E58" i="9"/>
  <c r="E57" i="9"/>
  <c r="E71" i="9"/>
  <c r="K9" i="1"/>
  <c r="M9" i="1" s="1"/>
  <c r="O9" i="1" s="1"/>
  <c r="Q9" i="1" s="1"/>
  <c r="O3" i="2"/>
  <c r="O3" i="4" s="1"/>
  <c r="O3" i="5" s="1"/>
  <c r="O3" i="6" s="1"/>
  <c r="O3" i="7" s="1"/>
  <c r="O3" i="8" s="1"/>
  <c r="G7" i="1"/>
  <c r="B8" i="4"/>
  <c r="B9" i="4" s="1"/>
  <c r="B10" i="4" s="1"/>
  <c r="B11" i="4" s="1"/>
  <c r="B12" i="4" s="1"/>
  <c r="B13" i="4" s="1"/>
  <c r="B14" i="4" s="1"/>
  <c r="B15" i="4" s="1"/>
  <c r="B16" i="4" s="1"/>
  <c r="B17" i="4" s="1"/>
  <c r="B18" i="4" s="1"/>
  <c r="B19" i="4" s="1"/>
  <c r="B20" i="4" s="1"/>
  <c r="B21" i="4" s="1"/>
  <c r="G6" i="4"/>
  <c r="H6" i="4" s="1"/>
  <c r="I6" i="4" s="1"/>
  <c r="J6" i="4" s="1"/>
  <c r="K6" i="4" s="1"/>
  <c r="L6" i="4" s="1"/>
  <c r="M6" i="4" s="1"/>
  <c r="N6" i="4" s="1"/>
  <c r="O6" i="4" s="1"/>
  <c r="Q6" i="4" s="1"/>
  <c r="R6" i="4" s="1"/>
  <c r="T6" i="4" s="1"/>
  <c r="U6" i="4" s="1"/>
  <c r="B8" i="5"/>
  <c r="B9" i="5" s="1"/>
  <c r="B10" i="5" s="1"/>
  <c r="B11" i="5" s="1"/>
  <c r="B12" i="5" s="1"/>
  <c r="B13" i="5" s="1"/>
  <c r="B14" i="5" s="1"/>
  <c r="B15" i="5" s="1"/>
  <c r="B16" i="5" s="1"/>
  <c r="B17" i="5" s="1"/>
  <c r="B18" i="5" s="1"/>
  <c r="B19" i="5" s="1"/>
  <c r="G6" i="5"/>
  <c r="H6" i="5" s="1"/>
  <c r="I6" i="5" s="1"/>
  <c r="J6" i="5" s="1"/>
  <c r="K6" i="5" s="1"/>
  <c r="L6" i="5" s="1"/>
  <c r="M6" i="5" s="1"/>
  <c r="N6" i="5" s="1"/>
  <c r="O6" i="5" s="1"/>
  <c r="Q6" i="5" s="1"/>
  <c r="R6" i="5" s="1"/>
  <c r="T6" i="5" s="1"/>
  <c r="U6" i="5" s="1"/>
  <c r="G6" i="6"/>
  <c r="H6" i="6" s="1"/>
  <c r="I6" i="6" s="1"/>
  <c r="J6" i="6" s="1"/>
  <c r="K6" i="6" s="1"/>
  <c r="L6" i="6" s="1"/>
  <c r="M6" i="6" s="1"/>
  <c r="N6" i="6" s="1"/>
  <c r="O6" i="6" s="1"/>
  <c r="Q6" i="6" s="1"/>
  <c r="R6" i="6" s="1"/>
  <c r="T6" i="6" s="1"/>
  <c r="U6" i="6" s="1"/>
  <c r="B8" i="7"/>
  <c r="B9" i="7" s="1"/>
  <c r="B10" i="7" s="1"/>
  <c r="B11" i="7" s="1"/>
  <c r="B12" i="7" s="1"/>
  <c r="B13" i="7" s="1"/>
  <c r="B14" i="7" s="1"/>
  <c r="B15" i="7" s="1"/>
  <c r="B16" i="7" s="1"/>
  <c r="B17" i="7" s="1"/>
  <c r="G6" i="7"/>
  <c r="H6" i="7" s="1"/>
  <c r="I6" i="7" s="1"/>
  <c r="J6" i="7" s="1"/>
  <c r="K6" i="7" s="1"/>
  <c r="L6" i="7" s="1"/>
  <c r="M6" i="7" s="1"/>
  <c r="N6" i="7" s="1"/>
  <c r="O6" i="7" s="1"/>
  <c r="Q6" i="7" s="1"/>
  <c r="R6" i="7" s="1"/>
  <c r="T6" i="7" s="1"/>
  <c r="U6" i="7" s="1"/>
  <c r="G6" i="8"/>
  <c r="H6" i="8" s="1"/>
  <c r="I6" i="8" s="1"/>
  <c r="J6" i="8" s="1"/>
  <c r="K6" i="8" s="1"/>
  <c r="L6" i="8" s="1"/>
  <c r="M6" i="8" s="1"/>
  <c r="N6" i="8" s="1"/>
  <c r="O6" i="8" s="1"/>
  <c r="Q6" i="8" s="1"/>
  <c r="R6" i="8" s="1"/>
  <c r="T6" i="8" s="1"/>
  <c r="U6" i="8" s="1"/>
  <c r="W23" i="1" l="1"/>
  <c r="W26" i="1"/>
  <c r="W24" i="1"/>
  <c r="W25" i="1"/>
  <c r="V6" i="5"/>
  <c r="X6" i="5" s="1"/>
  <c r="E77" i="6"/>
  <c r="E77" i="5"/>
  <c r="E77" i="4"/>
  <c r="B18" i="6"/>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W22" i="1"/>
  <c r="U20" i="1"/>
  <c r="T20" i="1"/>
  <c r="W27" i="1"/>
  <c r="F77" i="2"/>
  <c r="B8" i="8"/>
  <c r="B9" i="8" s="1"/>
  <c r="B10" i="8" s="1"/>
  <c r="B11" i="8" s="1"/>
  <c r="B12" i="8" s="1"/>
  <c r="B13" i="8" s="1"/>
  <c r="B14" i="8" s="1"/>
  <c r="B15" i="8" s="1"/>
  <c r="B16" i="8" s="1"/>
  <c r="W21" i="1" l="1"/>
  <c r="W20" i="1"/>
  <c r="B57" i="6"/>
  <c r="B58" i="6" s="1"/>
  <c r="B59" i="6" s="1"/>
  <c r="B60" i="6" s="1"/>
  <c r="B61" i="6" s="1"/>
  <c r="B62" i="6" s="1"/>
  <c r="B63" i="6" s="1"/>
  <c r="B64" i="6" s="1"/>
  <c r="B65" i="6" s="1"/>
  <c r="B66" i="6" s="1"/>
  <c r="B67" i="6" s="1"/>
  <c r="B68" i="6" s="1"/>
  <c r="B69" i="6" s="1"/>
  <c r="B70" i="6" s="1"/>
  <c r="B71" i="6" s="1"/>
  <c r="B72" i="6" s="1"/>
  <c r="B73" i="6" s="1"/>
  <c r="B74" i="6" s="1"/>
  <c r="B75" i="6" s="1"/>
  <c r="B76" i="6" s="1"/>
  <c r="AK77" i="2"/>
  <c r="E7" i="9"/>
  <c r="B18" i="7"/>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20" i="5"/>
  <c r="B21" i="5" s="1"/>
  <c r="B22" i="5" s="1"/>
  <c r="B23" i="5" s="1"/>
  <c r="B24" i="5" s="1"/>
  <c r="B25" i="5" s="1"/>
  <c r="B26" i="5" s="1"/>
  <c r="B27" i="5" s="1"/>
  <c r="B28" i="5" s="1"/>
  <c r="B29" i="5" s="1"/>
  <c r="B30" i="5" s="1"/>
  <c r="B31" i="5" s="1"/>
  <c r="B32" i="5" s="1"/>
  <c r="B33" i="5" s="1"/>
  <c r="B34" i="5" s="1"/>
  <c r="B35" i="5" s="1"/>
  <c r="B22" i="4"/>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V20" i="1"/>
  <c r="A12" i="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57" i="7" l="1"/>
  <c r="B58" i="7" s="1"/>
  <c r="B59" i="7" s="1"/>
  <c r="B60" i="7" s="1"/>
  <c r="B61" i="7" s="1"/>
  <c r="B62" i="7" s="1"/>
  <c r="B63" i="7" s="1"/>
  <c r="B64" i="7" s="1"/>
  <c r="B65" i="7" s="1"/>
  <c r="B66" i="7" s="1"/>
  <c r="B67" i="7" s="1"/>
  <c r="B68" i="7" s="1"/>
  <c r="B69" i="7" s="1"/>
  <c r="B70" i="7" s="1"/>
  <c r="B71" i="7" s="1"/>
  <c r="B72" i="7" s="1"/>
  <c r="B73" i="7" s="1"/>
  <c r="B74" i="7" s="1"/>
  <c r="B75" i="7" s="1"/>
  <c r="B76" i="7" s="1"/>
  <c r="B36" i="5"/>
  <c r="B37" i="5" s="1"/>
  <c r="B38" i="5" s="1"/>
  <c r="B39" i="5" s="1"/>
  <c r="B40" i="5" s="1"/>
  <c r="B41" i="5" s="1"/>
  <c r="B42" i="5" s="1"/>
  <c r="B43" i="5" s="1"/>
  <c r="B44" i="5" s="1"/>
  <c r="B45" i="5" s="1"/>
  <c r="B46" i="5" s="1"/>
  <c r="B47" i="5" s="1"/>
  <c r="B48" i="5" s="1"/>
  <c r="B49" i="5" s="1"/>
  <c r="B50" i="5" s="1"/>
  <c r="B51" i="5" s="1"/>
  <c r="B52" i="5" s="1"/>
  <c r="B53" i="5" s="1"/>
  <c r="B54" i="5" s="1"/>
  <c r="B55" i="5" s="1"/>
  <c r="B56" i="5" s="1"/>
  <c r="E77" i="9"/>
  <c r="B17" i="8"/>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5" i="4"/>
  <c r="B56" i="4" s="1"/>
  <c r="U17" i="1"/>
  <c r="T17" i="1"/>
  <c r="U18" i="1"/>
  <c r="T18" i="1"/>
  <c r="U19" i="1"/>
  <c r="T19" i="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T12" i="1"/>
  <c r="U12" i="1"/>
  <c r="T13" i="1"/>
  <c r="U13" i="1"/>
  <c r="T14" i="1"/>
  <c r="U14" i="1"/>
  <c r="T15" i="1"/>
  <c r="U15" i="1"/>
  <c r="T16" i="1"/>
  <c r="U16" i="1"/>
  <c r="W18" i="1" l="1"/>
  <c r="W17" i="1"/>
  <c r="W19" i="1"/>
  <c r="B57" i="8"/>
  <c r="B58" i="8" s="1"/>
  <c r="B59" i="8" s="1"/>
  <c r="B60" i="8" s="1"/>
  <c r="B61" i="8" s="1"/>
  <c r="B62" i="8" s="1"/>
  <c r="B63" i="8" s="1"/>
  <c r="B64" i="8" s="1"/>
  <c r="B65" i="8" s="1"/>
  <c r="B66" i="8" s="1"/>
  <c r="B67" i="8" s="1"/>
  <c r="B68" i="8" s="1"/>
  <c r="B69" i="8" s="1"/>
  <c r="B70" i="8" s="1"/>
  <c r="B71" i="8" s="1"/>
  <c r="B72" i="8" s="1"/>
  <c r="B73" i="8" s="1"/>
  <c r="B74" i="8" s="1"/>
  <c r="B75" i="8" s="1"/>
  <c r="B76" i="8" s="1"/>
  <c r="B57" i="5"/>
  <c r="B58" i="5" s="1"/>
  <c r="B59" i="5" s="1"/>
  <c r="B60" i="5" s="1"/>
  <c r="B61" i="5" s="1"/>
  <c r="B62" i="5" s="1"/>
  <c r="B63" i="5" s="1"/>
  <c r="B64" i="5" s="1"/>
  <c r="B65" i="5" s="1"/>
  <c r="B66" i="5" s="1"/>
  <c r="B67" i="5" s="1"/>
  <c r="B68" i="5" s="1"/>
  <c r="B69" i="5" s="1"/>
  <c r="B70" i="5" s="1"/>
  <c r="B71" i="5" s="1"/>
  <c r="B72" i="5" s="1"/>
  <c r="B73" i="5" s="1"/>
  <c r="B74" i="5" s="1"/>
  <c r="B75" i="5" s="1"/>
  <c r="B76" i="5" s="1"/>
  <c r="B57" i="4"/>
  <c r="B58" i="4" s="1"/>
  <c r="B59" i="4" s="1"/>
  <c r="B60" i="4" s="1"/>
  <c r="B61" i="4" s="1"/>
  <c r="B62" i="4" s="1"/>
  <c r="B63" i="4" s="1"/>
  <c r="B64" i="4" s="1"/>
  <c r="B65" i="4" s="1"/>
  <c r="B66" i="4" s="1"/>
  <c r="B67" i="4" s="1"/>
  <c r="B68" i="4" s="1"/>
  <c r="B69" i="4" s="1"/>
  <c r="B70" i="4" s="1"/>
  <c r="B71" i="4" s="1"/>
  <c r="B72" i="4" s="1"/>
  <c r="B73" i="4" s="1"/>
  <c r="B74" i="4" s="1"/>
  <c r="B75" i="4" s="1"/>
  <c r="B76" i="4" s="1"/>
  <c r="O42" i="1"/>
  <c r="O43" i="1"/>
  <c r="G42" i="1"/>
  <c r="G43" i="1"/>
  <c r="I42" i="1"/>
  <c r="I43" i="1"/>
  <c r="T42" i="1"/>
  <c r="K42" i="1"/>
  <c r="K43" i="1"/>
  <c r="Q42" i="1"/>
  <c r="Q43" i="1"/>
  <c r="M42" i="1"/>
  <c r="M43" i="1"/>
  <c r="U42" i="1"/>
  <c r="V17" i="1"/>
  <c r="V18" i="1"/>
  <c r="V19" i="1"/>
  <c r="V11" i="1"/>
  <c r="V15" i="1"/>
  <c r="V13" i="1"/>
  <c r="V12" i="1"/>
  <c r="V16" i="1"/>
  <c r="V14" i="1"/>
  <c r="V42" i="1" l="1"/>
  <c r="W15" i="1"/>
  <c r="W13" i="1"/>
  <c r="W14" i="1"/>
  <c r="W12" i="1"/>
  <c r="W16" i="1"/>
  <c r="D77" i="9" l="1"/>
  <c r="W11" i="1" l="1"/>
  <c r="W4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OT_BRUNO</author>
  </authors>
  <commentList>
    <comment ref="I799" authorId="0" shapeId="0" xr:uid="{9678D7E0-F824-421B-8905-FAF7DD53219E}">
      <text>
        <r>
          <rPr>
            <b/>
            <sz val="9"/>
            <color indexed="81"/>
            <rFont val="Tahoma"/>
            <family val="2"/>
          </rPr>
          <t>OT_BRUNO:</t>
        </r>
        <r>
          <rPr>
            <sz val="9"/>
            <color indexed="81"/>
            <rFont val="Tahoma"/>
            <family val="2"/>
          </rPr>
          <t xml:space="preserve">
MAMPARAS DE SUM y GYM, SE CARGO A VARIOS ARQUITECTURA</t>
        </r>
      </text>
    </comment>
  </commentList>
</comments>
</file>

<file path=xl/sharedStrings.xml><?xml version="1.0" encoding="utf-8"?>
<sst xmlns="http://schemas.openxmlformats.org/spreadsheetml/2006/main" count="7982" uniqueCount="3630">
  <si>
    <t>Obra</t>
  </si>
  <si>
    <t>Cliente</t>
  </si>
  <si>
    <t xml:space="preserve">Nº </t>
  </si>
  <si>
    <t>DNI</t>
  </si>
  <si>
    <t>TOTAL DE HORAS NORMALES</t>
  </si>
  <si>
    <t>TOTAL DE HORAS EXTRAS</t>
  </si>
  <si>
    <t>HORAS EXTRAS AL 60%</t>
  </si>
  <si>
    <t>HORAS EXTRAS AL 100%</t>
  </si>
  <si>
    <t>TOTAL DE HORAS TRABAJADAS</t>
  </si>
  <si>
    <t>LUNES</t>
  </si>
  <si>
    <t>MARTES</t>
  </si>
  <si>
    <t>MIERCOLES</t>
  </si>
  <si>
    <t>JUEVES</t>
  </si>
  <si>
    <t>VIERNES</t>
  </si>
  <si>
    <t>SABADO</t>
  </si>
  <si>
    <t>HN</t>
  </si>
  <si>
    <t>Ext</t>
  </si>
  <si>
    <t>Ext.</t>
  </si>
  <si>
    <t>Total de Horas por dia</t>
  </si>
  <si>
    <t>Numero de personas</t>
  </si>
  <si>
    <t>Revisado</t>
  </si>
  <si>
    <t>Aprobado</t>
  </si>
  <si>
    <t xml:space="preserve">LEYENDA: </t>
  </si>
  <si>
    <t xml:space="preserve">DESCANSO MEDICO </t>
  </si>
  <si>
    <t xml:space="preserve">RETIRADOS </t>
  </si>
  <si>
    <t xml:space="preserve">FALTA </t>
  </si>
  <si>
    <t xml:space="preserve">PERMISO </t>
  </si>
  <si>
    <t xml:space="preserve">FERIADO </t>
  </si>
  <si>
    <t>TURNO NOCHE</t>
  </si>
  <si>
    <t>TRABAJO EN TECHO</t>
  </si>
  <si>
    <t>REPORTE DE TAREO DE PERSONAL OBRERO</t>
  </si>
  <si>
    <t>APELLIDOS</t>
  </si>
  <si>
    <t>NOMBRES</t>
  </si>
  <si>
    <t xml:space="preserve">PEREZ GALLEGOS </t>
  </si>
  <si>
    <t>LITORAL 900</t>
  </si>
  <si>
    <t>INVERSIONES SAURIS SAC</t>
  </si>
  <si>
    <t>PEON</t>
  </si>
  <si>
    <t>CATEGORIA</t>
  </si>
  <si>
    <t>ESPECIALIDAD</t>
  </si>
  <si>
    <t>CLIENTE</t>
  </si>
  <si>
    <t>ITEM</t>
  </si>
  <si>
    <t>TRABAJADOR</t>
  </si>
  <si>
    <t>TOTAL DE HORAS POR ACTIVIDAD</t>
  </si>
  <si>
    <t>ACTIVIDAD</t>
  </si>
  <si>
    <t>Limpieza de obra</t>
  </si>
  <si>
    <t>Señalizacion de obra</t>
  </si>
  <si>
    <t>TOTAL DE HORAS POR TRABAJADOR</t>
  </si>
  <si>
    <t xml:space="preserve">FECHA: </t>
  </si>
  <si>
    <t>Protecciones colectivas</t>
  </si>
  <si>
    <t>Limpieza de vecinos</t>
  </si>
  <si>
    <t>Traslado de materiales de Almacen</t>
  </si>
  <si>
    <t>TAREO  DE DIARIO OBRERO POR ACTIVIDAD</t>
  </si>
  <si>
    <t>TOTAL DE SEMANA</t>
  </si>
  <si>
    <t>RESUMEN DE ACTIVIDADES</t>
  </si>
  <si>
    <t>PERIODO</t>
  </si>
  <si>
    <t xml:space="preserve">Topografia </t>
  </si>
  <si>
    <t>OBSERVACIONES</t>
  </si>
  <si>
    <t>INGRESO A OBRA</t>
  </si>
  <si>
    <t>PARTIDA DE CONTROL</t>
  </si>
  <si>
    <t>Encofrado Muros Anclados</t>
  </si>
  <si>
    <t>Seguridad Industrial (EPP y EPC), Patrimonial</t>
  </si>
  <si>
    <t>Topografia</t>
  </si>
  <si>
    <t>Control de Calidad</t>
  </si>
  <si>
    <t>.</t>
  </si>
  <si>
    <t>Traslado Vertical y Horizontal</t>
  </si>
  <si>
    <t>Acarreo Horizontal</t>
  </si>
  <si>
    <t>Acarreo Vertical</t>
  </si>
  <si>
    <t>DESCANSO PATERNIDAD</t>
  </si>
  <si>
    <t>PAGO DE HORAS ACUMULADAS</t>
  </si>
  <si>
    <t xml:space="preserve">Del: </t>
  </si>
  <si>
    <t>DAVID GONZALO</t>
  </si>
  <si>
    <t>varios - Obras Provisionales</t>
  </si>
  <si>
    <t>varios - Obras Preliminares</t>
  </si>
  <si>
    <t>Contrapiso y Acabados en Cemento</t>
  </si>
  <si>
    <t>Al:</t>
  </si>
  <si>
    <t>Acero Residencial</t>
  </si>
  <si>
    <t>Forjado de escaleras en sotano</t>
  </si>
  <si>
    <t>Concreto Estacionamientos</t>
  </si>
  <si>
    <t>picado ducto asensor</t>
  </si>
  <si>
    <t>Muros Anclados - Estabilizacion</t>
  </si>
  <si>
    <t>sub partidas</t>
  </si>
  <si>
    <t>partida</t>
  </si>
  <si>
    <t>PC</t>
  </si>
  <si>
    <t>Descripción</t>
  </si>
  <si>
    <t>Und.</t>
  </si>
  <si>
    <t>Metrado - REV 09</t>
  </si>
  <si>
    <t>PU MO - REV 09</t>
  </si>
  <si>
    <t>PU MAT - REV 09</t>
  </si>
  <si>
    <t>PU EQ - REV 09</t>
  </si>
  <si>
    <t>PU SC - REV 09</t>
  </si>
  <si>
    <t>PU - REV 09</t>
  </si>
  <si>
    <t>SUBTOTAL - REV 09</t>
  </si>
  <si>
    <t>01</t>
  </si>
  <si>
    <t>OBRAS PRELIMINARES Y PROVISIONALES</t>
  </si>
  <si>
    <t>01.01</t>
  </si>
  <si>
    <t xml:space="preserve">   OBRAS PRELIMINARES</t>
  </si>
  <si>
    <t>T</t>
  </si>
  <si>
    <t>01.01.01</t>
  </si>
  <si>
    <t xml:space="preserve">          TRASLADO DE EQUIPO DE MATERIALES Y HERRAMIENTAS A OBRA</t>
  </si>
  <si>
    <t>TT</t>
  </si>
  <si>
    <t>01.01.01.01</t>
  </si>
  <si>
    <t xml:space="preserve">                 MOVILIZACIÓN DE EQUIPO DE MATERIALES Y HERRAMIENTAS A OBRA</t>
  </si>
  <si>
    <t>gbl</t>
  </si>
  <si>
    <t>01.01.01.02</t>
  </si>
  <si>
    <t xml:space="preserve">                 DESMOVILIZACIÓN DE EQUIPOS Y HERRAMIENTAS</t>
  </si>
  <si>
    <t>01.01.02</t>
  </si>
  <si>
    <t xml:space="preserve">          RED PROVISIONAL PARA AGUA</t>
  </si>
  <si>
    <t>Servicios, Energia, Agua y Comunicaciones</t>
  </si>
  <si>
    <t>01.01.02.01</t>
  </si>
  <si>
    <t xml:space="preserve">                 RED PROVISIONAL PARA AGUA</t>
  </si>
  <si>
    <t>01.01.03</t>
  </si>
  <si>
    <t>01.01.03.01</t>
  </si>
  <si>
    <t xml:space="preserve">                 RED PROVISIONAL DE ENERGÍA ELÉCTRICA</t>
  </si>
  <si>
    <t>01.01.03.02</t>
  </si>
  <si>
    <t xml:space="preserve">                 POZO A TIERRA ENERGÍA ELÉCTRICA PROVISIONAL</t>
  </si>
  <si>
    <t>01.01.04</t>
  </si>
  <si>
    <t xml:space="preserve">          CASETA PARA OFICINAS, ALMACÉN, VESTUARIOS Y GUARDIANÍA</t>
  </si>
  <si>
    <t>Caseta para Oficinas, comedor y Cerco perimetrico</t>
  </si>
  <si>
    <t>01.01.04.01</t>
  </si>
  <si>
    <t xml:space="preserve">                 CASETA PARA OFICINAS, ALMACÉN, VESTUARIOS Y GUARDIANÍA</t>
  </si>
  <si>
    <t>01.01.04.02</t>
  </si>
  <si>
    <t>MOVILIZACION Y DESMOV CONTENEDOR</t>
  </si>
  <si>
    <t>01.01.04.03</t>
  </si>
  <si>
    <t>ALQUILER MENSUAL DE CONTENEDOR</t>
  </si>
  <si>
    <t>mes</t>
  </si>
  <si>
    <t>01.01.04.04</t>
  </si>
  <si>
    <t xml:space="preserve">                 REUBICACIÓN POR PROCESO CONSTRUCTIVO CASETA PARA OFICINAS, ALMACÉN, VESTUARIOS Y GUARDIANÍA</t>
  </si>
  <si>
    <t>01.01.05</t>
  </si>
  <si>
    <t xml:space="preserve">          COMEDOR PROVISIONAL DE OBRA</t>
  </si>
  <si>
    <t>01.01.05.01</t>
  </si>
  <si>
    <t xml:space="preserve">                 COMEDOR PROVISIONAL</t>
  </si>
  <si>
    <t>01.01.06</t>
  </si>
  <si>
    <t xml:space="preserve">          MONTAJE Y DESMONTAJE DE CERCO PERIMÉTRICO DE OBRA</t>
  </si>
  <si>
    <t>01.01.06.01</t>
  </si>
  <si>
    <t xml:space="preserve">                 MONTAJE Y DESMONTAJE DE CERCO PERIMÉTRICO DE OBRA</t>
  </si>
  <si>
    <t>m</t>
  </si>
  <si>
    <t>01.01.06.02</t>
  </si>
  <si>
    <t xml:space="preserve">                 MANTENIMIENTO DE CERCO PERIMÉTRICO</t>
  </si>
  <si>
    <t>01.01.06.03</t>
  </si>
  <si>
    <t xml:space="preserve">                 MALLA RASHEL EN TODO EL PERÍMETRO</t>
  </si>
  <si>
    <t>01.01.06.04</t>
  </si>
  <si>
    <t xml:space="preserve">                 CARTEL INFORMATIVO DE OBRA</t>
  </si>
  <si>
    <t>01.01.07</t>
  </si>
  <si>
    <t xml:space="preserve">          SERVICIOS HIGIÉNICOS PARA STAFF Y OBREROS</t>
  </si>
  <si>
    <t>Servicios Higienicos para Staff y Obreros</t>
  </si>
  <si>
    <t>01.01.07.01</t>
  </si>
  <si>
    <t xml:space="preserve">                 SERVICIOS HIGIÉNICOS PARA OBREROS</t>
  </si>
  <si>
    <t>01.01.07.02</t>
  </si>
  <si>
    <t xml:space="preserve">                 SERVICIOS HIGIÉNICOS PARA STAFF</t>
  </si>
  <si>
    <t>01.01.08</t>
  </si>
  <si>
    <t xml:space="preserve">          ALQUILER DE DUCHAS PORTÁTILES</t>
  </si>
  <si>
    <t>01.01.08.01</t>
  </si>
  <si>
    <t xml:space="preserve">                 ALQUILER DE DUCHAS PORTÁTILES</t>
  </si>
  <si>
    <t>01.01.09</t>
  </si>
  <si>
    <t xml:space="preserve">          AMPLIACIÓN DE CARGA ELÉCTRICA PROVISIONAL</t>
  </si>
  <si>
    <t>01.01.09.01</t>
  </si>
  <si>
    <t xml:space="preserve">                 AMPLIACIÓN DE CARGA ELÉCTRICA PROVISIONAL</t>
  </si>
  <si>
    <t>GRUPO ELECTROGENO 200 KW</t>
  </si>
  <si>
    <t>01.01.10</t>
  </si>
  <si>
    <t xml:space="preserve">          CIMENTACIÓN DE TORRE GRÚA</t>
  </si>
  <si>
    <t>01.01.10.01</t>
  </si>
  <si>
    <t xml:space="preserve">                 CIMENTACIÓN DE TORRE GRÚA</t>
  </si>
  <si>
    <t>01.01.11</t>
  </si>
  <si>
    <t xml:space="preserve">          SUMINISTRO DE ENERGÍA ELÉCTRICA PARA LA TORRE GRÚA</t>
  </si>
  <si>
    <t>01.01.11.01</t>
  </si>
  <si>
    <t xml:space="preserve">                 SUMINISTRO DE ENERGÍA ELÉCTRICA PARA LA TORRE GRÚA</t>
  </si>
  <si>
    <t>01.01.12</t>
  </si>
  <si>
    <t xml:space="preserve">          TRANSPORTE VERTICAL - HORIZONTAL</t>
  </si>
  <si>
    <t>01.01.12.01</t>
  </si>
  <si>
    <t>MONTAJE Y DESMONTAJE TORRE GRUA</t>
  </si>
  <si>
    <t>01.01.12.02</t>
  </si>
  <si>
    <t xml:space="preserve">                 ALQUILER DE TORRE GRÚA</t>
  </si>
  <si>
    <t>01.01.12.03</t>
  </si>
  <si>
    <t xml:space="preserve">                 ARMADO Y DESARMADO DE PLATAFORMAS EN VOLADIZO PARA GRÚA (INSTALACIÓN DE ESCUADRAS METÁLICAS)</t>
  </si>
  <si>
    <t>01.01.12.04</t>
  </si>
  <si>
    <t xml:space="preserve">                 ACARREO HORIZONTAL PERSONAL</t>
  </si>
  <si>
    <t>01.01.12.05</t>
  </si>
  <si>
    <t>MONTAJE Y DESMONTAJE DE MONTACARGA MIXTO</t>
  </si>
  <si>
    <t>01.01.12.06</t>
  </si>
  <si>
    <t xml:space="preserve">                 ALQUILER DE MONTACARGA - TRANSPORTE DE PERSONAL</t>
  </si>
  <si>
    <t>01.01.12.07</t>
  </si>
  <si>
    <t xml:space="preserve">                 PERSONAL ASIGNADO A MONTACARGA</t>
  </si>
  <si>
    <t>01.01.13</t>
  </si>
  <si>
    <t xml:space="preserve">          OPERADOR Y RIGGER DE TORRE GRÚA</t>
  </si>
  <si>
    <t>01.01.13.01</t>
  </si>
  <si>
    <t xml:space="preserve">                 OPERADOR DE GRÚA</t>
  </si>
  <si>
    <t>01.01.13.02</t>
  </si>
  <si>
    <t xml:space="preserve">                HORAS EXTRAS OPERADOR DE GRÚA</t>
  </si>
  <si>
    <t>hh</t>
  </si>
  <si>
    <t>01.01.13.03</t>
  </si>
  <si>
    <t xml:space="preserve">                 RIGGER DE OBRA</t>
  </si>
  <si>
    <t>01.01.14</t>
  </si>
  <si>
    <t xml:space="preserve">          EQUIPOS Y HERRAMIENTAS MANUALES</t>
  </si>
  <si>
    <t>Equipos y Herramientas</t>
  </si>
  <si>
    <t>01.01.14.01</t>
  </si>
  <si>
    <t xml:space="preserve">                 EQUIPOS Y HERRAMIENTAS MANUALES</t>
  </si>
  <si>
    <t>01.01.14.02</t>
  </si>
  <si>
    <t xml:space="preserve">                 ANDAMIOS DURANTE LA OBRA</t>
  </si>
  <si>
    <t>01.01.15</t>
  </si>
  <si>
    <t xml:space="preserve">          ALQUILER DE ESCALERA NORMADA</t>
  </si>
  <si>
    <t>01.01.15.01</t>
  </si>
  <si>
    <t xml:space="preserve">                 ALQUILER DE ESCALERA NORMADA DURANTE EL CASCO</t>
  </si>
  <si>
    <t>01.02</t>
  </si>
  <si>
    <t xml:space="preserve">   OBRAS PROVISIONALES</t>
  </si>
  <si>
    <t>01.02.01</t>
  </si>
  <si>
    <t xml:space="preserve">          ACTIVIDADES DURANTE LA OBRA</t>
  </si>
  <si>
    <t>01.02.01.01</t>
  </si>
  <si>
    <t xml:space="preserve">                 TRAZO Y REPLANTEO PERMANENTE</t>
  </si>
  <si>
    <t>01.02.01.01.01</t>
  </si>
  <si>
    <t xml:space="preserve">                        TRAZO Y REPLANTEO PERMANENTE</t>
  </si>
  <si>
    <t>01.02.01.01.02</t>
  </si>
  <si>
    <t xml:space="preserve">                       2DO  TRAZO Y REPLANTEO PERMANENTE</t>
  </si>
  <si>
    <t>01.02.01.02</t>
  </si>
  <si>
    <t xml:space="preserve">                 LIMPIEZA PERMANENTE DE OBRA</t>
  </si>
  <si>
    <t>01.02.01.02.01</t>
  </si>
  <si>
    <t xml:space="preserve">                        LIMPIEZA PERMANENTE DE OBRA</t>
  </si>
  <si>
    <t>01.02.01.03</t>
  </si>
  <si>
    <t xml:space="preserve">                 SUMINISTRO DE AGUA POTABLE PARA LA OBRA</t>
  </si>
  <si>
    <t>01.02.01.03.01</t>
  </si>
  <si>
    <t xml:space="preserve">                        SUMINISTRO DE AGUA POTABLE PARA LA OBRA</t>
  </si>
  <si>
    <t>01.02.01.04</t>
  </si>
  <si>
    <t xml:space="preserve">                 SUMINISTRO DE ENERGÍA ELÉCTRICA PARA LA OBRA</t>
  </si>
  <si>
    <t>01.02.01.04.01</t>
  </si>
  <si>
    <t xml:space="preserve">                        SUMINISTRO DE ENERGÍA ELÉCTRICA PARA LA OBRA</t>
  </si>
  <si>
    <t>01.02.01.05</t>
  </si>
  <si>
    <t xml:space="preserve">                 PRUEBAS DE CONTROL DE CALIDAD - PROBETAS</t>
  </si>
  <si>
    <t>01.02.01.05.01</t>
  </si>
  <si>
    <t xml:space="preserve">                        PRUEBAS DE CONTROL DE CALIDAD - PROBETAS</t>
  </si>
  <si>
    <t>glb</t>
  </si>
  <si>
    <t>01.02.01.06</t>
  </si>
  <si>
    <t xml:space="preserve">                 ELIMINACIÓN DE DESMONTE DURANTE LA OBRA</t>
  </si>
  <si>
    <t>Eliminación de basura y desmonte con cajas ecologicas</t>
  </si>
  <si>
    <t>01.02.01.06.01</t>
  </si>
  <si>
    <t xml:space="preserve">                        ELIMINACIÓN DE DESMONTE CON GESTIÓN DE RESIDUOS SOLIDOS</t>
  </si>
  <si>
    <t>m3</t>
  </si>
  <si>
    <t>01.02.01.06.02</t>
  </si>
  <si>
    <t xml:space="preserve">                        CHUTE DE ELIMINACIÓN DE DESMONTE DURANTE LA OBRA</t>
  </si>
  <si>
    <t>01.02.01.07</t>
  </si>
  <si>
    <t xml:space="preserve">                 ESTUDIOS DISERGONÓMICOS</t>
  </si>
  <si>
    <t>01.02.01.07.01</t>
  </si>
  <si>
    <t xml:space="preserve">                        ESTUDIOS DISERGONÓMICOS</t>
  </si>
  <si>
    <t>01.02.02</t>
  </si>
  <si>
    <t xml:space="preserve">          SEGURIDAD DE OBRA</t>
  </si>
  <si>
    <t>01.02.02.01</t>
  </si>
  <si>
    <t xml:space="preserve">                 MONITOR DE PREVENCIÓN DE OBRA</t>
  </si>
  <si>
    <t>01.02.02.01.01</t>
  </si>
  <si>
    <t xml:space="preserve">                        MONITOR DE PREVENCIÓN</t>
  </si>
  <si>
    <t>01.02.02.02</t>
  </si>
  <si>
    <t xml:space="preserve">                 EQUIPOS DE PROTECCIÓN DEL PERSONAL OBRERO (EPP)</t>
  </si>
  <si>
    <t>01.02.02.02.01</t>
  </si>
  <si>
    <t xml:space="preserve">                        EQUIPOS DE PROTECCIÓN DEL PERSONAL OBRERO</t>
  </si>
  <si>
    <t>und</t>
  </si>
  <si>
    <t>01.02.02.02.02</t>
  </si>
  <si>
    <t xml:space="preserve">                        EXÁMENES MÉDICOS (EMO)</t>
  </si>
  <si>
    <t>01.02.02.03</t>
  </si>
  <si>
    <t xml:space="preserve">                 PROTECCIÓN COLECTIVA</t>
  </si>
  <si>
    <t>01.02.02.03.01</t>
  </si>
  <si>
    <t xml:space="preserve">                        EQUIPOS DE PROTECCIÓN COLECTIVA (EPC)</t>
  </si>
  <si>
    <t>01.02.02.03.01.01</t>
  </si>
  <si>
    <t xml:space="preserve">                               EQUIPOS DE PROTECCIÓN COLECTIVA (EPC)</t>
  </si>
  <si>
    <t>01.02.02.03.01.02</t>
  </si>
  <si>
    <t>LOCKERS PARA OBREROS</t>
  </si>
  <si>
    <t>01.02.02.03.02</t>
  </si>
  <si>
    <t xml:space="preserve">                        PROTECCIÓN ANTICAÍDAS (MALLAS ANTICAÍDAS, BARANDAS)</t>
  </si>
  <si>
    <t>01.02.02.03.02.01</t>
  </si>
  <si>
    <t xml:space="preserve">                               PROTECCIÓN SISTEMA  ANTICAÍDAS MIXTO (HORCA + ESCOMBRERA) MONTAJE + ALQUILER</t>
  </si>
  <si>
    <t>01.02.02.03.02.02</t>
  </si>
  <si>
    <t xml:space="preserve">                               PROTECCIÓN SISTEMA PESCANTES Y BANDEJAS ANTICAÍDAS (ALQUILER DE MALLAS ANTICAÍDAS)</t>
  </si>
  <si>
    <t xml:space="preserve">                               CIERRE DE DUCTO PRINCIPAL (ENTRE TORRES) 7.85 X 38.30M</t>
  </si>
  <si>
    <t xml:space="preserve">                               CIERRE DE DUCTO ASCENSOR</t>
  </si>
  <si>
    <t>01.02.02.03.02.03</t>
  </si>
  <si>
    <t xml:space="preserve">                               SISTEMA DE BARANDAS EN PERÍMETRO DEL EDIFICIO</t>
  </si>
  <si>
    <t>01.02.02.03.03</t>
  </si>
  <si>
    <t xml:space="preserve">                        ENCAPSULADO DE MALLA RASCHELL EN TODA LA FACHADA DE LA OBRA</t>
  </si>
  <si>
    <t>01.02.02.03.03.01</t>
  </si>
  <si>
    <t xml:space="preserve">                               ENCAPSULADO DE MALLA RASCHELL EN TODA LA FACHADA DE LA OBRA </t>
  </si>
  <si>
    <t>RECAMBIO DE MALLA DEL ENCAPSULADO (01 CAMBIO)</t>
  </si>
  <si>
    <t>01.02.02.03.04</t>
  </si>
  <si>
    <t xml:space="preserve">                        PROTECCIÓN Y REPARACIONES EN VIVIENDAS VECINAS</t>
  </si>
  <si>
    <t>01.02.02.03.04.01</t>
  </si>
  <si>
    <t xml:space="preserve">                               REPARACIONES EN VIVIENDAS VECINAS</t>
  </si>
  <si>
    <t>01.02.02.03.04.02</t>
  </si>
  <si>
    <t xml:space="preserve">                               ESCUADRAS Y TRIPLAY PROTECCIÓN ANTI-ESCOMBROS</t>
  </si>
  <si>
    <t>01.02.02.03.05</t>
  </si>
  <si>
    <t xml:space="preserve">                        SEGURIDAD EN OBRA (VIGILANCIA) Y OTROS</t>
  </si>
  <si>
    <t>01.02.02.03.05.01</t>
  </si>
  <si>
    <t xml:space="preserve">                               SEGURIDAD EN OBRA (VIGILANCIA)</t>
  </si>
  <si>
    <t>01.02.02.03.05.02</t>
  </si>
  <si>
    <t xml:space="preserve">                               PERSONAL PALETEROS EN EXTERIOR</t>
  </si>
  <si>
    <t>01.02.02.03.06</t>
  </si>
  <si>
    <t xml:space="preserve">                        SISTEMA DE CÁMARAS Y VIDEOVIGILANCIA</t>
  </si>
  <si>
    <t>Marzo a setiembre</t>
  </si>
  <si>
    <t>01.02.02.03.06.01</t>
  </si>
  <si>
    <t xml:space="preserve">                               SISTEMA DE CÁMARAS Y VIDEOVIGILANCIA</t>
  </si>
  <si>
    <t>Enero a Junio</t>
  </si>
  <si>
    <t>01.02.02.03.07</t>
  </si>
  <si>
    <t xml:space="preserve">                        SEÑALIZACIÓN DE SEGURIDAD INTERIOR Y EXTERIOR DE OBRA</t>
  </si>
  <si>
    <t>Marzo a Junio</t>
  </si>
  <si>
    <t>01.02.02.03.07.01</t>
  </si>
  <si>
    <t xml:space="preserve">                               SEÑALIZACIÓN INTERIOR Y EXTERIOR DE OBRA</t>
  </si>
  <si>
    <t>02</t>
  </si>
  <si>
    <t>CASCO ESTRUCTURAS</t>
  </si>
  <si>
    <t>02.01</t>
  </si>
  <si>
    <t xml:space="preserve">   MOVIMIENTO DE TIERRAS</t>
  </si>
  <si>
    <t>02.01.01</t>
  </si>
  <si>
    <t xml:space="preserve">          DEMOLICIÓN DE MUROS PERIMÉTRICOS Y CIMIENTOS</t>
  </si>
  <si>
    <t>Movimiento de Tierras</t>
  </si>
  <si>
    <t>02.01.01.01</t>
  </si>
  <si>
    <t xml:space="preserve">                 DEMOLICIÓN DE CIMIENTOS ENTERRADOS DE MUROS PREXISTENTES</t>
  </si>
  <si>
    <t>Glb</t>
  </si>
  <si>
    <t>02.01.02</t>
  </si>
  <si>
    <t xml:space="preserve">          EXCAVACIÓN Y ELIMINACIÓN</t>
  </si>
  <si>
    <t>02.01.02.01</t>
  </si>
  <si>
    <t xml:space="preserve">                 EXCAVACIÓN MASIVA DEL TERRENO</t>
  </si>
  <si>
    <t>02.01.02.01.01</t>
  </si>
  <si>
    <t xml:space="preserve">                        MOVILIZACION Y DESMOVILIZACION DE EQUIPOS Y MAQUINARIA</t>
  </si>
  <si>
    <t>02.01.02.01.02</t>
  </si>
  <si>
    <t xml:space="preserve">                        VIGIA PARA EQUIPOS</t>
  </si>
  <si>
    <t>Mes</t>
  </si>
  <si>
    <t>02.01.02.01.03</t>
  </si>
  <si>
    <t>ALQUILER DE ESCUADRAS PARA ELIMINACION DE DESMONTE ULTIMOS SOTANOS</t>
  </si>
  <si>
    <t>02.01.02.01.04</t>
  </si>
  <si>
    <t>RETIRO DE EXCAVADORA CON GRUA, SE CONSIDERA TODOS LOS EQUIPOS HA INGRESAR A OBRA</t>
  </si>
  <si>
    <t>02.01.02.01.05</t>
  </si>
  <si>
    <t xml:space="preserve">                        EXCAVACIÓN MASIVA PRIMER ANILLO</t>
  </si>
  <si>
    <t>M3</t>
  </si>
  <si>
    <t>02.01.02.01.06</t>
  </si>
  <si>
    <t xml:space="preserve">                        EXCAVACIÓN MASIVA SEGUNDO  ANILLO</t>
  </si>
  <si>
    <t>02.01.02.01.07</t>
  </si>
  <si>
    <t xml:space="preserve">                        EXCAVACIÓN MASIVA TERCER  ANILLO</t>
  </si>
  <si>
    <t>02.01.02.01.08</t>
  </si>
  <si>
    <t xml:space="preserve">                        EXCAVACIÓN MASIVA CUARTO  ANILLO</t>
  </si>
  <si>
    <t>02.01.02.01.09</t>
  </si>
  <si>
    <t xml:space="preserve">                        EXCAVACIÓN MASIVA QUINTO  ANILLO</t>
  </si>
  <si>
    <t>02.01.02.01.10</t>
  </si>
  <si>
    <t xml:space="preserve">                        EXCAVACION LOCALIZADA PARA CIMIENTOS, ZAPATAS,VIGA DE CIMENTACIÓN</t>
  </si>
  <si>
    <t>02.01.02.02</t>
  </si>
  <si>
    <t xml:space="preserve">                 IZAJE DE EXCAVADORA SOBRE LLANTAS (SALIDA DEL PREDIO)</t>
  </si>
  <si>
    <t>02.01.02.02.01</t>
  </si>
  <si>
    <t xml:space="preserve">                        IZAJE DE RETROEXCAVADORA SOBRE LLANTAS (SALIDA DEL PREDIO)</t>
  </si>
  <si>
    <t>02.01.03</t>
  </si>
  <si>
    <t xml:space="preserve">          CORTE ,PERFILADO, RELLENO Y NIVELACIÓN</t>
  </si>
  <si>
    <t>02.01.03.01</t>
  </si>
  <si>
    <t xml:space="preserve">                 DESQUINCHE Y PAÑETEO DEL PAÑOS INCLUIDA ESTABILIDAD</t>
  </si>
  <si>
    <t>02.01.03.01.01</t>
  </si>
  <si>
    <t xml:space="preserve">                        DESQUINCHE Y PAÑETEO DE LOS PAÑOS INCLUIDA ESTABILIDAD (LECHADA DE CEMENTO)</t>
  </si>
  <si>
    <t>m2</t>
  </si>
  <si>
    <t>02.01.03.02</t>
  </si>
  <si>
    <t xml:space="preserve">                 RELLENO COMPACTADO - MAT. PROPIO</t>
  </si>
  <si>
    <t>02.01.03.02.01</t>
  </si>
  <si>
    <t xml:space="preserve">                        RELLENO COMPACTADO CON MATERIAL PROPIO</t>
  </si>
  <si>
    <t>02.01.03.03</t>
  </si>
  <si>
    <t xml:space="preserve">                 NIVELACIÓN Y COMPACTACIÓN DEL TERRENO</t>
  </si>
  <si>
    <t>02.01.03.03.01</t>
  </si>
  <si>
    <t xml:space="preserve">                        NIVELACIÓN Y COMPACTACIÓN DE TERRENO CON EQUIPO</t>
  </si>
  <si>
    <t>02.01.03.04</t>
  </si>
  <si>
    <t xml:space="preserve">                 APOYO DE MAQUINARIA</t>
  </si>
  <si>
    <t>02.01.03.04.01</t>
  </si>
  <si>
    <t xml:space="preserve">                        PERFILADO DE BANQUETAS CON RETROEXCAVADORA</t>
  </si>
  <si>
    <t>hm</t>
  </si>
  <si>
    <t>02.01.03.04.02</t>
  </si>
  <si>
    <t xml:space="preserve">                        MOVILIZACION DE EQUIPOS (ENCOFRADO)</t>
  </si>
  <si>
    <t>GLB</t>
  </si>
  <si>
    <t>02.02</t>
  </si>
  <si>
    <t xml:space="preserve">   CONCRETO SIMPLE</t>
  </si>
  <si>
    <t>02.02.01</t>
  </si>
  <si>
    <t xml:space="preserve">          CALZADURAS Y FALSAS ZAPATAS</t>
  </si>
  <si>
    <t>02.02.01.01</t>
  </si>
  <si>
    <t xml:space="preserve">                 CONCRETO F'C 175 KG/CM2 FALSA ZAPATA</t>
  </si>
  <si>
    <t>Concreto Cimentación</t>
  </si>
  <si>
    <t>02.02.01.01.01</t>
  </si>
  <si>
    <t xml:space="preserve">                        CONCRETO F'C 175 KG/CM2 FALSA ZAPATA</t>
  </si>
  <si>
    <t>02.02.01.02</t>
  </si>
  <si>
    <t xml:space="preserve">                 ENCOFRADO Y DESENCOFRADO DE CALZADURA O FALSA ZAPATA</t>
  </si>
  <si>
    <t>Encofrado Cimentación</t>
  </si>
  <si>
    <t>02.02.01.02.01</t>
  </si>
  <si>
    <t xml:space="preserve">                        ENCOFRADO Y DESENCOFRADO DE CALZADURA O FALSA ZAPATA</t>
  </si>
  <si>
    <t>02.02.02</t>
  </si>
  <si>
    <t xml:space="preserve">          SOLADOS</t>
  </si>
  <si>
    <t>02.02.02.01</t>
  </si>
  <si>
    <t xml:space="preserve">                 SOLADOS CONCRETO F'C=80 KG/CM2 H=10CM ZAPATAS Y CIMIENTOS CORRIDOS</t>
  </si>
  <si>
    <t>02.02.02.01.01</t>
  </si>
  <si>
    <t xml:space="preserve">         CONCRETO PREMEZCLADO EN SOLADOS F'C=100 KG/CM2 E=5 CM EN PISO DE CISTERNA</t>
  </si>
  <si>
    <t>02.02.02.01.02</t>
  </si>
  <si>
    <t xml:space="preserve">         CONCRETO PREMEZCLADO EN SOLADOS F'C=100 KG/CM2 E=5 CM EN ZAPATAS</t>
  </si>
  <si>
    <t>02.02.02.01.03</t>
  </si>
  <si>
    <t xml:space="preserve">         CONCRETO PREMEZCLADO EN SOLADOS F'C=100 KG/CM2 E=5 CM EN CIMENTACIÓN ARMADA</t>
  </si>
  <si>
    <t>02.02.03</t>
  </si>
  <si>
    <t xml:space="preserve">          LOSA DE PISO SOBRE TERRENO</t>
  </si>
  <si>
    <t>02.02.03.01</t>
  </si>
  <si>
    <t xml:space="preserve">                 CONCRETO LOSA SOBRE TERRENO F'C= 210 KG/CM2 H=0.10 M</t>
  </si>
  <si>
    <t>02.02.03.01.01</t>
  </si>
  <si>
    <t xml:space="preserve">                        CONCRETO LOSA SOBRE TERRENO FC'=210 KG/CM2, H=0.10M</t>
  </si>
  <si>
    <t>02.02.03.02</t>
  </si>
  <si>
    <t xml:space="preserve">                 ENCOFRADO Y DESENCOFRADO LOSA SOBRE TERRENO</t>
  </si>
  <si>
    <t>02.02.03.02.01</t>
  </si>
  <si>
    <t xml:space="preserve">                        LOSA SOBRE TERRENO, ENCOFRADO Y DESENCOFRADO</t>
  </si>
  <si>
    <t>02.02.03.03</t>
  </si>
  <si>
    <t xml:space="preserve">                 CURADO DE LOSA SOBRE TERRENO</t>
  </si>
  <si>
    <t>02.02.03.03.01</t>
  </si>
  <si>
    <t xml:space="preserve">                        CURADO</t>
  </si>
  <si>
    <t>02.02.03.04</t>
  </si>
  <si>
    <t xml:space="preserve">                 VARIOS LOSA SOBRE TERRENO</t>
  </si>
  <si>
    <t>02.02.03.04.01</t>
  </si>
  <si>
    <t xml:space="preserve">    JUNTA DE CONSTRUCCION</t>
  </si>
  <si>
    <t>02.02.03.04.02</t>
  </si>
  <si>
    <t xml:space="preserve">                        JUNTA DE CONTRACCIÓN Y SELLADO CON MATERIAL ELASTÓMERO</t>
  </si>
  <si>
    <t>02.03</t>
  </si>
  <si>
    <t xml:space="preserve">   CONCRETO ARMADO - BASE</t>
  </si>
  <si>
    <t>02.03.01</t>
  </si>
  <si>
    <t xml:space="preserve">          CIMIENTOS CORRIDOS POR TIPO DE CONCRETO</t>
  </si>
  <si>
    <t>02.03.01.01</t>
  </si>
  <si>
    <t xml:space="preserve">                 CONCRETO PARA CIMIENTOS F'C= 210 KG/CM2</t>
  </si>
  <si>
    <t>02.03.01.01.01</t>
  </si>
  <si>
    <t xml:space="preserve">                        CONCRETO PREMEZCLADO F'C=280 KG/CM2 PARA CIMIENTOS</t>
  </si>
  <si>
    <t>02.03.01.02</t>
  </si>
  <si>
    <t xml:space="preserve">                 ENCOFRADO Y DESENCOFRADO PARA CIMIENTOS</t>
  </si>
  <si>
    <t>02.03.01.02.01</t>
  </si>
  <si>
    <t xml:space="preserve">                        ENCOFRADO Y DESENCOFRADO PARA CIMIENTOS CORRIDOS</t>
  </si>
  <si>
    <t>02.03.01.03</t>
  </si>
  <si>
    <t xml:space="preserve">                 ACERO ESTRUCTURAL FY= 4200 KG/CM2 PARA CIMIENTOS</t>
  </si>
  <si>
    <t>Acero Cimentación</t>
  </si>
  <si>
    <t>02.03.01.03.01</t>
  </si>
  <si>
    <t xml:space="preserve">                        ACERO ESTRUCTURAL FY= 4200 KG/CM2 PARA CIMIENTOS CORRIDOS</t>
  </si>
  <si>
    <t>kg</t>
  </si>
  <si>
    <t>02.03.01.04</t>
  </si>
  <si>
    <t xml:space="preserve">                 CURADO PARA CIMIENTOS</t>
  </si>
  <si>
    <t>02.03.01.04.01</t>
  </si>
  <si>
    <t xml:space="preserve">                        CURADO DE CONCRETO</t>
  </si>
  <si>
    <t>02.03.02</t>
  </si>
  <si>
    <t xml:space="preserve">          VIGAS DE CIMENTACIÓN</t>
  </si>
  <si>
    <t>02.03.02.01</t>
  </si>
  <si>
    <t xml:space="preserve">                 CONCRETO PARA VIGAS DE CIMENTACIÓN F'C=280 KG/CM2</t>
  </si>
  <si>
    <t>02.03.02.01.01</t>
  </si>
  <si>
    <t xml:space="preserve">                        CONCRETO PREMEZCLADO 280 KG/CM2 PARA VIGAS DE CIMENTACIÓN</t>
  </si>
  <si>
    <t>02.03.02.02</t>
  </si>
  <si>
    <t xml:space="preserve">                 ENCOFRADO Y DESENCOFRADO DE VIGAS DE CIMENTACIÓN</t>
  </si>
  <si>
    <t>02.03.02.02.01</t>
  </si>
  <si>
    <t xml:space="preserve">                        ENCOFRADO Y DESENCOFRADO VIGA DE CIMENTACIÓN</t>
  </si>
  <si>
    <t>02.03.02.03</t>
  </si>
  <si>
    <t xml:space="preserve">                 ACERO ESTRUCTURAL FY= 4200 KG/CM2 PARA VIGAS DE CIMENTACIÓN</t>
  </si>
  <si>
    <t>02.03.02.03.01</t>
  </si>
  <si>
    <t xml:space="preserve">                        ACERO ESTRUCTURAL FY= 4200KG/CM2 PARA VIGAS DE CIMENTACIÓN</t>
  </si>
  <si>
    <t>02.03.02.04</t>
  </si>
  <si>
    <t xml:space="preserve">                 CURADO PARA VIGAS DE CIMENTACIÓN</t>
  </si>
  <si>
    <t>02.03.02.04.01</t>
  </si>
  <si>
    <t>02.03.03</t>
  </si>
  <si>
    <t xml:space="preserve">          ZAPATAS</t>
  </si>
  <si>
    <t>02.03.03.01</t>
  </si>
  <si>
    <t xml:space="preserve">                 CONCRETO PREMEZCLADO PARA ZAPATAS F'C=280 KG/CM2</t>
  </si>
  <si>
    <t>02.03.03.01.01</t>
  </si>
  <si>
    <t xml:space="preserve">                        CONCRETO PREMEZCLADO 280 KG/CM2 PARA ZAPATAS</t>
  </si>
  <si>
    <t>02.03.03.02</t>
  </si>
  <si>
    <t xml:space="preserve">                 ENCOFRADO Y DESENCOFRADO DE ZAPATAS</t>
  </si>
  <si>
    <t>02.03.03.02.01</t>
  </si>
  <si>
    <t xml:space="preserve">                        ENCOFRADO Y DESENCOFRADO DE ZAPATAS</t>
  </si>
  <si>
    <t>02.03.03.03</t>
  </si>
  <si>
    <t xml:space="preserve">                 ACERO ESTRUCTURAL FY= 4200KG/CM2 PARA ZAPATAS</t>
  </si>
  <si>
    <t>02.03.03.03.01</t>
  </si>
  <si>
    <t xml:space="preserve">                        ACERO ESTRUCTURAL FY= 4200KG/CM2 PARA ZAPATAS</t>
  </si>
  <si>
    <t>02.03.03.04</t>
  </si>
  <si>
    <t xml:space="preserve">                 CURADO DE ZAPATAS</t>
  </si>
  <si>
    <t>02.03.03.04.01</t>
  </si>
  <si>
    <t>02.03.04</t>
  </si>
  <si>
    <t xml:space="preserve">          CISTERNA (MUROS Y PISOS)</t>
  </si>
  <si>
    <t>02.03.04.01</t>
  </si>
  <si>
    <t xml:space="preserve">                 CONCRETO PREMEZCLADO PARA CISTERNA F'C=280 KG/CM2</t>
  </si>
  <si>
    <t>02.03.04.01.01</t>
  </si>
  <si>
    <t xml:space="preserve">                        CONCRETO PREMEZCLADO 280 KG/CM2 CON IMPERMEABILIZANTE PARA CISTERNA</t>
  </si>
  <si>
    <t>02.03.04.02</t>
  </si>
  <si>
    <t xml:space="preserve">                 ENCOFRADO Y DESENCOFRADO EN CISTERNA</t>
  </si>
  <si>
    <t>02.03.04.02.01</t>
  </si>
  <si>
    <t xml:space="preserve">                        ENCOFRADO Y DESENCOFRADO EN CISTERNA</t>
  </si>
  <si>
    <t>02.03.04.03</t>
  </si>
  <si>
    <t xml:space="preserve">                 ACERO ESTRUCTURAL CISTERNA</t>
  </si>
  <si>
    <t>02.03.04.03.01</t>
  </si>
  <si>
    <t xml:space="preserve">                        ACERO ESTRUCTURAL FY= 4200KG/CM2 PARA CISTERNA</t>
  </si>
  <si>
    <t>02.03.04.04</t>
  </si>
  <si>
    <t xml:space="preserve">                 CURADO EN CISTER+C101NA</t>
  </si>
  <si>
    <t>02.03.04.04.01</t>
  </si>
  <si>
    <t xml:space="preserve">                        CURADO EN CISTERNA</t>
  </si>
  <si>
    <t>02.03.05</t>
  </si>
  <si>
    <t xml:space="preserve">          MUROS PANTALLA</t>
  </si>
  <si>
    <t>02.03.05.01</t>
  </si>
  <si>
    <t xml:space="preserve">                 CONCRETO PREMEZCLADO  MUROS DE CONTENCIÓN Y PANTALLA</t>
  </si>
  <si>
    <t>Concreto Muros Anclados</t>
  </si>
  <si>
    <t>02.03.05.01.01</t>
  </si>
  <si>
    <t xml:space="preserve">                        CONCRETO PREMEZCLADO 420 KG/CM2 PARA MUROS PANTALLA </t>
  </si>
  <si>
    <t>02.03.05.01.02</t>
  </si>
  <si>
    <t xml:space="preserve">                        CONCRETO PREMEZCLADO 350 KG/CM2 PARA MUROS PANTALLA </t>
  </si>
  <si>
    <t>02.03.05.01.03</t>
  </si>
  <si>
    <t xml:space="preserve">                        CONCRETO PREMEZCLADO 280 KG/CM2 PARA MUROS PANTALLA </t>
  </si>
  <si>
    <t>SC CONCRETO UNIANCLADO 350</t>
  </si>
  <si>
    <t>SC CONCRETO UNIANCLADO 420</t>
  </si>
  <si>
    <t>02.03.05.01.04</t>
  </si>
  <si>
    <t xml:space="preserve">                        MAYOR VOLUMEN DE CONCRETO F´C=350 KG/CM2 CON ACELERANTE POR SOBRE EXCAVACION</t>
  </si>
  <si>
    <t>02.03.05.02</t>
  </si>
  <si>
    <t xml:space="preserve">                 VARIOS MURO PANTALLA</t>
  </si>
  <si>
    <t>02.03.05.02.01</t>
  </si>
  <si>
    <t xml:space="preserve">                        EPÓXIDO EN UNIÓN ENTRE LOSAS DE TECHO DE SÓTANOS</t>
  </si>
  <si>
    <t>ml</t>
  </si>
  <si>
    <t>02.03.05.02.02</t>
  </si>
  <si>
    <t xml:space="preserve">                        SOLADO PROVISIONAL PARA MURO ANCLADO</t>
  </si>
  <si>
    <t>02.03.05.02.03</t>
  </si>
  <si>
    <t xml:space="preserve">      PICADO DE SOLADOS PARA ENCUENTRO DE ANILLOS</t>
  </si>
  <si>
    <t>02.03.05.02.04</t>
  </si>
  <si>
    <t xml:space="preserve">      PICADO Y RESANES DE CUÑAS DE VACIADO</t>
  </si>
  <si>
    <t>02.03.05.02.05</t>
  </si>
  <si>
    <t>DADOS DE CONCRETO PARA MUERTOS DE ENCOFRADO</t>
  </si>
  <si>
    <t>02.03.05.02.06</t>
  </si>
  <si>
    <t>DADOS EN MUROS DE CONTENCION-CONCRETO PREMEZCLADO F'C=350 KG/CM2 T.I CON ACELERANTE PARA TENSADO</t>
  </si>
  <si>
    <t>02.03.05.03</t>
  </si>
  <si>
    <t xml:space="preserve">                 ENCOFRADO Y DESENCOFRADO DE MUROS DE CONTENCIÓN Y PANTALLA</t>
  </si>
  <si>
    <t>02.03.05.03.01</t>
  </si>
  <si>
    <t xml:space="preserve">                        ENCOFRADO Y DESENCOFRADO DE MUROS  PANTALLA = MURO PANTALLA</t>
  </si>
  <si>
    <t>02.03.05.03.02</t>
  </si>
  <si>
    <t xml:space="preserve">                        ENCOFRADO Y DESENCOFRADO DE COSTADO DE MUROS  PANTALLA = MUROS</t>
  </si>
  <si>
    <t>02.03.05.04</t>
  </si>
  <si>
    <t xml:space="preserve">                 ACERO CORRUGADO FY=4200 KG/CM2 P/ MUROS DE CONTENCIÓN Y PANTALLA</t>
  </si>
  <si>
    <t>Acero Muros Anclados</t>
  </si>
  <si>
    <t>02.03.05.04.01</t>
  </si>
  <si>
    <t xml:space="preserve">                        ACERO ESTRUCTURAL FY=4200 KG/CM2 PARA MUROS DE CONTENCIÓN Y PANTALLA</t>
  </si>
  <si>
    <t>02.03.05.04.02</t>
  </si>
  <si>
    <t>ACERO DE REFUERZO fy=4,200 kg/cm2 EN DADOS Y EMPALMES</t>
  </si>
  <si>
    <t>02.03.05.05</t>
  </si>
  <si>
    <t xml:space="preserve">                 SISTEMA DE ANCLAJE : PERFORACIÓN, INYECCIÓN Y TENSADO DE ANCLAJE</t>
  </si>
  <si>
    <t>02.03.05.05.01</t>
  </si>
  <si>
    <t xml:space="preserve">                        PERFORACIÓN, INYECCIÓN Y TENSADO DE ANCLAJE</t>
  </si>
  <si>
    <t>02.03.05.06</t>
  </si>
  <si>
    <t xml:space="preserve">                 EXCAVACIÓN Y RELLENO MANUAL PARA TRASLAPE DE ACERO</t>
  </si>
  <si>
    <t>02.03.05.06.01</t>
  </si>
  <si>
    <t xml:space="preserve">      EXCAVACION PUNTUAL DE BANQUETAS PARA MURO PANTALLA</t>
  </si>
  <si>
    <t>02.03.05.06.02</t>
  </si>
  <si>
    <t xml:space="preserve">      ELIMINACION DE MATERIAL EXCEDENTE CON MAQUINA</t>
  </si>
  <si>
    <t>02.03.05.06.03</t>
  </si>
  <si>
    <t xml:space="preserve">      PERFILADO DE CORTE PARA MURO ANCLADO</t>
  </si>
  <si>
    <t>02.03.05.06.04</t>
  </si>
  <si>
    <t xml:space="preserve">      EXCAVACIÓN LOCALIZADA (P/. EMPALME DE ACERO)</t>
  </si>
  <si>
    <t>02.03.05.06.05</t>
  </si>
  <si>
    <t xml:space="preserve">      RELLENO CON MATERIAL PROPIO (PROV. DE EXCAV. P/EMPALME DE ACERO)</t>
  </si>
  <si>
    <t>02.03.05.06.06</t>
  </si>
  <si>
    <t xml:space="preserve">      COMPACTACIÓN DE TERRENO (PROVIENE PARA EL EMPALME DE ACERO VERTICAL)</t>
  </si>
  <si>
    <t>02.03.05.07</t>
  </si>
  <si>
    <t xml:space="preserve">                 TUBERÍA PVC (150MM) 6" PARA PASES DE ANCLAJE EN ENCOFRADO DE MUROS PANTALLA</t>
  </si>
  <si>
    <t>02.03.05.07.01</t>
  </si>
  <si>
    <t xml:space="preserve">                        TUBERÍA PVC (150MM) 6" PARA PASES DE ANCLAJE EN ENCOFRADO DE MUROS PANTALLA</t>
  </si>
  <si>
    <t>02.03.05.08</t>
  </si>
  <si>
    <t xml:space="preserve">                 PICADO, LIMPIEZA Y COLOCACIÓN DE TECNOPOR PARA CAJUELAS ;</t>
  </si>
  <si>
    <t>02.03.05.08.01</t>
  </si>
  <si>
    <t xml:space="preserve">                        PICADO, LIMPIEZA Y COLOCACIÓN DE TECNOPOR PARA CAJUELAS DE LOSAS</t>
  </si>
  <si>
    <t>ML</t>
  </si>
  <si>
    <t>02.03.05.09</t>
  </si>
  <si>
    <t xml:space="preserve">                 CURADO DE MUROS DE CONTENCIÓN Y PANTALLA</t>
  </si>
  <si>
    <t>02.03.05.09.01</t>
  </si>
  <si>
    <t xml:space="preserve">                        CURADO DE MUROS PANTALLA</t>
  </si>
  <si>
    <t>02.04</t>
  </si>
  <si>
    <t xml:space="preserve">   CONCRETO ARMADO - SÓTANOS</t>
  </si>
  <si>
    <t>02.04.01</t>
  </si>
  <si>
    <t xml:space="preserve">          COLUMNAS</t>
  </si>
  <si>
    <t>02.04.01.01</t>
  </si>
  <si>
    <t xml:space="preserve">                 CONCRETO EN COLUMNAS</t>
  </si>
  <si>
    <t>02.04.01.01.01</t>
  </si>
  <si>
    <t xml:space="preserve">                        CONCRETO PREMEZCLADO 350 KG/CM2 PARA COLUMNAS (SÓTANO)</t>
  </si>
  <si>
    <t>02.04.01.01.02</t>
  </si>
  <si>
    <t xml:space="preserve">                        CONCRETO PREMEZCLADO 280 KG/CM2 PARA COLUMNAS (SÓTANO)</t>
  </si>
  <si>
    <t>02.04.01.02</t>
  </si>
  <si>
    <t xml:space="preserve">                 ENCOFRADO Y DESENCOFRADO EN COLUMNAS</t>
  </si>
  <si>
    <t>Encofrado Estacionamientos</t>
  </si>
  <si>
    <t>02.04.01.02.01</t>
  </si>
  <si>
    <t xml:space="preserve">                        ENCOFRADO Y DESENCOFRADO EN COLUMNAS</t>
  </si>
  <si>
    <t>02.04.01.03</t>
  </si>
  <si>
    <t xml:space="preserve">                 ACERO ESTRUCTURAL COLUMNAS</t>
  </si>
  <si>
    <t>Acero Estacionamientos</t>
  </si>
  <si>
    <t>02.04.01.03.01</t>
  </si>
  <si>
    <t xml:space="preserve">                        ACERO ESTRUCTURAL FY= 4200KG/CM2 PARA COLUMNAS</t>
  </si>
  <si>
    <t>02.04.01.04</t>
  </si>
  <si>
    <t xml:space="preserve">                 CURADO DE COLUMNAS</t>
  </si>
  <si>
    <t>02.04.01.04.01</t>
  </si>
  <si>
    <t xml:space="preserve">                        CURADO DE COLUMNAS</t>
  </si>
  <si>
    <t>02.04.02</t>
  </si>
  <si>
    <t xml:space="preserve">          PLACAS</t>
  </si>
  <si>
    <t>02.04.02.01</t>
  </si>
  <si>
    <t xml:space="preserve">                 CONCRETO EN PLACAS</t>
  </si>
  <si>
    <t>02.04.02.01.01</t>
  </si>
  <si>
    <t xml:space="preserve">                        CONCRETO PREMEZCLADO 420 KG/CM2 PARA PLACAS</t>
  </si>
  <si>
    <t>02.04.02.01.02</t>
  </si>
  <si>
    <t xml:space="preserve">                        CONCRETO PREMEZCLADO 350 KG/CM2 PARA PLACAS</t>
  </si>
  <si>
    <t>02.04.02.01.03</t>
  </si>
  <si>
    <t xml:space="preserve">                        CONCRETO PREMEZCLADO 280 KG/CM2 PARA PLACAS</t>
  </si>
  <si>
    <t>02.04.02.02</t>
  </si>
  <si>
    <t xml:space="preserve">                 ENCOFRADO Y DESENCOFRADO DE PLACAS</t>
  </si>
  <si>
    <t>02.04.02.02.01</t>
  </si>
  <si>
    <t xml:space="preserve">                        ENCOFRADO Y DESENCOFRADO DE PLACAS</t>
  </si>
  <si>
    <t>02.04.02.03</t>
  </si>
  <si>
    <t xml:space="preserve">                 ACERO ESTRUCTURAL PLACAS</t>
  </si>
  <si>
    <t>02.04.02.03.01</t>
  </si>
  <si>
    <t xml:space="preserve">                        ACERO ESTRUCTURAL FY= 4200KG/CM2 PARA PLACAS</t>
  </si>
  <si>
    <t>02.04.02.04</t>
  </si>
  <si>
    <t xml:space="preserve">                 CURADO DE PLACAS</t>
  </si>
  <si>
    <t>02.04.02.04.01</t>
  </si>
  <si>
    <t xml:space="preserve">                        CURADO DE PLACAS</t>
  </si>
  <si>
    <t>02.04.03</t>
  </si>
  <si>
    <t xml:space="preserve">          VIGAS</t>
  </si>
  <si>
    <t>02.04.03.01</t>
  </si>
  <si>
    <t xml:space="preserve">                 CONCRETO PREMEZCLADO EN VIGAS</t>
  </si>
  <si>
    <t>02.04.03.01.01</t>
  </si>
  <si>
    <t>PRE VIGA 245 KG/CM2 PARA VIGAS (SÓTANO)</t>
  </si>
  <si>
    <t>CONCRETO QUE FALTA POR VACIAR EN PREVIGA (64%)</t>
  </si>
  <si>
    <t>02.04.03.02</t>
  </si>
  <si>
    <t xml:space="preserve">                 ENCOFRADO Y DESENCOFRADO VIGA</t>
  </si>
  <si>
    <t>02.04.03.02.01</t>
  </si>
  <si>
    <t xml:space="preserve">                        ENCOFRADO Y DESENCOFRADO CARAVISTA DE VIGA</t>
  </si>
  <si>
    <t>02.04.03.03</t>
  </si>
  <si>
    <t xml:space="preserve">                 ACERO CORRUGADO FY 4200 KG/CM2</t>
  </si>
  <si>
    <t>02.04.03.03.01</t>
  </si>
  <si>
    <t xml:space="preserve">                        ACERO ESTRUCTURAL FY= 4200KG/CM2 PARA VIGAS</t>
  </si>
  <si>
    <t>02.04.03.04</t>
  </si>
  <si>
    <t xml:space="preserve">                 CURADO DE VIGAS</t>
  </si>
  <si>
    <t>02.04.03.04.01</t>
  </si>
  <si>
    <t xml:space="preserve">                        CURADO DE VIGAS</t>
  </si>
  <si>
    <t>02.04.04</t>
  </si>
  <si>
    <t xml:space="preserve">          LOSA ALIGERADA H =0.25</t>
  </si>
  <si>
    <t>02.04.04.01</t>
  </si>
  <si>
    <t xml:space="preserve">                 CONCRETO PREMEZCLADO  LOSA ALIGERADA (H=0.25)</t>
  </si>
  <si>
    <t>02.04.04.01.01</t>
  </si>
  <si>
    <t xml:space="preserve">                        CONCRETO PREMEZCLADO 210 KG/CM2 PARA LOSA ALIGERADA (H=25CM) (SÓTANO)</t>
  </si>
  <si>
    <t>02.04.04.02</t>
  </si>
  <si>
    <t>02.04.04.02.01</t>
  </si>
  <si>
    <t xml:space="preserve">                        ACERO ESTRUCTURAL FY= 4200KG/CM2 PARA LOSA ALIGERADA (H=0.25)</t>
  </si>
  <si>
    <t>02.04.04.03</t>
  </si>
  <si>
    <t xml:space="preserve">                 CURADO DE LOSA ALIGERADA (H=0.25)</t>
  </si>
  <si>
    <t>02.04.04.03.01</t>
  </si>
  <si>
    <t xml:space="preserve">                        CURADO DE LOSA ALIGERADA (H=0.25)</t>
  </si>
  <si>
    <t>02.04.04.04</t>
  </si>
  <si>
    <t xml:space="preserve">                 SISTEMA DE PRELOSAS</t>
  </si>
  <si>
    <t>Sistema de Losas Estacionamientos</t>
  </si>
  <si>
    <t>02.04.04.04.01</t>
  </si>
  <si>
    <t xml:space="preserve">                        SISTEMA DE PRELOSAS UN SENTIDO</t>
  </si>
  <si>
    <t>02.04.04.04.02</t>
  </si>
  <si>
    <t xml:space="preserve">                        SISTEMA DE PRELOSAS DOS SENTIDOS</t>
  </si>
  <si>
    <t>02.04.04.05</t>
  </si>
  <si>
    <t xml:space="preserve">                 ENCOFRADO Y DESENCOFRADO DE PRELOSAS ALIGERADA</t>
  </si>
  <si>
    <t>02.04.04.05.01</t>
  </si>
  <si>
    <t>APUNTALAMIENTO DE PRELOSAS</t>
  </si>
  <si>
    <t>02.04.05</t>
  </si>
  <si>
    <t xml:space="preserve">          LOSA MACIZA H =0.20</t>
  </si>
  <si>
    <t>02.04.05.01</t>
  </si>
  <si>
    <t xml:space="preserve">                 CONCRETO PREMEZCLADO  LOSA MACIZA</t>
  </si>
  <si>
    <t>02.04.05.01.01</t>
  </si>
  <si>
    <t xml:space="preserve">                        CONCRETO PREMEZCLADO 280 KG/CM2 PARA LOSA MACIZA (SÓTANO)</t>
  </si>
  <si>
    <t>02.04.05.01.02</t>
  </si>
  <si>
    <t xml:space="preserve">                        CONCRETO PREMEZCLADO 350 KG/CM2 PARA LOSA MACIZA (SÓTANO)</t>
  </si>
  <si>
    <t>02.04.05.01.03</t>
  </si>
  <si>
    <t xml:space="preserve">                        CONCRETO PREMEZCLADO 420 KG/CM2 PARA LOSA MACIZA (SÓTANO)</t>
  </si>
  <si>
    <t>02.04.05.02</t>
  </si>
  <si>
    <t>02.04.05.02.01</t>
  </si>
  <si>
    <t xml:space="preserve">                        ACERO ESTRUCTURAL FY= 4200KG/CM2 PARA LOSA MACIZA</t>
  </si>
  <si>
    <t>02.04.05.03</t>
  </si>
  <si>
    <t xml:space="preserve">                 CURADO DE LOSA MACIZA</t>
  </si>
  <si>
    <t>02.04.05.03.01</t>
  </si>
  <si>
    <t xml:space="preserve">                        CURADO DE LOSA MACIZA</t>
  </si>
  <si>
    <t>02.04.05.04</t>
  </si>
  <si>
    <t>02.04.05.04.01</t>
  </si>
  <si>
    <t xml:space="preserve">                        SISTEMA DE PRELOSAS MACIZA</t>
  </si>
  <si>
    <t>02.04.05.05</t>
  </si>
  <si>
    <t>02.04.05.05.01</t>
  </si>
  <si>
    <t>02.04.06</t>
  </si>
  <si>
    <t xml:space="preserve">          ESCALERA</t>
  </si>
  <si>
    <t>02.04.06.01</t>
  </si>
  <si>
    <t xml:space="preserve">                 CONCRETO PREMEZCLADO F'C = 280 KG/CM2 ESCALERA</t>
  </si>
  <si>
    <t>02.04.06.01.01</t>
  </si>
  <si>
    <t xml:space="preserve">                        CONCRETO PREMEZCLADO 280 KG/CM2 PARA ESCALERA (SÓTANO) ESCALERA PREFABRICADA</t>
  </si>
  <si>
    <t>02.04.06.02</t>
  </si>
  <si>
    <t xml:space="preserve">                 ENCOFRADO Y DESENCOFRADO DE ESCALERA</t>
  </si>
  <si>
    <t>02.04.06.02.01</t>
  </si>
  <si>
    <t xml:space="preserve">                        ENCOFRADO Y DESENCOFRADO DE ESCALERA</t>
  </si>
  <si>
    <t>02.04.06.03</t>
  </si>
  <si>
    <t>02.04.06.03.01</t>
  </si>
  <si>
    <t xml:space="preserve">                        ACERO ESTRUCTURAL FY = 4200KG/CM2 PARA ESCALERA</t>
  </si>
  <si>
    <t>02.04.06.04</t>
  </si>
  <si>
    <t xml:space="preserve">                 CURADO DE ESCALERA</t>
  </si>
  <si>
    <t>02.04.06.04.01</t>
  </si>
  <si>
    <t xml:space="preserve">                        CURADO DE ESCALERA</t>
  </si>
  <si>
    <t>02.05</t>
  </si>
  <si>
    <t xml:space="preserve">   CONCRETO ARMADO - TORRE</t>
  </si>
  <si>
    <t>02.05.01</t>
  </si>
  <si>
    <t>02.05.01.01</t>
  </si>
  <si>
    <t xml:space="preserve">                 CONCRETO EN COLUMNAS </t>
  </si>
  <si>
    <t>Concreto Residencial</t>
  </si>
  <si>
    <t>02.05.01.01.01</t>
  </si>
  <si>
    <t xml:space="preserve">                        CONCRETO PREMEZCLADO 350 KG/CM2 PARA COLUMNAS (TORRE)</t>
  </si>
  <si>
    <t>02.05.01.01.02</t>
  </si>
  <si>
    <t xml:space="preserve">                        CONCRETO PREMEZCLADO 280 KG/CM2 PARA COLUMNAS (TORRE)</t>
  </si>
  <si>
    <t>02.05.01.01.03</t>
  </si>
  <si>
    <t xml:space="preserve">                        CONCRETO PREMEZCLADO 245 KG/CM2 PARA COLUMNAS (TORRE)</t>
  </si>
  <si>
    <t>02.05.01.02</t>
  </si>
  <si>
    <t>Encofrado Residencial</t>
  </si>
  <si>
    <t>02.05.01.02.01</t>
  </si>
  <si>
    <t xml:space="preserve">                        ENCOFRADO Y DESENCOFRADO EN COLUMNAS (TORRE)</t>
  </si>
  <si>
    <t>02.05.01.03</t>
  </si>
  <si>
    <t>02.05.01.03.01</t>
  </si>
  <si>
    <t xml:space="preserve">                        ACERO ESTRUCTURAL FY= 4200KG/CM2 PARA COLUMNAS (TORRE)</t>
  </si>
  <si>
    <t>02.05.01.04</t>
  </si>
  <si>
    <t>02.05.01.04.01</t>
  </si>
  <si>
    <t xml:space="preserve">                        CURADO DE COLUMNAS (TORRE)</t>
  </si>
  <si>
    <t>02.05.02</t>
  </si>
  <si>
    <t>02.05.02.01</t>
  </si>
  <si>
    <t xml:space="preserve">                 CONCRETO EN PLACAS </t>
  </si>
  <si>
    <t>02.05.02.01.01</t>
  </si>
  <si>
    <t xml:space="preserve">                        CONCRETO PREMEZCLADO 420 KG/CM2 PARA COLUMNAS (TORRE)</t>
  </si>
  <si>
    <t>02.05.02.01.02</t>
  </si>
  <si>
    <t>02.05.02.01.03</t>
  </si>
  <si>
    <t>02.05.02.01.04</t>
  </si>
  <si>
    <t>02.05.02.01.05</t>
  </si>
  <si>
    <t xml:space="preserve">                        CONCRETO PREMEZCLADO 280 KG/CM2 PARA PLACAS - OBRAS DE ARTE</t>
  </si>
  <si>
    <t>02.05.02.02</t>
  </si>
  <si>
    <t>02.05.02.02.01</t>
  </si>
  <si>
    <t xml:space="preserve">                        ENCOFRADO Y DESENCOFRADO DE PLACAS (TORRE)</t>
  </si>
  <si>
    <t>02.05.02.02.02</t>
  </si>
  <si>
    <t xml:space="preserve">                        ENCOFRADO Y DESENCOFRADO DE PLACAS - OBRAS DE ARTE</t>
  </si>
  <si>
    <t>02.05.02.03</t>
  </si>
  <si>
    <t>02.05.02.03.01</t>
  </si>
  <si>
    <t xml:space="preserve">                        ACERO ESTRUCTURAL FY= 4200KG/CM2 PARA PLACAS (TORRE)</t>
  </si>
  <si>
    <t>02.05.02.03.02</t>
  </si>
  <si>
    <t xml:space="preserve">                        ACERO ESTRUCTURAL FY= 4200KG/CM2 PARA PLACAS - OBRAS DE ARTE</t>
  </si>
  <si>
    <t>02.05.02.04</t>
  </si>
  <si>
    <t>02.05.02.04.01</t>
  </si>
  <si>
    <t xml:space="preserve">                        CURADO DE PLACAS (TORRE)</t>
  </si>
  <si>
    <t>02.05.03</t>
  </si>
  <si>
    <t>02.05.03.01</t>
  </si>
  <si>
    <t>02.05.03.01.01</t>
  </si>
  <si>
    <t xml:space="preserve">                        CONCRETO PREMEZCLADO 280 KG/CM2 PARA VIGAS (TORRE)</t>
  </si>
  <si>
    <t>02.05.03.01.02</t>
  </si>
  <si>
    <t xml:space="preserve">                        CONCRETO PREMEZCLADO 280 KG/CM2 PARA VIGAS (TORRE) - OBRAS DE ARTE</t>
  </si>
  <si>
    <t>02.05.03.02</t>
  </si>
  <si>
    <t>02.05.03.02.01</t>
  </si>
  <si>
    <t xml:space="preserve">                        ENCOFRADO Y DESENCOFRADO VIGA</t>
  </si>
  <si>
    <t>02.05.03.03</t>
  </si>
  <si>
    <t>02.05.03.03.01</t>
  </si>
  <si>
    <t xml:space="preserve">                        ACERO ESTRUCTURAL FY= 4200KG/CM2 PARA VIGAS (TORRE)</t>
  </si>
  <si>
    <t>02.05.03.03.02</t>
  </si>
  <si>
    <t xml:space="preserve">                        ACERO ESTRUCTURAL FY= 4200KG/CM2 PARA VIGAS (TORRE) - OBRAS DE ARTE</t>
  </si>
  <si>
    <t>02.05.03.04</t>
  </si>
  <si>
    <t>02.05.03.04.01</t>
  </si>
  <si>
    <t xml:space="preserve">                        CURADO DE VIGAS (TORRE)</t>
  </si>
  <si>
    <t>02.05.04</t>
  </si>
  <si>
    <t xml:space="preserve">          LOSA ALIGERADA H =0.20 Y H=0.25</t>
  </si>
  <si>
    <t>02.05.04.01</t>
  </si>
  <si>
    <t xml:space="preserve">                 CONCRETO PREMEZCLADO  LOSA ALIGERADA (H=0.20 H=0.25)</t>
  </si>
  <si>
    <t>02.05.04.01.01</t>
  </si>
  <si>
    <t xml:space="preserve">                        CONCRETO PREMEZCLADO 280 KG/CM2 PARA LOSA ALIGERADA (H=20CM H=25CM) (TORRE)</t>
  </si>
  <si>
    <t>02.05.04.01.02</t>
  </si>
  <si>
    <t xml:space="preserve">                        CONCRETO PREMEZCLADO 280 KG/CM2 PARA LOSA MACIZA (H=20CM H=25CM) (TORRE) - EN BAÑOS</t>
  </si>
  <si>
    <t>02.05.04.01.03</t>
  </si>
  <si>
    <t xml:space="preserve">                        CONCRETO PREMEZCLADO 350 KG/CM2 PARA LOSA ALIGERADA (H=20CM H=25CM) (TORRE)</t>
  </si>
  <si>
    <t>02.05.04.01.04</t>
  </si>
  <si>
    <t xml:space="preserve">                        CONCRETO PREMEZCLADO 420 KG/CM2 PARA LOSA ALIGERADA (H=20CM H=25CM) (TORRE)</t>
  </si>
  <si>
    <t>02.05.04.02</t>
  </si>
  <si>
    <t>02.05.04.02.01</t>
  </si>
  <si>
    <t xml:space="preserve">                        ACERO ESTRUCTURAL FY= 4200KG/CM2 PARA LOSA ALIGERADA (H=0.20 H=0.25) (TORRE)</t>
  </si>
  <si>
    <t>02.05.04.03</t>
  </si>
  <si>
    <t>Sistema de Losas Residencial</t>
  </si>
  <si>
    <t>02.05.04.03.01</t>
  </si>
  <si>
    <t xml:space="preserve">                        SISTEMA DE PRELOSAS 0.20</t>
  </si>
  <si>
    <t>02.05.04.03.02</t>
  </si>
  <si>
    <t xml:space="preserve">                        SISTEMA DE PRELOSAS 0.25</t>
  </si>
  <si>
    <t>02.05.04.03.03</t>
  </si>
  <si>
    <t xml:space="preserve">                        SISTEMA DE PRELOSAS 0.25 DOS SENTIDOS</t>
  </si>
  <si>
    <t>02.05.04.04</t>
  </si>
  <si>
    <t>02.05.04.04.01</t>
  </si>
  <si>
    <t>02.05.04.05</t>
  </si>
  <si>
    <t xml:space="preserve">                 CURADO DE LOSA ALIGERADA</t>
  </si>
  <si>
    <t>02.05.04.05.01</t>
  </si>
  <si>
    <t xml:space="preserve">                        CURADO DE LOSA ALIGERADA (TORRE)</t>
  </si>
  <si>
    <t>02.05.05</t>
  </si>
  <si>
    <t>02.05.05.01</t>
  </si>
  <si>
    <t>02.05.05.01.01</t>
  </si>
  <si>
    <t xml:space="preserve">                        CONCRETO PREMEZCLADO 280 KG/CM2 PARA LOSA MACIZA (TORRE)</t>
  </si>
  <si>
    <t>02.05.05.02</t>
  </si>
  <si>
    <t>02.05.05.02.01</t>
  </si>
  <si>
    <t>02.05.05.03</t>
  </si>
  <si>
    <t>02.05.05.03.01</t>
  </si>
  <si>
    <t>02.05.05.04</t>
  </si>
  <si>
    <t>02.05.05.04.01</t>
  </si>
  <si>
    <t>02.05.05.05</t>
  </si>
  <si>
    <t>02.05.05.05.01</t>
  </si>
  <si>
    <t>02.05.06</t>
  </si>
  <si>
    <t>02.05.06.01</t>
  </si>
  <si>
    <t>02.05.06.01.01</t>
  </si>
  <si>
    <t xml:space="preserve">                        CONCRETO PREMEZCLADO 280 KG/CM2 PARA ESCALERA (TORRE) ESCALERA PREFABRICADA</t>
  </si>
  <si>
    <t>02.05.06.02</t>
  </si>
  <si>
    <t>02.05.06.02.01</t>
  </si>
  <si>
    <t xml:space="preserve">                        ENCOFRADO Y DESENCOFRADO DE ESCALERA (TORRE)</t>
  </si>
  <si>
    <t>02.05.06.03</t>
  </si>
  <si>
    <t>02.05.06.03.01</t>
  </si>
  <si>
    <t xml:space="preserve">                        ACERO ESTRUCTURAL FY = 4200KG/CM2 PARA ESCALERA (TORRE)</t>
  </si>
  <si>
    <t>02.05.06.04</t>
  </si>
  <si>
    <t>02.05.06.04.01</t>
  </si>
  <si>
    <t xml:space="preserve">                        CURADO DE ESCALERA (TORRE)</t>
  </si>
  <si>
    <t>02.05.07</t>
  </si>
  <si>
    <t>JARDINERAS</t>
  </si>
  <si>
    <t>02.05.07.01</t>
  </si>
  <si>
    <t xml:space="preserve">                        CONCRETO  FC'=210 KG/CM2</t>
  </si>
  <si>
    <t>02.05.07.02</t>
  </si>
  <si>
    <t xml:space="preserve">                        ENCOFRADO</t>
  </si>
  <si>
    <t>02.05.07.03</t>
  </si>
  <si>
    <t xml:space="preserve">                        ACERO ESTRUCTURAL FY= 4200 KG/CM2 </t>
  </si>
  <si>
    <t>02.05.07.04</t>
  </si>
  <si>
    <t>02.05.08</t>
  </si>
  <si>
    <t>COLUMNETAS/VIGUETAS</t>
  </si>
  <si>
    <t>02.05.08.01</t>
  </si>
  <si>
    <t>02.05.08.02</t>
  </si>
  <si>
    <t>02.05.08.03</t>
  </si>
  <si>
    <t>02.05.08.04</t>
  </si>
  <si>
    <t>02.05.09</t>
  </si>
  <si>
    <t>PISCINA</t>
  </si>
  <si>
    <t>02.05.09.01</t>
  </si>
  <si>
    <t>02.05.09.02</t>
  </si>
  <si>
    <t>02.05.09.03</t>
  </si>
  <si>
    <t>02.05.09.04</t>
  </si>
  <si>
    <t>02.05.10</t>
  </si>
  <si>
    <t>BASES DE CONCRETO</t>
  </si>
  <si>
    <t>02.05.10.01</t>
  </si>
  <si>
    <t>02.05.10.02</t>
  </si>
  <si>
    <t>02.05.10.03</t>
  </si>
  <si>
    <t>02.05.10.04</t>
  </si>
  <si>
    <t>03</t>
  </si>
  <si>
    <t>ARQUITECTURA</t>
  </si>
  <si>
    <t>03.01</t>
  </si>
  <si>
    <t xml:space="preserve">   ARQUITECTURA SÓTANOS</t>
  </si>
  <si>
    <t>03.01.01</t>
  </si>
  <si>
    <t xml:space="preserve">          ALBAÑILERÍA</t>
  </si>
  <si>
    <t>03.01.01.01</t>
  </si>
  <si>
    <t xml:space="preserve">                 DINTELES SÓTANOS</t>
  </si>
  <si>
    <t>Drywall y Falso Cielo Raso</t>
  </si>
  <si>
    <t>03.01.01.01.01</t>
  </si>
  <si>
    <t>DINTELES  POR UNIDAD</t>
  </si>
  <si>
    <t>03.01.01.02</t>
  </si>
  <si>
    <t xml:space="preserve">                 MUROS DE ALBAÑILERÍA</t>
  </si>
  <si>
    <t>Muros de Albañileria</t>
  </si>
  <si>
    <t>03.01.01.02.01</t>
  </si>
  <si>
    <t xml:space="preserve">                        MURO DE LADRILLO SILICO CALCARIO P-07 (SÓTANO)</t>
  </si>
  <si>
    <t>03.01.01.02.02</t>
  </si>
  <si>
    <t xml:space="preserve">                        MURO DE LADRILLO SILICO CALCARIO P-10 (SÓTANO)</t>
  </si>
  <si>
    <t>03.01.01.02.03</t>
  </si>
  <si>
    <t xml:space="preserve">                        MURO DE LADRILLO SILICO CALCARIO P-10 CORTAFUEGO (SÓTANO)</t>
  </si>
  <si>
    <t>03.01.01.02.04</t>
  </si>
  <si>
    <t xml:space="preserve">                        MURO DE LADRILLO SILICO CALCARIO P-12 (SÓTANO)</t>
  </si>
  <si>
    <t>03.01.01.02.05</t>
  </si>
  <si>
    <t xml:space="preserve">                        MURO DE LADRILLO SILICO CALCARIO P-12 CORTAFUEGO (SÓTANO)</t>
  </si>
  <si>
    <t>03.01.01.02.06</t>
  </si>
  <si>
    <t xml:space="preserve">                        MURO DE LADRILLO SILICO CALCARIO P-30 CORTAFUEGO (SÓTANO)</t>
  </si>
  <si>
    <t>ACERO PARA MURO SILICO CALCARIO</t>
  </si>
  <si>
    <t>03.01.01.02.07</t>
  </si>
  <si>
    <t>MOCHETAS DE CONCRETO EN ZONAS DE PUERTAS</t>
  </si>
  <si>
    <t>Pisos de enchape ceramico y porcelanato</t>
  </si>
  <si>
    <t>03.01.01.02.08</t>
  </si>
  <si>
    <t>SARDINEL ENCHAPADO EN LAVAMOPAS DE CTO. DE BASURA, h=10CM EN SOTANO 01</t>
  </si>
  <si>
    <t>03.01.01.03</t>
  </si>
  <si>
    <t xml:space="preserve">                 TABIQUES DE DRYWALL</t>
  </si>
  <si>
    <t>03.01.01.03.01</t>
  </si>
  <si>
    <t xml:space="preserve">                        CERRAMIENTO DE DRYWALL (SOTANO)</t>
  </si>
  <si>
    <t>03.01.01.03.02</t>
  </si>
  <si>
    <t xml:space="preserve">                        SOBREMURO CON DRYWALL A UNA CARA EN EXTERIOR DE BICICLETARIO DEL SÓTANO 01</t>
  </si>
  <si>
    <t>03.01.01.03.03</t>
  </si>
  <si>
    <t xml:space="preserve">                        DINTELES DE DRYWALL</t>
  </si>
  <si>
    <t>03.01.01.03.04</t>
  </si>
  <si>
    <t xml:space="preserve">                        CERRAMIENTO PARA EL ASCENSOR DE DRYWALL</t>
  </si>
  <si>
    <t>03.01.02</t>
  </si>
  <si>
    <t xml:space="preserve">          REVOQUES Y REVESTIMIENTOS</t>
  </si>
  <si>
    <t>03.01.02.01</t>
  </si>
  <si>
    <t xml:space="preserve">                 TARRAJEOS</t>
  </si>
  <si>
    <t>Impermeabilización de cisterna</t>
  </si>
  <si>
    <t>Tarrajeo, Revoques y Enlucido</t>
  </si>
  <si>
    <t>03.01.02.01.01</t>
  </si>
  <si>
    <t xml:space="preserve">                       TARRAJEO CON IMPERMEABILIZANTE - CISTERNAS (SÓTANO)</t>
  </si>
  <si>
    <t>03.01.02.01.02</t>
  </si>
  <si>
    <t xml:space="preserve">                       TARRAJEO PULIDO E IMPERMEABILIZADO (TECHO DE CISTERNAS) (SÓTANO)</t>
  </si>
  <si>
    <t>03.01.02.01.03</t>
  </si>
  <si>
    <t xml:space="preserve">                        TARRAJEO FONDO DE ESCALERA (SÓTANO)</t>
  </si>
  <si>
    <t>03.01.02.01.04</t>
  </si>
  <si>
    <t>TARRAJEO EN LATERAL DE ESCALERAS</t>
  </si>
  <si>
    <t>03.01.02.02</t>
  </si>
  <si>
    <t xml:space="preserve">                 FORJADOS</t>
  </si>
  <si>
    <t>03.01.02.02.01</t>
  </si>
  <si>
    <t xml:space="preserve">                        FORJADOS DE ESCALERA DE SERVICIO - PASO Y CONTRAPASO (SÓTANO)</t>
  </si>
  <si>
    <t>03.01.02.02.02</t>
  </si>
  <si>
    <t xml:space="preserve">                        FORJADOS DE ESCALERA DE SERVICIO - DESCANSO (SÓTANO)</t>
  </si>
  <si>
    <t>03.01.02.02.03</t>
  </si>
  <si>
    <t>CANTONERA DE PVC</t>
  </si>
  <si>
    <t>UND</t>
  </si>
  <si>
    <t>03.01.02.02.04</t>
  </si>
  <si>
    <t>FORJADO EN PASOS Y CONTRAPASOS CON ACABADO DE CEMENTO PULIDO CON BORDE ANTIDESLISANTE, BRUÑADO EN GRADAS DEL CTO. DE BOMBAS</t>
  </si>
  <si>
    <t>03.01.02.02.05</t>
  </si>
  <si>
    <t>BRUÑAS VERTICALES DE 1cm EN MURO DE ESTACIONAMIENTOS</t>
  </si>
  <si>
    <t>03.01.02.03</t>
  </si>
  <si>
    <t xml:space="preserve">                 SOLAQUEO Y DERRAMES</t>
  </si>
  <si>
    <t>Solaqueo en sotanos</t>
  </si>
  <si>
    <t>03.01.02.03.01</t>
  </si>
  <si>
    <t xml:space="preserve">                        SOLAQUEO DE CIELO RASO Y TRATAMIENTO DE JUNTA DE PRELOSAS</t>
  </si>
  <si>
    <t>03.01.02.03.04</t>
  </si>
  <si>
    <t>SOLAQUEO DE MUROS SILICO CALCAREO EN SOTANOS</t>
  </si>
  <si>
    <t>03.01.02.03.05</t>
  </si>
  <si>
    <t xml:space="preserve">                        SOLAQUEO DE VIGAS DE ESTACIONAMIENTO EN SÓTANOS</t>
  </si>
  <si>
    <t>03.01.02.03.06</t>
  </si>
  <si>
    <t>CANALETA DE DRENAJE EN SOTANO (ALBAÑILERIA</t>
  </si>
  <si>
    <t>03.01.02.03.07</t>
  </si>
  <si>
    <t xml:space="preserve">                        LIMPIEZA Y SOLAQUEO DE CAJA DE ASCENSOR (SÓTANO)</t>
  </si>
  <si>
    <t>03.01.03</t>
  </si>
  <si>
    <t xml:space="preserve">          PISOS Y PAVIMENTOS</t>
  </si>
  <si>
    <t>03.01.03.01</t>
  </si>
  <si>
    <t xml:space="preserve">                 PISOS</t>
  </si>
  <si>
    <t>03.01.03.01.01</t>
  </si>
  <si>
    <t xml:space="preserve">                        CONTRAPISO DE 2" (SOTANO)</t>
  </si>
  <si>
    <t>03.01.03.01.02</t>
  </si>
  <si>
    <t xml:space="preserve">                        PISO CEMENTO FROTACHADO (SÓTANO) circulación y estacionamiento</t>
  </si>
  <si>
    <t>03.01.03.01.03</t>
  </si>
  <si>
    <t xml:space="preserve">                        PISO BRUÑADO CADA 20 CM RAMPAS (SÓTANO)</t>
  </si>
  <si>
    <t>03.01.03.01.04</t>
  </si>
  <si>
    <t xml:space="preserve">                        PISO DE CEMENTO PULIDO (SÓTANO)</t>
  </si>
  <si>
    <t>03.01.03.01.05</t>
  </si>
  <si>
    <t>PISO CEMENTO PULIDO CON IMPERMEABILIZANTE EN CISTERNAS</t>
  </si>
  <si>
    <t>03.01.03.01.06</t>
  </si>
  <si>
    <t>PISO CEMENTO PULIDO CON IMPERMEABILIZANTE EN CUARTOS DE BOMBA</t>
  </si>
  <si>
    <t>03.01.03.01.07</t>
  </si>
  <si>
    <t xml:space="preserve">PISO DE CUARTO DE BASURA_CERÁMICO RECTIFICADO RUSTICO MATE BOSTON PLATA 60cm x60cm. </t>
  </si>
  <si>
    <t>03.01.03.01.08</t>
  </si>
  <si>
    <t>PISO DE HALL DE ASCENSORES SOTANOS_PORCELANATO RAJASTHAN BEIGE ZA001 60X60</t>
  </si>
  <si>
    <t>Obras civiles</t>
  </si>
  <si>
    <t>Varios - Arquitectura</t>
  </si>
  <si>
    <t>03.01.03.01.09</t>
  </si>
  <si>
    <t xml:space="preserve">                        TOPE LLANTAS EN ESTACIONAMIENTO (SÓTANO) l= 0.60 MTS.</t>
  </si>
  <si>
    <t>03.01.04</t>
  </si>
  <si>
    <t xml:space="preserve">          ZÓCALOS, CONTRA ZÓCALOS, ENCHAPES Y COBERTURAS</t>
  </si>
  <si>
    <t>03.01.04.01</t>
  </si>
  <si>
    <t xml:space="preserve">                 ZÓCALOS</t>
  </si>
  <si>
    <t>03.01.04.01.01</t>
  </si>
  <si>
    <t>ZOCALO DE CUARTO DE BASURA_CERAMICO BLANCOS Y COLORES RECTIFICADO CEJATEL BLANCO MATE 30 cm x 58cm BLANCO Mate</t>
  </si>
  <si>
    <t>03.01.04.02</t>
  </si>
  <si>
    <t xml:space="preserve">                 CONTRA ZÓCALOS</t>
  </si>
  <si>
    <t>03.01.04.02.01</t>
  </si>
  <si>
    <t xml:space="preserve">                        CONTRA ZÓCALO DE CEMENTO PULIDO (SÓTANO)</t>
  </si>
  <si>
    <t>CONTRAZOCALO DE HALL DE ASCENSORES_PORCELANATO RAJASTHAN BEIGE ZA001 60X60</t>
  </si>
  <si>
    <t>03.01.05</t>
  </si>
  <si>
    <t xml:space="preserve">          CARPINTERÍA DE MADERA Y CERRAJERÍA</t>
  </si>
  <si>
    <t>03.01.05.01</t>
  </si>
  <si>
    <t xml:space="preserve">                 PUERTAS</t>
  </si>
  <si>
    <t>Puertas de sotano y primer piso</t>
  </si>
  <si>
    <t>Carpinteria de Madera</t>
  </si>
  <si>
    <t>03.01.05.01.01</t>
  </si>
  <si>
    <t>P-3 (0.90x2.10m) PUERTA DE MADERA BATIENTE DE UNA HOJA, CONTRAPLACADA EN MDF CON REJILLA INFERIOR. DEPÓSITOS - SOTANOS</t>
  </si>
  <si>
    <t>03.01.05.01.02</t>
  </si>
  <si>
    <t>PUERTA CON REJILLA DE VENTILACIÓN - CLOSET EN CORREDOR DE PLANTA DE CISTERNAS</t>
  </si>
  <si>
    <t>03.01.05.01.03</t>
  </si>
  <si>
    <t>PUERTA CON REJILLA DE VENTILACIÓN - CLOSETS PARA TABLEROS ELECTRICOS - SOTANO 01</t>
  </si>
  <si>
    <t>03.01.05.02</t>
  </si>
  <si>
    <t xml:space="preserve">                 CERRADURAS</t>
  </si>
  <si>
    <t>Cerrajeria</t>
  </si>
  <si>
    <t>03.01.05.02.01</t>
  </si>
  <si>
    <t xml:space="preserve">                        BISAGRAS ZINCADAS DE 3.5"X 3.5" - PUERTAS INTERIORES (03 UNID X HOJA) (SOTANO)</t>
  </si>
  <si>
    <t>03.01.05.02.02</t>
  </si>
  <si>
    <t xml:space="preserve">                        CERRADURA INTERIORES (SOTANO)</t>
  </si>
  <si>
    <t>03.01.06</t>
  </si>
  <si>
    <t xml:space="preserve">          CARPINTERÍA METÁLICA</t>
  </si>
  <si>
    <t>03.01.06.01</t>
  </si>
  <si>
    <t xml:space="preserve">                 PUERTA METÁLICA</t>
  </si>
  <si>
    <t>Puertas corta fuego</t>
  </si>
  <si>
    <t>Carpinteria Metalica</t>
  </si>
  <si>
    <t>03.01.06.01.01</t>
  </si>
  <si>
    <t xml:space="preserve">                        PCF - 01 PUERTA CORTAFUEGO RF 90 DE 1.00 X 2.10 - APERTURA DERECHA - INCLUYE BARRA ANTIPÁNICO Y CIERRAPUERTAS</t>
  </si>
  <si>
    <t>03.01.06.01.02</t>
  </si>
  <si>
    <t xml:space="preserve">                        PCF - 01 PUERTA CORTAFUEGO RF 90 DE 1.40 X 2.10 - APERTURA DERECHA - INCLUYE BARRA ANTIPÁNICO Y CIERRAPUERTAS</t>
  </si>
  <si>
    <t>03.01.06.02</t>
  </si>
  <si>
    <t xml:space="preserve">                 VARIOS CARPINTERÍA METÁLICA</t>
  </si>
  <si>
    <t>Carpinteria metalcia en sotanos</t>
  </si>
  <si>
    <t>03.01.06.02.01</t>
  </si>
  <si>
    <t xml:space="preserve">                        ESCALERA DE GATO - CISTERNA (SÓTANO)</t>
  </si>
  <si>
    <t>03.01.06.02.02</t>
  </si>
  <si>
    <t>VENTANA DE REGISTRO EN CISTERNAS 0.80x1.00m</t>
  </si>
  <si>
    <t>03.01.06.02.03</t>
  </si>
  <si>
    <t>REJILLA DE DRENAJE EN PISO DE CTO. DE BOMBAS, a=20cm</t>
  </si>
  <si>
    <t>03.01.06.02.04</t>
  </si>
  <si>
    <t>REJILLA DE DRENAJE EN PISO, a=20cm EN ESTACIONAMIENTOS</t>
  </si>
  <si>
    <t>03.01.06.02.05</t>
  </si>
  <si>
    <t xml:space="preserve">                        CANALETA DE DRENAJE (SÓTANO)  A= 20 CM.</t>
  </si>
  <si>
    <t>03.01.06.02.06</t>
  </si>
  <si>
    <t xml:space="preserve">                        BARANDAS METÁLICAS ALTURA 1.0 M (SÓTANO)</t>
  </si>
  <si>
    <t>Baranda de escalera y pasamano</t>
  </si>
  <si>
    <t>03.01.06.02.07</t>
  </si>
  <si>
    <t>PASAMANO METALICO EN ESCALERA DE CTO. DE BOMBAS</t>
  </si>
  <si>
    <t>03.01.06.02.08</t>
  </si>
  <si>
    <t xml:space="preserve">                        PASAMANO DE ESCALERAS ADOSADA AL MURO</t>
  </si>
  <si>
    <t>03.01.07</t>
  </si>
  <si>
    <t xml:space="preserve">          APARATOS SANITARIOS, GRIFERÍAS Y ACCESORIOS SOTANOS</t>
  </si>
  <si>
    <t>03.01.07.01</t>
  </si>
  <si>
    <t xml:space="preserve">                 GRIFERÍA SOTANOS</t>
  </si>
  <si>
    <t>Griferia</t>
  </si>
  <si>
    <t>03.01.07.01.01</t>
  </si>
  <si>
    <t>GRIFO PARA PARED EN CTO. DE BASURA DE SOTANO 01</t>
  </si>
  <si>
    <t>03.01.08</t>
  </si>
  <si>
    <t xml:space="preserve">          PINTURA Y RECUBRIMIENTOS</t>
  </si>
  <si>
    <t>03.01.08.01</t>
  </si>
  <si>
    <t xml:space="preserve">                 PINTURA</t>
  </si>
  <si>
    <t>Pintura de sotanos</t>
  </si>
  <si>
    <t>Pintura y Recubrimiento</t>
  </si>
  <si>
    <t>03.01.08.01.01</t>
  </si>
  <si>
    <t>PINTURA LATEX CON EMPASTE EN MUROS INTERIORES DE SOTANOS</t>
  </si>
  <si>
    <t>03.01.02.03.02</t>
  </si>
  <si>
    <t xml:space="preserve">                        SOLAQUEO DE MUROS PANTALLA + CAL NIEVE  (EN SÓTANO)</t>
  </si>
  <si>
    <t>03.01.02.03.03</t>
  </si>
  <si>
    <t xml:space="preserve">                        SOLAQUEO DE PLACAS Y COLUMNAS + CAL NIEVE (EN SÓTANO)</t>
  </si>
  <si>
    <t>PINTURA EN DEPOSITOS</t>
  </si>
  <si>
    <t>03.01.08.01.02</t>
  </si>
  <si>
    <t>PINTURA EN MURO CTO. DE BOMBAS (OLEO MATE VENCEDOR COLOR GRIS)</t>
  </si>
  <si>
    <t>03.01.08.01.03</t>
  </si>
  <si>
    <t>PINTURA  EN CTO. DE BOMBAS CIELORRASO (SOLAQUEADO COLOR GRIS)</t>
  </si>
  <si>
    <t>03.01.08.01.04</t>
  </si>
  <si>
    <t>PINTURA EN VIGAS  - SOTANOS (SOLAQUEADO COLOR GRIS)</t>
  </si>
  <si>
    <t>03.01.08.01.05</t>
  </si>
  <si>
    <t>PINTURA EN CIELO RASO  - SOTANOS ( LATEX PATO CPP COLOR BLANCO)</t>
  </si>
  <si>
    <t>03.01.08.02</t>
  </si>
  <si>
    <t xml:space="preserve">                 SEÑALÉTICA Y OTROS</t>
  </si>
  <si>
    <t>Pintura de trafico</t>
  </si>
  <si>
    <t>03.01.08.02.01</t>
  </si>
  <si>
    <t xml:space="preserve">CRUCE PEATONAL EN PISOS DE ESTACIONAMIENTOS VEHICULARES DE SÓTANOS CON PINTURA DE TRÁFICO </t>
  </si>
  <si>
    <t>M2</t>
  </si>
  <si>
    <t>03.01.08.02.02</t>
  </si>
  <si>
    <t>LINEA DIVISORIA EN PISOS DE ESTACIONAMIENTOS VEHICULARES DE SÓTANOS CON PINTURA DE TRÁFICO, e=15CM</t>
  </si>
  <si>
    <t>03.01.08.02.03</t>
  </si>
  <si>
    <t>LINEA DIVISORIA EN MUROS DE ESTACIONAMIENTOS VEHICULARES DE SÓTANOS CON PINTURA DE TRÁFICO, e=15CM, h=1.20m</t>
  </si>
  <si>
    <t>03.01.08.02.04</t>
  </si>
  <si>
    <t>ZONA DE DISCAPACITADOS EN PISO DE ESTACIONAMIENTO VEHICULAR DE SÓTANO 01 CON PINTURA DE TRÁFICO</t>
  </si>
  <si>
    <t>03.01.08.02.05</t>
  </si>
  <si>
    <t>NUMERACIÓN EN MUROS DE ESTACIONAMIENTOS VEHICULARES DE SÓTANOS CON PINTURA EPÓXICA</t>
  </si>
  <si>
    <t>03.01.08.02.06</t>
  </si>
  <si>
    <t>NUMERACIÓN DE NIVELES EN MUROS DE SÓTANOS PINTADO</t>
  </si>
  <si>
    <t>03.01.08.02.07</t>
  </si>
  <si>
    <t>ESQUINERO, h=1.00m DE CAUCHO NATURAL NEGRO CON CINTAS EN BLANCO Y NEGRO DE 10 CM FRANJAS A 45°</t>
  </si>
  <si>
    <t>03.01.08.02.08</t>
  </si>
  <si>
    <t xml:space="preserve">                        PASE PARA MAGUERA (SÓTANO)</t>
  </si>
  <si>
    <t>03.01.08.02.09</t>
  </si>
  <si>
    <t xml:space="preserve">                        PROTECTOR DE COLUMNAS EN ESTACIONAMIENTOS</t>
  </si>
  <si>
    <t>LUMINIARIAS</t>
  </si>
  <si>
    <t>SOTANO</t>
  </si>
  <si>
    <t>Luminarias</t>
  </si>
  <si>
    <t>SALIDA PARA ALUMBRADO -L1 (RUTA DE EVACUACIÓN SOTANOS, CON SENSOR INDEPENDIENTE) HERMÉTICO LED 2X18W 4000K GRIS  147143</t>
  </si>
  <si>
    <t>pto</t>
  </si>
  <si>
    <t>SENSOR DE MOVIMIENTO PARA ALMUBRADO RUTA DE EVACUACIÓN EN SOTANOS</t>
  </si>
  <si>
    <t>SALIDA PARA ALUMBRADO -L1 (ESTACIONAMIENTOS SOTANOS, CON SENSOR INCORPORADO) HERMÉTICO LED 2X18W 4000K GRIS  147143</t>
  </si>
  <si>
    <t>SALIDA PARA ALUMBRADO -L2 (DEPOSITOS)</t>
  </si>
  <si>
    <t>SALIDA PARA ALUMBRADO -L3 (HALL SOTANOS)</t>
  </si>
  <si>
    <t xml:space="preserve">SALIDA PARA ALUMBRADO -L11 (EN PARED, RAMPA DE INGRESO) </t>
  </si>
  <si>
    <t>ESCALERAS Y VESTIBULOS</t>
  </si>
  <si>
    <t xml:space="preserve">INSTALACION DE EQUIPO LUMINARIAS EMERGENCIA  </t>
  </si>
  <si>
    <t>SALIDA PARA ALUMBRADO -L4 (VEST. PREVIO , ESCALERAS, CUARTO DE BASURA,) CON SENSOR INCORPORADO</t>
  </si>
  <si>
    <t>LOCALES COEMRCIALES</t>
  </si>
  <si>
    <t>INSTALACION DE EQUIPO LUMINARIAS LOCALES Y SUS BAÑOS</t>
  </si>
  <si>
    <t>03.02</t>
  </si>
  <si>
    <t xml:space="preserve">   ARQUITECTURA TORRE</t>
  </si>
  <si>
    <t>03.02.01</t>
  </si>
  <si>
    <t>03.02.01.01</t>
  </si>
  <si>
    <t xml:space="preserve">                 DINTELES DE DRYWALL (TORRE)</t>
  </si>
  <si>
    <t xml:space="preserve">                 DINTELES DE CONCRETO (TORRE)</t>
  </si>
  <si>
    <t>03.02.01.02</t>
  </si>
  <si>
    <t xml:space="preserve">                 MURO DE LADRILLO SILICO CALCARIO P-7 (TORRE)</t>
  </si>
  <si>
    <t>03.02.01.03</t>
  </si>
  <si>
    <t xml:space="preserve">                 MURO DE LADRILLO SILICO CALCARIO P-10 (TORRE)</t>
  </si>
  <si>
    <t>03.02.01.04</t>
  </si>
  <si>
    <t xml:space="preserve">                 MURO DE LADRILLO SILICO CALCARIO P-10 CORTAFUEGO (TORRE)</t>
  </si>
  <si>
    <t>03.02.01.05</t>
  </si>
  <si>
    <t xml:space="preserve">                 MURO DE LADRILLO SILICO CALCARIO P-12 (TORRE)</t>
  </si>
  <si>
    <t>03.02.01.06</t>
  </si>
  <si>
    <t xml:space="preserve">                 MURO DE LADRILLO SILICO CALCARIO P-12 CORTAFUEGO(TORRE)</t>
  </si>
  <si>
    <t>03.02.01.07</t>
  </si>
  <si>
    <t xml:space="preserve">                 MURO DE LADRILLO SILICO CALCARIO P-20 (TORRE)</t>
  </si>
  <si>
    <t>03.02.01.08</t>
  </si>
  <si>
    <t xml:space="preserve">                 MURO DE LADRILLO SILICO CALCARIO P-20 CORTAFUEGO(TORRE)</t>
  </si>
  <si>
    <t>03.02.01.09</t>
  </si>
  <si>
    <t xml:space="preserve">                 MURO DE LADRILLO SILICO CALCARIO P-25 (TORRE)</t>
  </si>
  <si>
    <t>03.02.01.10</t>
  </si>
  <si>
    <t xml:space="preserve">                 MURO DE LADRILLO SILICO CALCARIO P-25 CORTAFUEGO(TORRE)</t>
  </si>
  <si>
    <t>03.02.01.11</t>
  </si>
  <si>
    <t xml:space="preserve">                 MURO DE LADRILLO SILICO CALCARIO P-30 (TORRE)</t>
  </si>
  <si>
    <t>03.02.01.12</t>
  </si>
  <si>
    <t xml:space="preserve">                 MURO DE LADRILLO SILICO CALCARIO P-30 CORTAFUEGO(TORRE)</t>
  </si>
  <si>
    <t>EXTRACTORES, NICHOS, PASES DE MANGUERA</t>
  </si>
  <si>
    <t>03.02.01.13</t>
  </si>
  <si>
    <t>OBRAS DE ARTE EN FACHADAS (SÓLIDOS DE CONCRETO), h=3.30m</t>
  </si>
  <si>
    <t>03.02.01.14</t>
  </si>
  <si>
    <t>OBRAS DE ARTE EN FACHADAS (SÓLIDOS DE CONCRETO), h=5.40m</t>
  </si>
  <si>
    <t>03.02.01.15</t>
  </si>
  <si>
    <t>OBRAS DE ARTE EN FACHADAS (SÓLIDOS DE CONCRETO), h=3.55m</t>
  </si>
  <si>
    <t>03.02.01.16</t>
  </si>
  <si>
    <t>03.02.01.17</t>
  </si>
  <si>
    <t>SELLO CORTAFUEGO EN DUCTOS</t>
  </si>
  <si>
    <t>03.02.01.18</t>
  </si>
  <si>
    <t xml:space="preserve">                 MUROS DE ALBAÑILERÍA SOGA 0.23 M (TORRE)</t>
  </si>
  <si>
    <t>03.02.01.19</t>
  </si>
  <si>
    <t xml:space="preserve"> SARDINELES DE JARDINERAS H=10</t>
  </si>
  <si>
    <t>03.02.01.20</t>
  </si>
  <si>
    <t>Tarrajeo de Placas, vigas y columnas</t>
  </si>
  <si>
    <t>03.02.01.21</t>
  </si>
  <si>
    <t>SARDINEL DE CEMENTO PULIDO IMPERMEABILIZADO EN JARDINERAS DE TERRAZAS PRIVADAS DE DPTOS. 208 Y 209, h=20CM - PISO 02</t>
  </si>
  <si>
    <t>03.02.01.22</t>
  </si>
  <si>
    <t>SARDINEL h=8cm REVESTIDO CON TERRAZO ACABADO IDEM MURO EN JARDINERAS DEL LOBBY DE INGRESO Y SALA DE ESPERA - PISO 01</t>
  </si>
  <si>
    <t>SELLO CORTAFUEGO EN MUROS CON ESPUMA</t>
  </si>
  <si>
    <t>03.02.02</t>
  </si>
  <si>
    <t>03.02.02.01</t>
  </si>
  <si>
    <t>Tarrajeo de fachada</t>
  </si>
  <si>
    <t>03.02.02.01.01</t>
  </si>
  <si>
    <t xml:space="preserve">                        TARRAJEO MUROS EXTERIORES (TORRE)</t>
  </si>
  <si>
    <t>03.02.02.01.02</t>
  </si>
  <si>
    <t>TARRAJEO FACHADA EXTERIOR EN HORIZONTALES (VIGAS), H=30CM</t>
  </si>
  <si>
    <t>03.02.02.01.03</t>
  </si>
  <si>
    <t>TARRAJEO FACHADA EXTERIOR EN HORIZONTALES (ALEROS), H=30CM</t>
  </si>
  <si>
    <t>03.02.02.01.04</t>
  </si>
  <si>
    <t>TARRAJEO FACHADA INTERIOR (POZO DE LUZ)</t>
  </si>
  <si>
    <t>03.02.02.01.05</t>
  </si>
  <si>
    <t xml:space="preserve">                        TARRAJEO PLACAS Y COLUMNAS (TORRE)</t>
  </si>
  <si>
    <t>03.02.02.01.06</t>
  </si>
  <si>
    <t xml:space="preserve">                        TARRAJEO PLACAS Y MUROS EN AREAS COMUNES SIN TECHAR AZOTEA (TORRE)</t>
  </si>
  <si>
    <t>03.02.02.01.07</t>
  </si>
  <si>
    <t>TARRAJEO EN PARAPETOS DE AZOTEA</t>
  </si>
  <si>
    <t>03.02.02.01.08</t>
  </si>
  <si>
    <t xml:space="preserve">                        TARRAJEO VIGAS (TORRE)</t>
  </si>
  <si>
    <t>03.02.02.01.09</t>
  </si>
  <si>
    <t xml:space="preserve">                        LIMPIEZA Y SELLO DE JUNTAS DE CIELORRASO EN PRELOSAS</t>
  </si>
  <si>
    <t>03.02.02.01.10</t>
  </si>
  <si>
    <t xml:space="preserve">                        TARRAJEO FONDO DE ESCALERA (TORRE)</t>
  </si>
  <si>
    <t>03.02.02.01.11</t>
  </si>
  <si>
    <t xml:space="preserve">                        TARRAJEO LATERAL DE ESCALERA (TORRE)</t>
  </si>
  <si>
    <t>Tarrajeo de jardineras / piscina</t>
  </si>
  <si>
    <t>03.02.02.01.12</t>
  </si>
  <si>
    <t>TARRAJEO CON IMPERMEABILIZANTE EN JARDINERAS H=1.72M - EXTERIOR</t>
  </si>
  <si>
    <t>03.02.02.01.13</t>
  </si>
  <si>
    <t>TARRAJEO CON IMPERMEABILIZANTE EN JARDINERAS H=0.40m - TERRAZAS DE DPTOS. 208 Y 209 - PISO 02</t>
  </si>
  <si>
    <t>03.02.02.01.14</t>
  </si>
  <si>
    <t>TARRAJEO CON IMPERMEABILIZANTE EN JARDINERA H=0.80M - PATIO COMÚN - PISO 03</t>
  </si>
  <si>
    <t>03.02.02.01.15</t>
  </si>
  <si>
    <t>TARRAJEO CON IMPERMEABILIZANTE EN JARDINERAS H=0.75M - BORDE DE GIMNASIO DE AZOTEA</t>
  </si>
  <si>
    <t>03.02.02.01.16</t>
  </si>
  <si>
    <t>TARRAJEO CON IMPERMEABILIZANTE EN JARDINERAS H=0.30m - AREAS VERDES DE AZOTEA</t>
  </si>
  <si>
    <t>03.02.02.01.17</t>
  </si>
  <si>
    <t>TARRAJEO PULIDO E IMPERMEABILIZADO EN ALEROS (INFERIOR)</t>
  </si>
  <si>
    <t>03.02.02.02</t>
  </si>
  <si>
    <t>03.02.02.02.01</t>
  </si>
  <si>
    <t xml:space="preserve">                        FORJADO EN PISO PARA RIEL DE MAMPARAS (TORRE)</t>
  </si>
  <si>
    <t>03.02.02.02.02</t>
  </si>
  <si>
    <t xml:space="preserve">                        FORJADO MEDIDORES DE AGUA EN CADA NIVEL (TORRE)</t>
  </si>
  <si>
    <t>03.02.02.02.03</t>
  </si>
  <si>
    <t xml:space="preserve">                        FORJADO MEDIDORES DE GAS EN CADA NIVEL (TORRE)</t>
  </si>
  <si>
    <t>03.02.02.02.04</t>
  </si>
  <si>
    <t xml:space="preserve">                        FORJADOS DE ESCALERA DE SERVICIO - PASO Y CONTRAPASO (TORRE)</t>
  </si>
  <si>
    <t>03.02.02.02.05</t>
  </si>
  <si>
    <t xml:space="preserve">                        FORJADOS DE ESCALERA DE SERVICIO - DESCANSO (TORRE)</t>
  </si>
  <si>
    <t>03.02.02.02.06</t>
  </si>
  <si>
    <t>FORJADO EN PASOS Y CONTRAPASOS GRADAS DE LOS LOCALES COMERCIALES 01 Y 02</t>
  </si>
  <si>
    <t>03.02.02.02.07</t>
  </si>
  <si>
    <t>03.02.02.02.08</t>
  </si>
  <si>
    <t>FORJADO PARA TD Y LAVANDERIAS</t>
  </si>
  <si>
    <t>Rectificación luminarias y cajuelas</t>
  </si>
  <si>
    <t>03.02.02.02.09</t>
  </si>
  <si>
    <t xml:space="preserve">                        ACABADO DE CAJUELAS EN LADRILLO BLANCO (TORRE)</t>
  </si>
  <si>
    <t>03.02.02.02.10</t>
  </si>
  <si>
    <t>RECTIFICACION DE CENTRO DE LUZ</t>
  </si>
  <si>
    <t>03.02.02.03</t>
  </si>
  <si>
    <t>03.02.02.03.01</t>
  </si>
  <si>
    <t xml:space="preserve">                        VESTIDURA DE DERRAMES (TORRE)</t>
  </si>
  <si>
    <t>Solaqueo en torre</t>
  </si>
  <si>
    <t>03.02.02.03.02</t>
  </si>
  <si>
    <t>SOLAQUEO DE CIELORRASO EN LOCALES COMERCIALES</t>
  </si>
  <si>
    <t>03.02.02.03.03</t>
  </si>
  <si>
    <t xml:space="preserve">                        SOLAQUEO DE CIELO RASO (TORRE)</t>
  </si>
  <si>
    <t>03.02.02.03.04</t>
  </si>
  <si>
    <t>SOLAQUEO DE PLACAS Y COLUMNAS EN LOCALES COMERCIALES</t>
  </si>
  <si>
    <t>03.02.02.03.05</t>
  </si>
  <si>
    <t>SOLAQUEO DE VIGAS EN LOCALES COMERCIALES</t>
  </si>
  <si>
    <t>Solaqueo de muro ciego</t>
  </si>
  <si>
    <t>03.02.02.03.06</t>
  </si>
  <si>
    <t xml:space="preserve">                        SOLAQUEO DE MUROS CIEGOS (SOLAQUEADO + CAL NIEVE)</t>
  </si>
  <si>
    <t>03.02.02.03.07</t>
  </si>
  <si>
    <t>SOLAQUEO DE MUROS SILICO CALCAREO EN PISOS SUPERIORES</t>
  </si>
  <si>
    <t>Solaqueo de ascensor</t>
  </si>
  <si>
    <t>03.02.02.03.08</t>
  </si>
  <si>
    <t xml:space="preserve">                        LIMPIEZA Y SOLAQUEO DE CAJA DE ASCENSOR (TORRE)</t>
  </si>
  <si>
    <t>03.02.02.04</t>
  </si>
  <si>
    <t xml:space="preserve">                 DRYWALL</t>
  </si>
  <si>
    <t>03.02.02.04.01</t>
  </si>
  <si>
    <t xml:space="preserve">                        TABIQUES DE DRYWALL</t>
  </si>
  <si>
    <t>03.02.02.04.02</t>
  </si>
  <si>
    <t>03.02.02.04.03</t>
  </si>
  <si>
    <t>MANGA DE DRYWALL EN LAVANDERIAS</t>
  </si>
  <si>
    <t>03.02.02.04.04</t>
  </si>
  <si>
    <t>CERRAMIENTO CON DRYWALL A UNA CARA EN VACÍO A DOBLE ALTURA SOBRE LOCAL COMERCIAL 01</t>
  </si>
  <si>
    <t>03.02.02.04.05</t>
  </si>
  <si>
    <t>SOBREMURO CON DRYWALL A UNA CARA EN SALA DE USOS MÚLTIPLES DE AZOTEA</t>
  </si>
  <si>
    <t>03.02.02.04.06</t>
  </si>
  <si>
    <t>CERRAMIENTO CON DRYWALL A UNA CARA DUCTOS DE CORREDORES. DESDE 2DO A 15VO PISO</t>
  </si>
  <si>
    <t>03.02.02.04.07</t>
  </si>
  <si>
    <t xml:space="preserve">                        FALSO CIELO RASO CON PANELES DE DRYWALL (LOBBY)</t>
  </si>
  <si>
    <t>03.02.02.04.08</t>
  </si>
  <si>
    <t>CENEFA DE DRYWALL EMPASTADO Y PINTADO COLOR BLANCO ACABADO SATINADO EN LOBBY Y SALA DE ESPERA DEL PISO 01</t>
  </si>
  <si>
    <t>VANOS DE MONTANTES IISS</t>
  </si>
  <si>
    <t>03.02.03</t>
  </si>
  <si>
    <t>03.02.03.01</t>
  </si>
  <si>
    <t xml:space="preserve">                 PISOS CEMENTICIOS</t>
  </si>
  <si>
    <t>03.02.03.01.01</t>
  </si>
  <si>
    <t xml:space="preserve">                        CONTRAPISO DE 2" EN LOCALES COMERCIALES (TORRE)</t>
  </si>
  <si>
    <t>03.02.03.01.02</t>
  </si>
  <si>
    <t xml:space="preserve">Mortero y coloacion de mortero semiseco CONTRAPISO 2.0 cm, incluye limpieza rebabas solo en baños y pasadizos </t>
  </si>
  <si>
    <t xml:space="preserve">Mortero y coloacion de mortero semiseco CONTRAPISO 1.0 cm, incluye limpieza rebabas solo en baños y pasadizos </t>
  </si>
  <si>
    <t>ACABADO DE DRENAJE DE DUCHAS</t>
  </si>
  <si>
    <t>PEGAMENTO ADICIONAL EN PASADIZOS</t>
  </si>
  <si>
    <t>03.02.03.01.03</t>
  </si>
  <si>
    <t xml:space="preserve">                        PISO DE CEMENTO PULIDO - ESCALERA DE EVACUACIÓN (TORRE)</t>
  </si>
  <si>
    <t>03.02.03.01.04</t>
  </si>
  <si>
    <t>PISO CEMENTO BRUÑADO EN VEREDAS EXTERIORES - 1ER PISO</t>
  </si>
  <si>
    <t>03.02.03.01.05</t>
  </si>
  <si>
    <t>PISO CEMENTO PULIDO CON IMPERMEABILIZANTE EN AREAS VERDES EN EXTERIOR DE FACHADAS - 1ER PISO</t>
  </si>
  <si>
    <t>03.02.03.01.06</t>
  </si>
  <si>
    <t>IMPERMEABILIZANTE ASFÁLTICO PARA CONCRETO EN JARDINES SECOS EN LOBBY, SALA DE ESPERA Y CORREDOR - PISO 01</t>
  </si>
  <si>
    <t>03.02.03.01.07</t>
  </si>
  <si>
    <t>IMPERMEABILIZACIÓN DE PISO EN TERRAZAS PRIVADAS DE DPTOS. 208 Y 209 - 2DO PISO</t>
  </si>
  <si>
    <t>03.02.03.01.08</t>
  </si>
  <si>
    <t>IMPERMEABILIZACIÓN DE PISO EN PATIO COMUN - 3ER PISO</t>
  </si>
  <si>
    <t xml:space="preserve">                 PISOS AREAS COMUNES</t>
  </si>
  <si>
    <t>03.02.03.01.09</t>
  </si>
  <si>
    <t>PISO DE LOBBY-HALL-ESTAR _ PORCELANATO LEIRA GREIGE KERATILE. FORMATO 1.20 X 0.595 m</t>
  </si>
  <si>
    <t>03.02.03.01.10</t>
  </si>
  <si>
    <t>PISO SEMIGRES 60X60 EN VESTIDORES DE RECEPCION Y EN BAÑO DE SERVICIO - 1ER NIVEL</t>
  </si>
  <si>
    <t>03.02.03.01.11</t>
  </si>
  <si>
    <t>PISO DE BAÑO DISCAPACITADOS,  HOMBRES Y MUJERES, LOCAL 1 Y 2 _PORCELANATO STONE IVORY. FORMATO 60 x 60 cm.</t>
  </si>
  <si>
    <t>03.02.03.01.12</t>
  </si>
  <si>
    <t>PISO DE PASILLO DEL PISO 2 AL 15_PORCELANATO RAJASTHAN BEIGE ZA001 60X60</t>
  </si>
  <si>
    <t>03.02.03.01.13</t>
  </si>
  <si>
    <t>PISO CERÁMICA ACUARELLA NEGRO LISO 0.45x0.45cm EN CORREDORES COMUNES - 2DO PISO A AZOTEA</t>
  </si>
  <si>
    <t>03.02.03.01.14</t>
  </si>
  <si>
    <t>PISO DE HALL DE ASCENSOR DEL PISO 2 AL 15_PISO MOSAICO DE DISEÑO PERSONALIZADO. FORMATO 21,6 x 21,6 cm.</t>
  </si>
  <si>
    <t>03.02.03.01.15</t>
  </si>
  <si>
    <t>JUNTA DE DILATACION EN PISO DE CORREDORES COMUNES Y HALL DE ASCENSORES - 2DO PISO A AZOTEA</t>
  </si>
  <si>
    <t>03.02.03.01.16</t>
  </si>
  <si>
    <t>PISO GRES PORCELANICO continuacion del pasadizo 90X90 o 60X120 EN PATIO COMUN - 3ER PISO</t>
  </si>
  <si>
    <t xml:space="preserve">                 PISOS DEPARTAMENTOS</t>
  </si>
  <si>
    <t>Otros Formatos de Pisos</t>
  </si>
  <si>
    <t>03.02.03.01.17</t>
  </si>
  <si>
    <t>PISO SPC DE 5mm EN SALA, COMEDOR, CORREDOR, KITCHENETTE, CENTRO DE LAVADO Y DORMITORIOS DE DPTOS.</t>
  </si>
  <si>
    <t>03.02.03.01.18</t>
  </si>
  <si>
    <t>PISO DE BALCONES DEL PISO 2 AL 15_PORCELANATO ESMALTADO CEMENT STONE IVORY 60X00CM /RIVELSA</t>
  </si>
  <si>
    <t>03.02.03.01.19</t>
  </si>
  <si>
    <t>PISO DE BAÑOS DEL PISO 2 AL 15_PORCELANATO ESMALTADO ORBIT GREIGE MATE RECTIFICADO 60cm x60cm</t>
  </si>
  <si>
    <t>PISO DE TERRAZA 208 Y 209_PORCELANATO ESMALTADO CEMENT STONE IVORY 60X00CM /RIVELSA</t>
  </si>
  <si>
    <t>03.02.03.01.20</t>
  </si>
  <si>
    <t>PISO PORCELANATO EN DEPOSITO DE DPTO. 209 - 2DO PISO</t>
  </si>
  <si>
    <t>03.02.03.01.21</t>
  </si>
  <si>
    <t>PISO PORCELANATO EN BAÑO DE DEPOSITO DE DPTO. 209 - 2DO PISO</t>
  </si>
  <si>
    <t>03.02.03.01.22</t>
  </si>
  <si>
    <t>PISO PORCELANATO EN CENTRO DE LAVADO DE DPTO. 304 - 3ER PISO</t>
  </si>
  <si>
    <t>03.02.03.01.23</t>
  </si>
  <si>
    <t>CARTON CORRUGADO PARA COBERTURA DE PISO</t>
  </si>
  <si>
    <t>03.02.03.01.24</t>
  </si>
  <si>
    <t>PIEDRAS DE CANTO RODADO DECORATIVAS PARA JARDÍN SECO EN EN PATIO COMÚN - PISO 03</t>
  </si>
  <si>
    <t>03.02.03.01.25</t>
  </si>
  <si>
    <t>IMPERMEABILIZANTE ASFÁLTICO PARA CONCRETO EN JARDINES SECOS EN EN PATIO COMÚN - PISO 03</t>
  </si>
  <si>
    <t>03.02.03.02</t>
  </si>
  <si>
    <t xml:space="preserve">                 JUNTAS Y TAPAJUNTAS</t>
  </si>
  <si>
    <t>03.02.03.02.01</t>
  </si>
  <si>
    <t>TAPAJUNTA DE TRANSICIÓN EN PISO. PERFIL DE ALUMINIO COLOR NEGRO EN PUERTAS DE INGRESO A DPTOS. - DESDE PISO 02 A AZOTEA</t>
  </si>
  <si>
    <t>03.02.04</t>
  </si>
  <si>
    <t>03.02.04.01</t>
  </si>
  <si>
    <t>Enchapes en baños, lavandería y cuarto de basura</t>
  </si>
  <si>
    <t>Zocalos</t>
  </si>
  <si>
    <t>03.02.04.01.01</t>
  </si>
  <si>
    <t>ZOCALO DE BAÑO DISCAPACITADOS, HOMBRES Y MUJERES EN LOCAL 1 Y 2 _PORCELANATO STONE IVORY. FORMATO 60 x 60 cm.</t>
  </si>
  <si>
    <t>Pintura de microcemento</t>
  </si>
  <si>
    <t>03.02.04.01.02</t>
  </si>
  <si>
    <t>REVESTIMIENTO CON PIEDRA ONIX TERRA (OPCIÓN 1) / CUARZITA RUBY FUSIÓN 20MM FORMATO 2.79X1.88m (OPCIÓN 2) MURO ENTRE LOBBY Y SALA DE ESPERA</t>
  </si>
  <si>
    <t>03.02.04.01.03</t>
  </si>
  <si>
    <t>REVESTIMIENTO CON MICROCEMENTO TEXTURADO GRIS COLOR A380 INVERNO SECO EN LOBBY, SALA DE ESPERA, HALL DE ASCENSORES Y CORREDOR - PISO 01</t>
  </si>
  <si>
    <t>03.02.04.01.04</t>
  </si>
  <si>
    <t>REVESTIMIENTO CON MICROCEMENTO TEXTURADO GRIS COLOR A380 INVERNO SECO EN BAÑO DE LOBBY - PISO 01</t>
  </si>
  <si>
    <t>03.02.04.01.05</t>
  </si>
  <si>
    <t>REVESTIMIENTO CON PORCELANATO ESTRIADO QSTONE STRIP WHITE 40X120cm EN BAÑO DE LOBBY - PISO 01</t>
  </si>
  <si>
    <t>03.02.04.01.06</t>
  </si>
  <si>
    <t>REVESTIMIENTO CON MICROCEMENTO TEXTURIZADO GRIS COLOR A162 OURO BRANCO. PANTONERA: SUVINIL PREVIA MUESTRA EN PATIO COMÚN - PISO 03</t>
  </si>
  <si>
    <t>03.02.04.01.07</t>
  </si>
  <si>
    <t>REVESTIMIENTO CON MICROCEMENTO TEXTURIZADO GRIS COLOR C161 PRATA. PANTONERA: SUVINIL. PREVIA MUESTRA EN PATIO COMÚN - PISO 03</t>
  </si>
  <si>
    <t>Piedra sinterizada en  zocalo de cocinas</t>
  </si>
  <si>
    <t>03.02.04.01.08</t>
  </si>
  <si>
    <t>ZOCALO PIEDRA SINTERIZADA ENTRE MUEBLES, h=0.60m EN KITCHENETTE DE DPTOS.</t>
  </si>
  <si>
    <t>03.02.04.01.09</t>
  </si>
  <si>
    <t>ZOCALO DE BAÑOS DEL PISO 2 AL 15_GRES PORCELANICO ESMALTADO TERRAZO MATE 45X90 CM</t>
  </si>
  <si>
    <t>ZOCALO DE LAVANDERÌA DEL PISO 2 AL 15_CERAMICO BLANCOS Y COLORES RECTIFICADO CEJATEL BLANCO MATE 30 cm x 58cm BLANCO Mate. Altura h=2.10 mt</t>
  </si>
  <si>
    <t>03.02.04.02</t>
  </si>
  <si>
    <t>Contrazocalos</t>
  </si>
  <si>
    <t>03.02.04.02.01</t>
  </si>
  <si>
    <t xml:space="preserve">                        CONTRA ZÓCALO DE CEMENTO PULIDO ESCALERA DE EVACUACIÓN (TORRE)</t>
  </si>
  <si>
    <t>03.02.04.02.02</t>
  </si>
  <si>
    <t>CONTRAZOCALO TERRAZO LAVADO DE GRANO FINO COLOR IDEM MURO. ACABADO PULIDO EN LOBBY INGRESO, RECEPCION, SALA DE ESPERA, HALL DE ASCENSORES Y CORREDOR - PISO 01</t>
  </si>
  <si>
    <t>03.02.04.02.03</t>
  </si>
  <si>
    <t>CONTRAZOCALO EPS POLIESTIRENO NEGRO H:7CM MARCA SANTA LUZIA, HALL DE ASCENSORES Y CORREDOR - 2DO PISO A AZOTEA</t>
  </si>
  <si>
    <t>03.02.04.02.04</t>
  </si>
  <si>
    <t>CONTRAZOCALO PORCELANATO ESMALTADO PLANET WHITE LAPATO, h=10CM EN BAÑO DE LOBBY - PISO 01</t>
  </si>
  <si>
    <t>03.02.04.02.05</t>
  </si>
  <si>
    <t>CONTRAZOCALO CERAMICO, h=10CM EN AMBIENTE DE MEDIDORES ELECTRICOS - PISO 01</t>
  </si>
  <si>
    <t>03.02.04.02.06</t>
  </si>
  <si>
    <t>CONTRAZOCALO CERAMICO, h=10CM EN CTOS. DE BASURA - PISO 01</t>
  </si>
  <si>
    <t>03.02.04.02.07</t>
  </si>
  <si>
    <t xml:space="preserve">CONTRAZOCALO DE BAÑO HOMBRES Y MUJERES , LOCAL 1 Y 2 _PORCELANATO STONE IVORY. H: 7 cm. </t>
  </si>
  <si>
    <t>03.02.04.02.08</t>
  </si>
  <si>
    <t>CONTRAZOCALO DUROPOLIMERO S8515  e = 15mm h= 8 cm / ZELEMAR  EN SALA-COMEDOR, CORREDOR, CENTROS DE LAVADO, DORMITORIOS DE DPTOS.</t>
  </si>
  <si>
    <t>03.02.04.02.09</t>
  </si>
  <si>
    <t>CONTRAZOCALO CERAMICO, h=10CM - EN DEPOSITO Y BAÑO DE DEPOSITO DEL DPTO. 209 - PISO 02</t>
  </si>
  <si>
    <t>03.02.04.02.10</t>
  </si>
  <si>
    <t>CONTRAZOCALO TERRAZO COLOR IDEM MURO SUPERIOR, h=10CM EN PATIO COMUN - 3ER PISO</t>
  </si>
  <si>
    <t>03.02.04.02.11</t>
  </si>
  <si>
    <t xml:space="preserve">CONTRAZOCALO DE BALCON DEL PISO 2 AL 15_PORCELANATO ESMALTADO CEMENT STONE IVORY 60X00CM H=8CM </t>
  </si>
  <si>
    <t>03.02.04.02.12</t>
  </si>
  <si>
    <t>CONTRAZOCALO DE LAVANDERÌA DEL PISO 2 AL 15_CERAMICO BLANCOS Y COLORES RECTIFICADO CEJATEL BLANCO MATE 30 cm x 58cm  BLANCO Mate. Altura h=8 cm</t>
  </si>
  <si>
    <t>03.02.04.02.13</t>
  </si>
  <si>
    <t>CONTRAZOCALO DE BAÑOS DEL PISO 2 AL 15_PORCELANATO ESMALTADO ORBIT GREIGE MATE RECTIFICADO 60cm x60cm h:15cm</t>
  </si>
  <si>
    <t xml:space="preserve">CONTRAZOCALO DE TERRAZA 208 Y 209_PORCELANATO ESMALTADO CEMENT STONE IVORY 60X00CM H=8CM </t>
  </si>
  <si>
    <t>03.02.04.03</t>
  </si>
  <si>
    <t xml:space="preserve">                 COBERTURAS</t>
  </si>
  <si>
    <t>Coberturas</t>
  </si>
  <si>
    <t>03.02.04.03.01</t>
  </si>
  <si>
    <t xml:space="preserve">                        COBERTURA DE LADRILLO PASTELERO INCLUYE IMPERMEABILIZADO (TORRE)</t>
  </si>
  <si>
    <t>03.02.04.03.02</t>
  </si>
  <si>
    <t>03.02.04.04</t>
  </si>
  <si>
    <t xml:space="preserve">                 OTROS ENCHAPES</t>
  </si>
  <si>
    <t>Marmol en fachada</t>
  </si>
  <si>
    <t>Marmol, Granito, Cuarzo</t>
  </si>
  <si>
    <t>03.02.04.04.01</t>
  </si>
  <si>
    <t>SUMINISTRO DE MARMOL  EN FACHADA (LATERAL Y FONDO DE VIGA)</t>
  </si>
  <si>
    <t>SELLADOR PARA BALDOSAS Y CANTOS (PARA TODO EL MARMOL)</t>
  </si>
  <si>
    <t>SUMINISTRO DE PORCELANATO EN CARA SUPERIOR DE VIGA EN FACHADA</t>
  </si>
  <si>
    <t>03.02.04.04.02</t>
  </si>
  <si>
    <t>GRAPAS ANCLAJES</t>
  </si>
  <si>
    <t>03.02.04.04.03</t>
  </si>
  <si>
    <t>HERRAMIENTAS PARA RANURAR</t>
  </si>
  <si>
    <t>03.02.04.04.04</t>
  </si>
  <si>
    <t>INSTALACION DE MARMOL (PEGAMENTO, GRAPAS, CORTE COLA, FRAGUA, PRIMER , SELLADOR Y ASESORIA TECNICA)</t>
  </si>
  <si>
    <t>03.02.04.04.05</t>
  </si>
  <si>
    <t>ANDAMIO PARA MARMOL DE FACHADA (BIMASTIL +ANDAMIO  ELECTRICO)</t>
  </si>
  <si>
    <t>Granito en fachada 1er piso</t>
  </si>
  <si>
    <t>03.02.04.04.06</t>
  </si>
  <si>
    <t>REVESTIMIENTO GRANITO 1ER PISO</t>
  </si>
  <si>
    <t>revisar</t>
  </si>
  <si>
    <t>03.02.04.04.07</t>
  </si>
  <si>
    <t xml:space="preserve">                        REVESTIMIENTO MATERIAL ARQUITECTÓNICO ( MADERA - SINTÉTICO)</t>
  </si>
  <si>
    <t>03.02.05</t>
  </si>
  <si>
    <t xml:space="preserve">          MUEBLES Y CLOSETS</t>
  </si>
  <si>
    <t>03.02.05.01</t>
  </si>
  <si>
    <t xml:space="preserve">                 CLOSETS</t>
  </si>
  <si>
    <t>Closet</t>
  </si>
  <si>
    <t>Carpinteria de Melamina</t>
  </si>
  <si>
    <t>03.02.05.01.01</t>
  </si>
  <si>
    <t>Puertas batientes+modulo cajon+maletero+poyo+colgador.</t>
  </si>
  <si>
    <t>03.02.05.01.02</t>
  </si>
  <si>
    <t>03.02.05.01.03</t>
  </si>
  <si>
    <t>03.02.05.01.04</t>
  </si>
  <si>
    <t>03.02.05.01.05</t>
  </si>
  <si>
    <t>03.02.05.01.06</t>
  </si>
  <si>
    <t>03.02.05.01.07</t>
  </si>
  <si>
    <t>03.02.05.01.08</t>
  </si>
  <si>
    <t>Modulo cajon+maletero+poyo+colgador+zapatera.</t>
  </si>
  <si>
    <t>03.02.05.01.09</t>
  </si>
  <si>
    <t>03.02.05.01.10</t>
  </si>
  <si>
    <t>03.02.05.01.11</t>
  </si>
  <si>
    <t>03.02.05.01.12</t>
  </si>
  <si>
    <t>03.02.05.01.13</t>
  </si>
  <si>
    <t>03.02.05.02</t>
  </si>
  <si>
    <t xml:space="preserve">                 MUEBLES DE COCINA</t>
  </si>
  <si>
    <t>Cocinas</t>
  </si>
  <si>
    <t>03.02.05.02.01</t>
  </si>
  <si>
    <t>ALTO: Puertas batientes+repisas internas</t>
  </si>
  <si>
    <t>03.02.05.02.02</t>
  </si>
  <si>
    <t>BAJO: Puertas batientes+modulo de cajon+condimentero+microondas+pan</t>
  </si>
  <si>
    <t>03.02.05.02.03</t>
  </si>
  <si>
    <t>ALTO: Puertas batientes+repisas internas.</t>
  </si>
  <si>
    <t>03.02.05.02.04</t>
  </si>
  <si>
    <t>BAJO: Puertas batientes+modulo de cajon+condimentero+microondas+pane4l</t>
  </si>
  <si>
    <t>03.02.05.02.05</t>
  </si>
  <si>
    <t>ALTO: Puertas batientes+repisas internas. 4.03</t>
  </si>
  <si>
    <t>03.02.05.02.06</t>
  </si>
  <si>
    <t>03.02.05.02.07</t>
  </si>
  <si>
    <t>03.02.05.02.08</t>
  </si>
  <si>
    <t>03.02.05.02.09</t>
  </si>
  <si>
    <t>03.02.05.02.10</t>
  </si>
  <si>
    <t>03.02.05.02.11</t>
  </si>
  <si>
    <t>03.02.05.02.12</t>
  </si>
  <si>
    <t>BAJO: Puertas batientes+modulo de cajon+condimentero+microondas+pane7l</t>
  </si>
  <si>
    <t>03.02.05.02.13</t>
  </si>
  <si>
    <t>03.02.05.02.14</t>
  </si>
  <si>
    <t>BAJO: Puertas batientes+modulo de cajon+condimentero+microondas+pane</t>
  </si>
  <si>
    <t>03.02.05.02.15</t>
  </si>
  <si>
    <t>03.02.05.02.16</t>
  </si>
  <si>
    <t>03.02.05.03</t>
  </si>
  <si>
    <t xml:space="preserve">                 MUEBLES DE BAÑO</t>
  </si>
  <si>
    <t>Baños</t>
  </si>
  <si>
    <t>03.02.05.03.01</t>
  </si>
  <si>
    <t>Puertas Batientes</t>
  </si>
  <si>
    <t>03.02.05.03.02</t>
  </si>
  <si>
    <t>Puertas Batientes+corredizas</t>
  </si>
  <si>
    <t>03.02.05.03.03</t>
  </si>
  <si>
    <t>03.02.05.03.04</t>
  </si>
  <si>
    <t>Puertas Batiendes+cajones+corrediza</t>
  </si>
  <si>
    <t>03.02.05.03.05</t>
  </si>
  <si>
    <t>PUERTAS DE DUCTOS EN PASILLOS</t>
  </si>
  <si>
    <t>Lavandería</t>
  </si>
  <si>
    <t>03.02.07.01.09</t>
  </si>
  <si>
    <t>PUERTA CON REJILLA PARA VENTILACIÓN - CLOSETS EN AREA COMUN DE SOTANO Y DE 1ER PISO</t>
  </si>
  <si>
    <t>PUERTAS DE LAVANDERIA</t>
  </si>
  <si>
    <t>Montantes</t>
  </si>
  <si>
    <t>PUERTA DE MADERA BATIENTE, CONTRAPLACADA EN MDF CON REJILLA SUPERIOR E INFERIOR. CENTROS DE LAVADO DPTOS. - DESDE 2DO A 15VO PISO</t>
  </si>
  <si>
    <t>03.02.06</t>
  </si>
  <si>
    <t xml:space="preserve">          TABLEROS DE CUARZO Y MÁRMOL</t>
  </si>
  <si>
    <t>03.02.06.01</t>
  </si>
  <si>
    <t xml:space="preserve">                 TABLEROS DE CUARZO - COCINAS</t>
  </si>
  <si>
    <t>Piedra sinterizada en cocinas</t>
  </si>
  <si>
    <t>03.02.06.01.01</t>
  </si>
  <si>
    <t>TABLERO DE PIEDRA SINTERIZADA NEOLITH RETROSTONE e=12mm EN KITCHENETTE DE DPTOS. Tablero Isla Pata</t>
  </si>
  <si>
    <t>03.02.06.01.02</t>
  </si>
  <si>
    <t>TABLERO DE PIEDRA SINTERIZADA NEOLITH RETROSTONE e=12mm EN KITCHENETTE DE DPTOS. Tablero Pata</t>
  </si>
  <si>
    <t>03.02.06.02</t>
  </si>
  <si>
    <t xml:space="preserve">                 TABLEROS DE MÁRMOL - BAÑOS</t>
  </si>
  <si>
    <t>Cuarzo en baños</t>
  </si>
  <si>
    <t>03.02.06.02.01</t>
  </si>
  <si>
    <t>REVESTIMIENTO DE TABLERO + ZÓCALO DE PIEDRA SINTERIZADA SERIE RIFT COLOR BLANCO NATURAL. MARCA INALCO. PROVEEDOR: MEGLIO. FRAGUA WEBER COLOR PLUS PERLA. E 3MM. PROVEEDOR: DECORCENTER EN BAÑO DE LOBBY - PISO 01</t>
  </si>
  <si>
    <t>03.02.06.02.02</t>
  </si>
  <si>
    <t>TABLERO DE CUARZO BLANCO POLAR e=15mm EN BAÑOS DE DPTOS.</t>
  </si>
  <si>
    <t>03.02.07</t>
  </si>
  <si>
    <t>03.02.07.01</t>
  </si>
  <si>
    <t>Puertas de departamento</t>
  </si>
  <si>
    <t>03.02.07.01.01</t>
  </si>
  <si>
    <t>P9 (0.90x2.10m) PUERTA DE MADERA BATIENTE, CONTRAPLACADA Y RUTEADA EN MDF. INGRESO PRINCIPAL A DPTOS. - DESDE 2DO A 15VO PISO</t>
  </si>
  <si>
    <t>03.02.07.01.02</t>
  </si>
  <si>
    <t>P10 (0.70x2.10m) PUERTA DE MADERA BATIENTE, CONTRAPLACADA EN MDF. BAÑOS DE DPTOS. - DESDE 2DO A 15VO PISO</t>
  </si>
  <si>
    <t>03.02.07.01.03</t>
  </si>
  <si>
    <t>P10' (0.90x2.10m) PUERTA DE MADERA BATIENTE, CONTRAPLACADA EN MDF. BAÑOS, CTRO. DE LAVADO DE DPTOS. - DESDE 2DO A 15VO PISO</t>
  </si>
  <si>
    <t>03.02.07.01.04</t>
  </si>
  <si>
    <t>P11 (0.90x2.10m) PUERTA DE MADERA BATIENTE, CONTRAPLACADA EN MDF. ESTUDIOS, DORMITORIOS DE DPTOS. - DESDE 2DO A 15VO PISO</t>
  </si>
  <si>
    <t>03.02.07.01.05</t>
  </si>
  <si>
    <t>PUERTAS MDF DE DUCTOS</t>
  </si>
  <si>
    <t>03.02.07.01.06</t>
  </si>
  <si>
    <t>P-7 (0.80x2.10m) PUERTA DE MADERA BATIENTE DE UNA HOJA, CONTRAPLACADA EN MDF CON REJILLA INFERIOR. BAÑOS EN LOCALES COMERCIALES 01 Y 02</t>
  </si>
  <si>
    <t>03.02.07.01.07</t>
  </si>
  <si>
    <t>P-7' (0.90x2.10m) PUERTA DE MADERA BATIENTE DE UNA HOJA, CONTRAPLACADA EN MDF CON REJILLA INFERIOR. BAÑOS DISCAPACITADOS EN LOCALES COMERCIALES 01 Y 02</t>
  </si>
  <si>
    <t>03.02.07.01.08</t>
  </si>
  <si>
    <t>P8 (1.00x2.10m) PUERTA DE MADERA BATIENTE DE UNA HOJA, CONTRAPLACADA EN MDF CON REJILLA INFERIOR. BAÑO DETRÁS DE DUCTO DE ASCENSORES - PISO 01</t>
  </si>
  <si>
    <t>03.02.08</t>
  </si>
  <si>
    <t xml:space="preserve">          PUERTA MECÁNICA Y EQUIPOS AUXILIARES</t>
  </si>
  <si>
    <t>Ventilación mecanica - torre</t>
  </si>
  <si>
    <t>Instalaciones Electromecanicas</t>
  </si>
  <si>
    <t>03.02.08.01</t>
  </si>
  <si>
    <t xml:space="preserve">                 (P10') - SECCIONABLE INC. ACABADO Y SISTEMA DE 6 X 2.20 MTS. (TORRE)</t>
  </si>
  <si>
    <t>03.02.08.02</t>
  </si>
  <si>
    <t xml:space="preserve">                 CONTROL REMOTO</t>
  </si>
  <si>
    <t>03.02.09</t>
  </si>
  <si>
    <t xml:space="preserve">          CERRAJERÍA</t>
  </si>
  <si>
    <t>03.02.09.01</t>
  </si>
  <si>
    <t xml:space="preserve">                 BISAGRAS</t>
  </si>
  <si>
    <t>03.02.09.01.01</t>
  </si>
  <si>
    <t xml:space="preserve">                        BISAGRAS HAGER DE 3 1/2" X3 1/2" TIPO CAPUCHINA DE ACERO INOXIDABLE MODELO RC7741 Ó SIMILAR (TORRE)</t>
  </si>
  <si>
    <t>03.02.09.01.02</t>
  </si>
  <si>
    <t xml:space="preserve">                        BISAGRAS ZINCADAS DE 3.5"X 3.5" - PUERTAS PRNCIPAL </t>
  </si>
  <si>
    <t>03.02.09.02</t>
  </si>
  <si>
    <t>03.02.09.02.01</t>
  </si>
  <si>
    <t xml:space="preserve">                        CERRADURA PRINCIPAL - P1 (TORRE)</t>
  </si>
  <si>
    <t>03.02.09.02.02</t>
  </si>
  <si>
    <t xml:space="preserve">                        CERRADURA INTERIORES (TORRE)</t>
  </si>
  <si>
    <t>03.02.09.02.03</t>
  </si>
  <si>
    <t xml:space="preserve">                        TOPE PUERTA DE ACERO INOXIDABLE (TORRE)</t>
  </si>
  <si>
    <t>03.02.10</t>
  </si>
  <si>
    <t>03.02.10.01</t>
  </si>
  <si>
    <t>03.02.10.01.01</t>
  </si>
  <si>
    <t>03.02.10.01.02</t>
  </si>
  <si>
    <t xml:space="preserve">                        PCF - 02 PUERTA CORTAFUEGO RF 90 DE 1.00 X 2.10 - APERTURA DERECHA - INCLUYE BARRA ANTIPÁNICO Y CIERRAPUERTAS</t>
  </si>
  <si>
    <t>03.02.10.02</t>
  </si>
  <si>
    <t xml:space="preserve">                 BARANDAS Y PASAMANOS</t>
  </si>
  <si>
    <t>03.02.10.02.01</t>
  </si>
  <si>
    <t>BARANDA METALICA, h=90cm EN ESCALERA DE EVACUACION 01</t>
  </si>
  <si>
    <t>otros (moldura vertical inox, celosia perimetrica)</t>
  </si>
  <si>
    <t>03.02.10.02.02</t>
  </si>
  <si>
    <t>PASAMANO METALICO EN GRADAS DE LOCAL COMERCIAL 02 - PISO 01</t>
  </si>
  <si>
    <t>03.02.10.02.03</t>
  </si>
  <si>
    <t>PASAMANO METALICO, h=90cm EN ESCALERA DE EVACUACION 01</t>
  </si>
  <si>
    <t>Barandas de departamentos</t>
  </si>
  <si>
    <t>03.02.10.02.04</t>
  </si>
  <si>
    <t>BARANDA DE ACERO h=1.10m EN BALCONES DE DPTOS. DESDE 2DO A 13VO PISO</t>
  </si>
  <si>
    <t>03.02.10.03</t>
  </si>
  <si>
    <t>03.02.10.03.01</t>
  </si>
  <si>
    <t xml:space="preserve">                        ESCALERA DE GATO EN AZOTEA H= 2.50M (TORRE)</t>
  </si>
  <si>
    <t>03.02.10.03.02</t>
  </si>
  <si>
    <t>REJILLA METÁLICA DE DUCTO DE VENTILACIÓN h: 0.40m - AZOTEA</t>
  </si>
  <si>
    <t>03.02.10.03.03</t>
  </si>
  <si>
    <t xml:space="preserve">                        ESTRUCTURA DE BASE DE CELOSÍA - TORRE</t>
  </si>
  <si>
    <t>03.02.10.03.04</t>
  </si>
  <si>
    <t xml:space="preserve">                        CELOSÍAS PERIMÉTRICAS DE ALUMINIO (TORRE)</t>
  </si>
  <si>
    <t>Soporte de baños</t>
  </si>
  <si>
    <t>03.02.10.03.05</t>
  </si>
  <si>
    <t>SOPORTE PARA MESA DE BAÑO</t>
  </si>
  <si>
    <t>03.02.10.03.06</t>
  </si>
  <si>
    <t>CELOSÍA DE ALUMINIO 1.80 x 1.20m EN PATIO DE COMÚN - PISO 03</t>
  </si>
  <si>
    <t>03.02.10.03.07</t>
  </si>
  <si>
    <t>MOLDURA VERTICAL DE ACERO INOXIDABLE PINTADO COLOR C161 PRATA. PANTONERA: SUVINIL 0.02x0.015m, h=2.03m EN PATIO COMÚN - PISO 03</t>
  </si>
  <si>
    <t>03.02.10.03.08</t>
  </si>
  <si>
    <t>MOLDURA VERTICAL DE ACERO INOXIDABLE PINTADO COLOR P750 CIENZA FECHADO.
PANTONERA: SUVINIL 0.02x0.015m, h=2.03m EN CORREDOR COMÚN - DESDE PISO 02 A PISO 15</t>
  </si>
  <si>
    <t>03.02.10.03.09</t>
  </si>
  <si>
    <t>BARRA DE SEGURIDAD TREBOL 80CM. ACABADO CROMADO. COD: 99804 PARA BAÑOS DE DISCAPACITADOS</t>
  </si>
  <si>
    <t>03.02.10.03.10</t>
  </si>
  <si>
    <t>BARRA DE SEGURIDAD TREBOL 90CM. ACABADO CROMADO. COD: 99804 PARA BAÑOS DE DISCAPACITADOS</t>
  </si>
  <si>
    <t>03.02.10.03.11</t>
  </si>
  <si>
    <t>BARRA DE SEGURIDAD VERTICAL PARA DISCAPACITADOS. ACABADO CROMADO. TREBOL PARA BAÑOS DE DISCAPACITADOS, L=90CM</t>
  </si>
  <si>
    <t>03.02.11</t>
  </si>
  <si>
    <t xml:space="preserve">          VIDRIOS - CARPINTERÍA DE ALUMINIO Y SIMILARES</t>
  </si>
  <si>
    <t>03.02.11.01</t>
  </si>
  <si>
    <t>PRIMER PISO - LOCALES COMERCIALES</t>
  </si>
  <si>
    <t>Primer piso</t>
  </si>
  <si>
    <t>Vidrios y Cristales</t>
  </si>
  <si>
    <t>03.02.11.01.01</t>
  </si>
  <si>
    <t>M02-M02':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2830 
 Superficie : 15,42 M2</t>
  </si>
  <si>
    <t>03.02.11.01.02</t>
  </si>
  <si>
    <t>M03: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7900 x 2830 
 Superficie : 22,36 M2</t>
  </si>
  <si>
    <t>03.02.11.01.03</t>
  </si>
  <si>
    <t>M04: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5810 x 2910 
 Superficie : 16,91 M2</t>
  </si>
  <si>
    <t>03.02.11.01.04</t>
  </si>
  <si>
    <t>M05: LOCAL COMERCIAL 1. Puerta doble batiente más sobreluz fijo,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Horizontal central mediante perfil 
AF52M125.
 - Atenuación acústica máxima (Ctr): 30 
dB (*)
 - (*) Ver consideraciones acústicas en 
observaciones generales de la 
cotización.
Medida: 2280 x 3000 
 Superficie : 6,84 M2</t>
  </si>
  <si>
    <t>03.02.11.01.05</t>
  </si>
  <si>
    <t>M06: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5360 x 2930 
 Superficie : 15,70 M2</t>
  </si>
  <si>
    <t>03.02.11.01.06</t>
  </si>
  <si>
    <t>M07: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4110 x 2900 
 Superficie : 11,91 M2</t>
  </si>
  <si>
    <t>03.02.11.01.07</t>
  </si>
  <si>
    <t>M08: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2720 x 2830 
 Superficie : 7,70 M2</t>
  </si>
  <si>
    <t>03.02.11.01.08</t>
  </si>
  <si>
    <t>M09: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t>
  </si>
  <si>
    <t>03.02.11.01.09</t>
  </si>
  <si>
    <t>M13: LOCAL COMERCIAL 2.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5680 x 2630 
 Superficie : 14,92 M2</t>
  </si>
  <si>
    <t>03.02.11.01.10</t>
  </si>
  <si>
    <t>M14-M14': LOCAL COMERCIAL 2.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2630 
 Superficie : 14,30 M2</t>
  </si>
  <si>
    <t>03.02.11.01.11</t>
  </si>
  <si>
    <t>R01: LOBBY.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400 x 370 
 Superficie : 0,15 M2</t>
  </si>
  <si>
    <t>03.02.11.01.12</t>
  </si>
  <si>
    <t>R02: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350 x 370 
 Superficie : 0,13 M2</t>
  </si>
  <si>
    <t>03.02.11.01.13</t>
  </si>
  <si>
    <t>R03: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710 x 1700 
 Superficie : 1,21 M2</t>
  </si>
  <si>
    <t>03.02.11.01.14</t>
  </si>
  <si>
    <t>R04: CUARTO DE BASURA.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230 
 Superficie : 0,05 M2</t>
  </si>
  <si>
    <t>Torre</t>
  </si>
  <si>
    <t>03.02.11.01.15</t>
  </si>
  <si>
    <t>PROTECCION DE VENTANAS Y MAMPARAS</t>
  </si>
  <si>
    <t>03.02.11.01.16</t>
  </si>
  <si>
    <t>TRASLADO VERTICALES</t>
  </si>
  <si>
    <t>03.02.11.02</t>
  </si>
  <si>
    <t>MAMPARAS  Y VENTANAS EN TORRE</t>
  </si>
  <si>
    <t>03.02.11.02.01</t>
  </si>
  <si>
    <t>VENTANAS</t>
  </si>
  <si>
    <t>03.02.11.02.02</t>
  </si>
  <si>
    <t>V1: INGRESO VEHICULAR. Ventana corredera de 4 hojas sobre marco de 2 
carriles (C-C-C-C); con vidrio laminado 
primario incoloro Fullglass estándar 8.38 
mm, de la serie CF 22 en lacado con 
pintura electrostática en ral std. 9011 
color negro acabado mate, compuesto 
por:
 - Marco perimetral de 35 mm de 
profundidad.
 - Hoja central derecha activa.
 - Maniobra mediante cierre corredera 
corto A0003732 (solo al interior) en color 
negro, embutido en hoja activa y en 
hoja pasiva.
 - Uñero tirador embutido A0003738 color 
negro en hoja central izquierda (al 
interior).
 - Atenuación acústica máxima (Ctr): 28 
dB (*)
 - (*) Ver consideraciones acústicas en 
observaciones generales de la 
Cotización.
Medida: 6030 x 1130 
 Superficie : 6,81 M2</t>
  </si>
  <si>
    <t>03.02.11.02.03</t>
  </si>
  <si>
    <t>V2: DORM. 1 (DUCTO). Ventana corredera de 2 hojas sobre marco de 2 
carriles (C-C);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28 
dB (*)
 - (*) Ver consideraciones acústicas en 
observaciones generales de la 
Cotización.
Medida: 1350 x 1000 
 Superficie : 1,35 M2</t>
  </si>
  <si>
    <t>03.02.11.02.04</t>
  </si>
  <si>
    <t>V3: DEPÓSITO (DUCTO). Ventana corredera de 2 hojas sobre marco de 2 
carriles (C-C); con vidrio laminado 
primario incoloro Fullglass estándar 6.38 
mm + lámina arenada,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27 
dB (*)
 - (*) Ver consideraciones acústicas en 
observaciones generales de la 
Cotización.
Medida: 1160 x 1000 
 Superficie : 1,16 M2</t>
  </si>
  <si>
    <t>V4: BAÑO DORM. 2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A0003108 (solo al interior) en 
color negro con sistema de cierre 
mediante mecanismo de conexión y 
pletina de transmisión de PVC a 
compases interiores en inox. y puntos de 
cierre.
 - Atenuación acústica máxima (Ctr): 29 
dB (*) 
 - (*) Ver consideraciones acústicas en 
observaciones generales de la 
cotización.
Medida: 800 x 1000 
 Superficie : 0,80 M2</t>
  </si>
  <si>
    <t xml:space="preserve">V5: BAÑO DORM. 1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t>
  </si>
  <si>
    <t>V6: BAÑO DORM. 2.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color negro.
 - Atenuación acústica máxima (Ctr): 29 
dB (*) 
 - (*) Ver consideraciones acústicas en 
observaciones generales de la 
cotización.
Medida: 380 x 350 
 Superficie : 0,13 M2</t>
  </si>
  <si>
    <t>MAMPARAS TORRE</t>
  </si>
  <si>
    <t>M01: ZONA DE MASCOTAS. Puerta batiente con vidrio laminado primario 
incoloro Fullglass estándar 8.38 mm, con 
rejilla inferior y superior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</si>
  <si>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PRIMER PISO</t>
  </si>
  <si>
    <t>M11: LOBBY INGRESO.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bisagra hidráulica 
de dos cuerpos REKLO color negro. 
 - Cerradura de 3P ECO Golpe+llave 
K3535 con manubrio simple SIRIUS 
A0003134 color negro.
 - Cerrojo eléctrico y juego de 
contactores.
 - Tirador de acero inox A0003590 
(interior y exterior).
 - Verticales centrales mediante perfil 
AF52M125.
 - Atenuación acústica máxima (Ctr): 30 
dB (*)
 - (*) Ver consideraciones acústicas en 
observaciones generales de la 
cotización. 
Medida: 4030 x 2630 
 Superficie : 10,59 M2</t>
  </si>
  <si>
    <t>M12: LOBBY INGRESO.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5480 x 2630 
 Superficie : 14,40 M2</t>
  </si>
  <si>
    <t>DEPARTAMENTOS</t>
  </si>
  <si>
    <t>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30 
dB (*) 
 - (*) Ver consideraciones acústicas en 
observaciones generales de la 
cotización.
Medida: 950 x 2100 
 Superficie : 2,00 M2</t>
  </si>
  <si>
    <t>M16: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2470 x 2400 
 Superficie : 5,93 M2</t>
  </si>
  <si>
    <t>MA-M16: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</si>
  <si>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2100 
 Superficie : 5,75 M2</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</si>
  <si>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2100 
 Superficie : 4,73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</si>
  <si>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1780 x 2100 
 Superficie : 3,74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</si>
  <si>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2100 
 Superficie : 3,65 M2</t>
  </si>
  <si>
    <t>M19: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2620 x 2400 
 Superficie : 6,29 M2</t>
  </si>
  <si>
    <t>MA-M19: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</si>
  <si>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2100 
 Superficie : 3,86 M2</t>
  </si>
  <si>
    <t>M21: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3110 x 2400 
 Superficie : 7,46 M2</t>
  </si>
  <si>
    <t>MA-M21: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</si>
  <si>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2800 x 2100 
 Superficie : 5,88 M2</t>
  </si>
  <si>
    <t>M23':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2320 x 2100 
 Superficie : 4,87 M2</t>
  </si>
  <si>
    <t>M24': SALA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Tubular vertical de 80x20 mm para 
encuentro con mallorquina.
 - Atenuación acústica máxima (Ctr): dB 
(*)
 - (*) Ver consideraciones acústicas en 
observaciones generales de la 
cotización.
Medida: 2220 x 2100 
 Superficie : 4,66 M2</t>
  </si>
  <si>
    <t xml:space="preserve">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 </t>
  </si>
  <si>
    <t>M25':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1620 x 2100 
 Superficie : 3,40 M2</t>
  </si>
  <si>
    <t>M23: DORM. 1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2320 x 2100 
 Superficie : 4,87 M2</t>
  </si>
  <si>
    <t>M24: SALA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Tubular vertical de 80x40 mm para 
encuentro con mallorquina.
 - Atenuación acústica máxima (Ctr): dB 
(*)
 - (*) Ver consideraciones acústicas en 
observaciones generales de la 
Cotización.
Medida: 2220 x 2100 
 Superficie : 4,66 M2</t>
  </si>
  <si>
    <t>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t>
  </si>
  <si>
    <t>M25: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1620 x 2100 
 Superficie : 3,40 M2</t>
  </si>
  <si>
    <t>M26: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Atenuación acústica máxima (Ctr): 28  dB (*)
 - (*) Ver consideraciones acústicas en 
observaciones generales de la 
cotización.
Medida: 1550 x 2100 
 Superficie : 3,26 M2</t>
  </si>
  <si>
    <t>M32: DORM. 1. Ventana corredera de 3 hojas sobre marco de 2 carriles (C-C-C) 
más alféizar fijo; con vidrio laminado 
primario incoloro Fullglass estándar 8.38 
mm, de la serie CF 22 en lacado con 
pintura electrostática en ral std. 9011 
color negro acabado mate, compuesto 
por:
 - Marco perimetral de 35 mm de 
profundidad.
 - Hoja central activa.
 - Maniobra mediante cierre corredera 
corto A0003732 (solo al interior) en color 
negro, embutido en hoja activa y en 
hoja pasiva.
 - Tubular horizontal de 120x40 mm entre 
corredera y alféizar.
 - Atenuación acústica máxima (Ctr): 28 
dB (*)
 - (*) Ver consideraciones acústicas en 
observaciones generales de la 
Cotización.
Medida: 3430 x 2100 
 Superficie : 7,20 M2</t>
  </si>
  <si>
    <t>M33: COMEDOR. Estructura fija con ventanas oscilo-batientes más alféizar 
fijo, con vidrio laminado primario incoloro 
Fullglass estándar 8.38 mm y vidrio curvo,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29 
dB (*)
 - (*) Ver consideraciones acústicas en 
observaciones generales de la 
cotización.
Medida: 8370 x 2100 
 Superficie : 17,60 M2</t>
  </si>
  <si>
    <t xml:space="preserve">M34: SALA.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pasiva.observaciones generales de la 
Cotización.
Medida: 2360 x 2100 
 Superficie : 4,96 M2
 - Tubular horizontal de 80x40 mm entre 
corredera y alféizar.
 - Tubular vertical de 80x40 mm para 
encuentro con mallorquina.
 - Atenuación acústica máxima (Ctr): dB 
(*)
 - (*) Ver consideraciones acústicas en </t>
  </si>
  <si>
    <t>M35+M36: SALA. Balconera corredera de 3 hojas sobre marco de 3 carriles unida 
en kiss con balconera corredera de 2 
hojas sobre marco de 3 carriles 
(C-C-C/C-C),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Tubular vertical de 120x40 mm para 
encuentro con mallorquina.
 - Atenuación acústica máxima (Ctr): dB 
(*)
 - (*) Ver consideraciones acústicas en 
observaciones generales de la 
cotización.
Medida: 5020 x 2400 Superficie : 12,05 M2</t>
  </si>
  <si>
    <t>MA-M35: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240 x 2100 
 Superficie : 0,50 M2</t>
  </si>
  <si>
    <t xml:space="preserve"> 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</si>
  <si>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1500 
  Superficie : 4,11 M</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</si>
  <si>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1500 
  Superficie : 3,38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</si>
  <si>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</si>
  <si>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1500 
  Superficie : 2,61 M</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</si>
  <si>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1500 
  Superficie : 2,76 M2</t>
  </si>
  <si>
    <t xml:space="preserve">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t>
  </si>
  <si>
    <t>VESTIDORES</t>
  </si>
  <si>
    <t>MAMPARA FIJA DE DUCHA h=2.10m. VIDRIO TEMPLADO e:6mm. CARPINTERÍA DE ALUMINIO COLOR NEGRO - VESTIDORES SÓTANO 01</t>
  </si>
  <si>
    <t>SUM COWORKING</t>
  </si>
  <si>
    <t>M30: SALA DE USOS MÚLTIPLES. Puerta batiente,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Atenuación acústica máxima (Ctr): 30 
dB (*)
 - (*) Ver consideraciones acústicas en 
observaciones generales de la 
cotización.
Medida: 1000 x 2450 
 Superficie : 2,45 M2</t>
  </si>
  <si>
    <t>M31: SALA DE JUEGOS. Balconera corredera de 6 hojas sobre marco de 3 
carriles (C-C-C-C-C-C),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sirius A0003237 (solo al interior) 
color negro en hoja activa y multipunto 
más cremona acodada sirius 
A0003238/A0003239 (solo al interior) color 
negro en hoja pasiva.
 - Uñero tirador embutido A0003760 color 
negro en hoja activa (al exterior).
 - Tope final de carrera A0003730 color 
negro, puesta en hoja para evitar 
impacto de cremona con hoja en 
maniobra.
 - Refuerzo de tirador RT01, vertical en 
traslapes de hoja (al interior y exterior).
 - Atenuación acústica máxima (Ctr): 31 dB (*)
 - (*) Ver consideraciones acústicas en 
observaciones generales de la 
cotización.
Medida: 8450 x 2750 
 Superficie : 23,24 M2</t>
  </si>
  <si>
    <t>V9: SUM. Ventana corredera de 3 hojas sobre marco de 3 carriles (C-C-C) más 
alféizar fijo, con vidrio laminado primario 
incoloro Fullglass estándar 8.38 mm de la 
serie CF 26 PER en lacado con pintura 
electrostática en ral std. 9011 color negro 
acabado mate, compuesto por:
 - Marco perimetral de 99 mm de 
profundidad.
 - Hoja derecha activa.
 - Cierre mediante multipunto más 
cremona sirius A0003237 (solo al interior) 
color negro en hoja activa y multipunto 
más manilla embutida zira A0003751 (solo 
al interior) color negro en hoja pasiva.
 - Horizontal central mediante perfil 
AF52M125 + refuerzo.
 - Atenuación acústica máxima (Ctr): 28 
dB (*)
 - (*) Ver consideraciones acústicas en 
observaciones generales de la 
cotización.
Medida: 4000 x 2750 
 Superficie : 11,01 M2</t>
  </si>
  <si>
    <t>ESPEJO INCOLORO 8MM CON LAMINA DE SEGURIDAD 3M, BISEL MÍNIMO ADOSADO A MURO EN SALA DE USOS MÚLTIPLES - AZOTEA</t>
  </si>
  <si>
    <t>PERFIL "L" ALUMINIO COLOR NEGRO 1/2 x 1/2" COMO ESQUINERO EN MURO CON ESPEJO EN SALA DE USOS MÚLTIPLES - AZOTEA</t>
  </si>
  <si>
    <t>TAPAJUNTA DE TRANSICIÓN EN PISO. PERFIL DE ALUMINIO COLOR NEGRO EN PUERTA DE INGRESO A SALA DE USOS MÚLTIPLES - AZOTEA</t>
  </si>
  <si>
    <t>GIMNASIO</t>
  </si>
  <si>
    <t>M28: GYM - ÁREA COMÚN.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AF52M085 + ala postiza y junquillo.
 - Atenuación acústica máxima (Ctr): 30 
dB (*) 
 - (*) Ver consideraciones acústicas en 
observaciones generales de la 
cotización.
Medida: 2400 x 2750 
 Superficie : 6,60 M2</t>
  </si>
  <si>
    <t>M29: GYM - ÁREA COMÚN. Puerta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3P ECO Golpe+llave 
K3535 + juego de manillas sirius A0003134 
(interior y exterior) en color negro.
 - Verticales centrales mediante perfil 
AF52M085.
 - Atenuación acústica máxima (Ctr): 30 
dB (*)
 - (*) Ver consideraciones acústicas en 
observaciones generales de la 
cotización.
Medida: 5180 x 2750 
 Superficie : 14,25 M2</t>
  </si>
  <si>
    <t>V7: GYM (ÁREA COMÚN).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acodada sirius 
A0003238/A0003239 (solo al interior) color 
negro en hoja pasiva.
 - Uñero tirador embutido A0003760 color 
negro en hoja central izquierda (al 
interior).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5470 x 2350 
 Superficie : 12,85 M2</t>
  </si>
  <si>
    <t>V8: GYM (ÁREA COMÚN).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acodada sirius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2450 x 2350 
 Superficie : 5,76 M2
A0003238/A0003239 (solo al interior) color</t>
  </si>
  <si>
    <t>ZONA DE PARRILLAS</t>
  </si>
  <si>
    <t>CELOSIA DE MDF CON MARCO DE ALUMINIO CADA PIEZA DE 30x30cm, ARMADOS EN MÓDULOS DE 2.70x2.70m ANCLADOS AL PISO Y EN EL TECHO CON RIEL DE Fe PINTADO  COLOR NEGRO MATE ADOSADO EN LISTONES CON GANCHOS SOLDADOS EN RIEL 2 POR MÓDULO EN ZONA DE PARRILLAS DE LA AZOTEA</t>
  </si>
  <si>
    <t>03.02.11.03</t>
  </si>
  <si>
    <t>AZOTEA</t>
  </si>
  <si>
    <t>Azotea</t>
  </si>
  <si>
    <t>03.02.11.03.01</t>
  </si>
  <si>
    <t>VIDRIO TEMPLADO FIJO EN PERIMETRO DE AZOTEA, ALT.3.10M</t>
  </si>
  <si>
    <t>03.02.11.03.02</t>
  </si>
  <si>
    <t>VIDRIO TEMPLADO FIJO EN PERIMETRO DE AZOTEA, ALT.1.05M</t>
  </si>
  <si>
    <t>03.02.11.03.03</t>
  </si>
  <si>
    <t>VIDRIO TEMPLADO FIJO EN PERIMETRO DE AZOTEA, ALT.0.65M</t>
  </si>
  <si>
    <t>VIDRIO EN PARAPETO DE AZOTEA H:2.90 m</t>
  </si>
  <si>
    <t>03.02.11.03.04</t>
  </si>
  <si>
    <t>ESTRUCTURA METALICA PARA VIDRIO DE AZOTEA</t>
  </si>
  <si>
    <t>M</t>
  </si>
  <si>
    <t>03.02.12</t>
  </si>
  <si>
    <t xml:space="preserve">          APARATOS SANITARIOS, GRIFERÍAS Y ACCESORIOS</t>
  </si>
  <si>
    <t>03.02.12.01</t>
  </si>
  <si>
    <t xml:space="preserve">                 APARATOS SANITARIOS</t>
  </si>
  <si>
    <t>Aparatos Sanitarios y Accesorios</t>
  </si>
  <si>
    <t>03.02.12.01.01</t>
  </si>
  <si>
    <t>INODORO PARA BAÑOS DE LOCALES COMERCIALES</t>
  </si>
  <si>
    <t>03.02.12.01.02</t>
  </si>
  <si>
    <t>LAVATORIO PARA BAÑOS DE LOCALES COMERCIALES</t>
  </si>
  <si>
    <t>03.02.12.01.03</t>
  </si>
  <si>
    <t>URINARIO PARA BAÑOS DE LOCALES COMERCIALES</t>
  </si>
  <si>
    <t>03.02.12.01.04</t>
  </si>
  <si>
    <t>INODORO ONE PIECE POWER INFINITY BLANCO 3.5/4.8L MARCA KLIPEN EN BAÑO DE LOBBY - PISO 01</t>
  </si>
  <si>
    <t>03.02.12.01.05</t>
  </si>
  <si>
    <t>BOWL DE SOBRE PONER MAUI CUADRADO SIN REBOSE COLOR BLANCO 38X48X14cm. PROVEEDOR: VAINSA EN BAÑO DE LOBBY - PISO 01</t>
  </si>
  <si>
    <t>03.02.12.01.06</t>
  </si>
  <si>
    <t>URINARIO NIZA CON FLUXOMETRO COLOR BLANCO. MARCA VAINSA EN BAÑO DE LOBBY - PISO 01</t>
  </si>
  <si>
    <t>03.02.12.01.07</t>
  </si>
  <si>
    <t>LAVADERO DE 1 POZA DE ACERO INOXIDABLE DE 40x36x14.50CM - RECORD EMPOTRADO EN TABLERO GRANITO. KITCHENETTE DE DPTOS.</t>
  </si>
  <si>
    <t>03.02.12.01.08</t>
  </si>
  <si>
    <t>LAVADERO DE ROPA MODELO AMAZONAS BLANCO 45x45CM, MARCA TREBOL</t>
  </si>
  <si>
    <t>03.02.12.01.09</t>
  </si>
  <si>
    <t>INODORO KLIPEN TWO PIECES DUO DECORATIVO BLANCO  710mmx430mmxh=73mm  /DECORCENTER) EN BAÑOS COMUNES Y PRINCIPALES DE DPTOS.</t>
  </si>
  <si>
    <t>03.02.12.01.10</t>
  </si>
  <si>
    <t>LAVATORIO EN BAÑOS COMUNES Y PRINCIPALES DE DPTOS.</t>
  </si>
  <si>
    <t>03.02.12.02</t>
  </si>
  <si>
    <t xml:space="preserve">                 GRIFERÍA</t>
  </si>
  <si>
    <t>03.02.12.02.01</t>
  </si>
  <si>
    <t>GRIFERIA PARA LAVATORIO EN BAÑOS DE LOCALES COMERCIALES PISO 01</t>
  </si>
  <si>
    <t>03.02.12.02.02</t>
  </si>
  <si>
    <t>FLUXOMETRO PARA URINARIOS EN BAÑOS DE LOBBY Y DE LOCALES COMERCIALES PISO 01</t>
  </si>
  <si>
    <t>03.02.12.02.03</t>
  </si>
  <si>
    <t>GRIFERÍA MONOCOMANDO ARGO ALTA PARA LAVATORIO COLOR NEGRO KLIPEN PARA BOWL EN BAÑO DE LOBBY - PISO 01</t>
  </si>
  <si>
    <t>03.02.12.02.04</t>
  </si>
  <si>
    <t>GRIFERIA PARA COCINA, MONOCOMANDO LINEA SIRENE - TREBOL EN KITCHENETTES DE DPTOS.</t>
  </si>
  <si>
    <t>03.02.12.02.05</t>
  </si>
  <si>
    <t>GRIFERIA PARA LAVADERO, TIPO JARDINERO EN LAVANDERIA DE DPTOS.</t>
  </si>
  <si>
    <t>03.02.12.02.06</t>
  </si>
  <si>
    <t>GRIFERIA PARA LAVATORIO MONOCOMANDO SIRENE - TREBOL EN BAÑOS SECUNDARIOS Y PRINCIPALES DE DPTOS.</t>
  </si>
  <si>
    <t>03.02.12.02.07</t>
  </si>
  <si>
    <t>DUCHA EMPOTRADA MONOCOMANDO LINEA SIRENE CON SALIDA DE DUCHA DE 4" DE 3 FUNCIONES CON BRAZO STRETTO-TREBOL EN BAÑOS SECUNDARIOS Y PRINCIPALES DE DPTOS.</t>
  </si>
  <si>
    <t>03.02.12.02.08</t>
  </si>
  <si>
    <t xml:space="preserve">GRIFERÍA_ PET SPA </t>
  </si>
  <si>
    <t>GRIFERÍA_ LAVANDERÍA DEPATAMENTOS</t>
  </si>
  <si>
    <t>GRIFERIA LAVATORIO_BAÑO LOBBY</t>
  </si>
  <si>
    <t>GRIFERIA LAVATORIO_BAÑO HOMBRES / MUJERES</t>
  </si>
  <si>
    <t>GRIFERIA LAVATORIO_BAÑO DISCAPACITADOS</t>
  </si>
  <si>
    <t>GRIFERIA LAVATORIO_VESTIDOR HOMBRES /MUJERES</t>
  </si>
  <si>
    <t>GRIFERÍA LAVADERO_S.U.M. / BAR</t>
  </si>
  <si>
    <t>GRIFERÍA_PISCINA</t>
  </si>
  <si>
    <t>GRIFERÍA DUCHA_VESTIDOR HOMBRES /MUJERES</t>
  </si>
  <si>
    <t>GRIFERIA LAVATORIO_BAÑO SERVICIO 209</t>
  </si>
  <si>
    <t>GRIFERÍA DUCHA_BAÑOS PRINC. Y SEC.DEPATAMENTOS</t>
  </si>
  <si>
    <t>GRIFERÍA DUCHA_BAÑO SERVICIO 209</t>
  </si>
  <si>
    <t>GRIFERÍA_COCINA DEPATAMENTOS</t>
  </si>
  <si>
    <t>GRIFERIA LAVATORIO_BAÑOS PRINC. Y SEC. DEPATAMENTOS</t>
  </si>
  <si>
    <t>GRIFERÍA DUCHA_BAÑOS PRINC. Y SEC. X04</t>
  </si>
  <si>
    <t>03.02.13</t>
  </si>
  <si>
    <t>03.02.13.01</t>
  </si>
  <si>
    <t>Pinutra en escalera y pasadizos</t>
  </si>
  <si>
    <t>03.02.13.01.01</t>
  </si>
  <si>
    <t>PINTURA EN MUROS DE ESCALERA DE EVACUACIÓN 01 Y VESTIBULOS DESDE 1ER PISO A AZOTEA ( DURALATEX CPP COLOR BLANCO HUMO)</t>
  </si>
  <si>
    <t>03.02.13.01.02</t>
  </si>
  <si>
    <t>PINTURA LATEX EN MUROS DEL LOBBY Y RECEPCION DEL 1ER PISO</t>
  </si>
  <si>
    <t>otros pintura</t>
  </si>
  <si>
    <t>03.02.13.01.03</t>
  </si>
  <si>
    <t>PINTURA OLEO EN MUROS DE BAÑOS DE LOCALES COMERCIALES - PISO 1</t>
  </si>
  <si>
    <t>03.02.13.01.04</t>
  </si>
  <si>
    <t>PINTURA LATEX EN MUROS DE LOCALES COMERCIALES DEL PISO 01</t>
  </si>
  <si>
    <t>03.02.13.01.05</t>
  </si>
  <si>
    <t>PINTURA LATEX EN MUROS DE ZONA DE MEDIDORES - PISO 1</t>
  </si>
  <si>
    <t>03.02.13.01.06</t>
  </si>
  <si>
    <t>PINTURA EN MUROS DE HALL DE ASCENSORES Y CORREDORES DESDE 2DO PISO A 15VO PISO ( DURALATEX CPP COLOR BLANCO)</t>
  </si>
  <si>
    <t>Pintura de departamentos</t>
  </si>
  <si>
    <t>03.02.13.01.07</t>
  </si>
  <si>
    <t>PINTURA EN MUROS DE SALA, COMEDOR, ESTUDIO, DORM. SECUNDARIOS, DORM. PRINCIPALES DE DPTOS. DESDE 2DO A 15VO PISO (AMERICAN COLOR LATEX COLOR BLANCO)</t>
  </si>
  <si>
    <t>03.02.13.01.08</t>
  </si>
  <si>
    <t>PINTURA LATEX EN MUROS DE BALCONES HACIA FACHADA EXTERIOR DE DPTOS. DESDE 2DO A 15VO PISO</t>
  </si>
  <si>
    <t>03.02.13.01.09</t>
  </si>
  <si>
    <t>PINTURA EN MUROS DE KITCHENETTE, CENTROS DE LAVADO, BAÑOS DE DPTOS. DESDE 2DO A 15VO PISO (OLEO MATE VENCEDOR COLOR BLANCO)</t>
  </si>
  <si>
    <t>Pintura en fachada</t>
  </si>
  <si>
    <t>03.02.13.01.10</t>
  </si>
  <si>
    <t>PINTURA LATEX EN FACHADA INTERIOR (POZO DE LUZ)</t>
  </si>
  <si>
    <t>03.02.13.01.11</t>
  </si>
  <si>
    <t>PINTURA LATEX EN CIELORRASO EN ESTACIONAMIENTOS, DEPÓSITOS, CTO. DE BASURA, HALL DE ASCENSORES, ESCALERA DE EVACUACIÓN DE SOTANOS, BAÑO DE 1ER PISO</t>
  </si>
  <si>
    <t>03.02.13.01.12</t>
  </si>
  <si>
    <t>PINTURA EN CIELORRASOS DE PISOS SUPERIORES (LOBBY DE INGRESO, RECEPCIÓN, HALL DE ASCENSORES, CORREDORES, DEPARTAMENTOS Y ÁREAS COMUNES) DESDE EL 1ER PISO A AZOTEA Y VESTIDORES DE 1ER PISO ( DURALATEX CPP COLOR BLANCO)</t>
  </si>
  <si>
    <t>03.02.13.01.13</t>
  </si>
  <si>
    <t>PINTURA LATEX COLOR BLANCO ACABADO SATINADO EN FCR DE LOBBY, SALA DE ESPERA, CORREDOR, HALL DE ASCENSORES Y BAÑO DE LOBBY DEL PISO 01</t>
  </si>
  <si>
    <t>03.02.13.01.14</t>
  </si>
  <si>
    <t>PINTURA EN VIGAS DE PISOS SUPERIORES ( DURALATEX CPP COLOR BLANCO)</t>
  </si>
  <si>
    <t>03.02.13.01.15</t>
  </si>
  <si>
    <t>PINTURA EN ALEROS EXTERIORES DE FACHADA (LADO INFERIOR)</t>
  </si>
  <si>
    <t>03.02.13.01.16</t>
  </si>
  <si>
    <t>PINTURA LATEX EN PARAPETOS DE TECHO</t>
  </si>
  <si>
    <t>ANDAMIOS NORMADOS PARA FACHADA</t>
  </si>
  <si>
    <t>03.02.14</t>
  </si>
  <si>
    <t xml:space="preserve">          OBRAS COMPLEMENTARIAS Y JARDINERÍA</t>
  </si>
  <si>
    <t>03.02.14.01</t>
  </si>
  <si>
    <t xml:space="preserve">                 JARDINERÍA EXTERIOR </t>
  </si>
  <si>
    <t>Jardineria Exterior</t>
  </si>
  <si>
    <t>03.02.14.01.01</t>
  </si>
  <si>
    <t xml:space="preserve">                        TIERRA DE CHACRA PUESTA EN JARDINERAS</t>
  </si>
  <si>
    <t>03.02.14.01.02</t>
  </si>
  <si>
    <t>Arbol Palo verde</t>
  </si>
  <si>
    <t>03.02.14.01.03</t>
  </si>
  <si>
    <t>Arbol Pitosporum</t>
  </si>
  <si>
    <t>03.02.14.01.04</t>
  </si>
  <si>
    <t>Planta romero</t>
  </si>
  <si>
    <t>03.02.14.01.05</t>
  </si>
  <si>
    <t>Impermeabilizacion superficial-lateral jardineras de arboles H=90cm</t>
  </si>
  <si>
    <t>03.02.14.01.06</t>
  </si>
  <si>
    <t>Capa drenante+tela geotextil</t>
  </si>
  <si>
    <t>03.02.14.01.07</t>
  </si>
  <si>
    <t>Sustrato de jardineras H=140cm</t>
  </si>
  <si>
    <t>03.02.14.01.08</t>
  </si>
  <si>
    <t>GRASS NATURAL EN PISOS DE AREAS VERDES EN EXTERIOR DE FACHADAS - 1ER PISO</t>
  </si>
  <si>
    <t>PAISAJISMO AZOTEA</t>
  </si>
  <si>
    <t>Jardineria Interior</t>
  </si>
  <si>
    <t>Impermeabilizacion superficial-lateral H=35cm, H=1.15</t>
  </si>
  <si>
    <t xml:space="preserve">Capa drenante + tela geotextil </t>
  </si>
  <si>
    <t>Sustrato para para techo verde H=35cm, H=1.15</t>
  </si>
  <si>
    <t>Sistema de riego por goteo</t>
  </si>
  <si>
    <t>Grass Japones</t>
  </si>
  <si>
    <t>Sansevieria enana (lengua de suegra compacta) h=15cm</t>
  </si>
  <si>
    <t>Romero h=35cm</t>
  </si>
  <si>
    <t>Coprosma h=75cm</t>
  </si>
  <si>
    <t>Madre selva</t>
  </si>
  <si>
    <t>Palmera robellina h=1.5 m</t>
  </si>
  <si>
    <t>Crinum (Crinum Amobili) h=75cm</t>
  </si>
  <si>
    <t>03.02.14.02</t>
  </si>
  <si>
    <t>03.01.14.02.01</t>
  </si>
  <si>
    <t xml:space="preserve">                        PASE PARA MAGUERA (TORRE)</t>
  </si>
  <si>
    <t>Carpinteria metalica de detalle</t>
  </si>
  <si>
    <t>03.01.14.02.02</t>
  </si>
  <si>
    <t>NUMERACIÓN EN MUROS POR NIVELES. CON PLACA DE FIERRO PINTADA COLOR NEGRO AL HORNO CON PINTURA ELECTROESTÁTICA FORMA DE NÚMERO DE PISO dim: 0.35x0.72m, h:1.10m - DESDE PISO 01 A AZOTEA</t>
  </si>
  <si>
    <t>03.01.14.02.03</t>
  </si>
  <si>
    <t>NUMERACIÓN EN MUROS DE DPTOS. CON PLACA DE FIERRO PINTADA COLOR NEGRO AL HORNO CON PINTURA ELECTROESTÁTICA dim: 0.10 x 0.30m, h:1.85m - DESDE PISO 02 A PISO 15</t>
  </si>
  <si>
    <t>03.02.14.03</t>
  </si>
  <si>
    <t xml:space="preserve">                 PROCESO DE ENTREGA Y ÁREAS COMUNES</t>
  </si>
  <si>
    <t>Limpieza´fina</t>
  </si>
  <si>
    <t>03.02.14.03.01</t>
  </si>
  <si>
    <t xml:space="preserve">                        LIMPIEZA SEMIFINA DE DEPARTAMENTO (2 DORMITORIOS)</t>
  </si>
  <si>
    <t>03.02.14.03.02</t>
  </si>
  <si>
    <t xml:space="preserve">                        LIMPIEZA FINA DE DEPARTAMENTO (2 DORMITORIOS)</t>
  </si>
  <si>
    <t>03.02.14.03.03</t>
  </si>
  <si>
    <t xml:space="preserve">                        LIMPIEZA DE ESCALERA PISOS SUPERIORES (TORRE)</t>
  </si>
  <si>
    <t>03.02.14.03.04</t>
  </si>
  <si>
    <t xml:space="preserve">                        LIMPIEZA DE LOBBY (TORRE)</t>
  </si>
  <si>
    <t>03.02.14.03.05</t>
  </si>
  <si>
    <t xml:space="preserve">                        LIMPIEZA DE PASADIZOS SUPERIORES (TORRE)</t>
  </si>
  <si>
    <t>03.02.14.03.06</t>
  </si>
  <si>
    <t xml:space="preserve">                        LIMPIEZA DE ESTACIONAMIENTOS Y SÓTANOS</t>
  </si>
  <si>
    <t>03.02.14.03.07</t>
  </si>
  <si>
    <t xml:space="preserve">                        LIMPIEZA DE AZOTEA (TORRE)</t>
  </si>
  <si>
    <t>03.02.14.03.08</t>
  </si>
  <si>
    <t xml:space="preserve">                        LIMPIEZA DE TERRAZA (TORRE)</t>
  </si>
  <si>
    <t>03.02.14.04</t>
  </si>
  <si>
    <t xml:space="preserve">                 SUMINISTRO DE LUMINARIAS</t>
  </si>
  <si>
    <t>Placas y acabados Electricas</t>
  </si>
  <si>
    <t>03.02.14.04.01</t>
  </si>
  <si>
    <t xml:space="preserve">                        LUCES TIPO TORTUGA DEL DUCTO DE ASCENSOR</t>
  </si>
  <si>
    <t>03.02.14.05</t>
  </si>
  <si>
    <t xml:space="preserve">                 ACABADOS LOBBY</t>
  </si>
  <si>
    <t>03.02.14.05.01</t>
  </si>
  <si>
    <t>PIEDRAS BLANCAS DE CANTO RODADO DECORATIVAS PARA JARDINES SECOS EN LOBBY, SALA DE ESPERA Y CORREDOR - PISO 01</t>
  </si>
  <si>
    <t>03.02.14.05.02</t>
  </si>
  <si>
    <t>LISTONES VERTICALES TUBULARES RECTANGULARES DE Fe 40x80mm ACABADO PINTADO DORADO CHAMPAGNE SOBRE BASE EPÓXICA. REVISAR COLOCACIÓN EN DETALLE DT-01 LÁMINA LO-08, h=3.00m EN RECEPCIÓN DEL LOBBY Y HALL DE ASCENSORES - PISO 01</t>
  </si>
  <si>
    <t>03.02.14.05.03</t>
  </si>
  <si>
    <t>LISTONES VERTICALES TUBULARES RECTANGULARES DE Fe 20x80mm ACABADO PINTADO DORADO CHAMPAGNE SOBRE BASE EPÓXICA. REVISAR COLOCACIÓN EN DETALLE DT-01 LÁMINA LO-08, h=3.00m EN RECEPCIÓN DEL LOBBY - PISO 01</t>
  </si>
  <si>
    <t>03.02.14.05.04</t>
  </si>
  <si>
    <t>LISTONES VERTICALES TUBULARES CIRCULARES DE DE Fe 1" ACABADO PINTADO DORADO CHAMPAGNE SOBRE BASE EPÓXICA. REVISAR COLOCACIÓN EN DETALLE DT-01 LÁMINA LO-08,  h=3.00m EN RECEPCIÓN DEL LOBBY - PISO 01</t>
  </si>
  <si>
    <t>03.02.14.05.05</t>
  </si>
  <si>
    <t>LISTONES HORIZONTALES TUBULARES RECTANGULARES DE DE Fe 2"X5" ACABADO PINTADO DORADO CHAMPAGNE SOBRE BASE EPÓXICA. REVISAR COLOCACIÓN EN DETALLE DT-01 LÁMINA LO-08 EN RECEPCIÓN DEL LOBBY - PISO 01</t>
  </si>
  <si>
    <t>03.02.14.05.06</t>
  </si>
  <si>
    <t>PERFIL TUBULAR RECTANGULAR DE Fe 40x280mm ACABADO PINTADO DORADO CHAMPAGNE SOBRE BASE EPÓXICA,  h=3.00m ENTRE RECEPCIÓN DE LOBBY Y HALL DE ASCENSORES - PISO 01</t>
  </si>
  <si>
    <t>03.02.14.05.07</t>
  </si>
  <si>
    <t>LISTELO DE ACERO INOX ACABADO COLOR C161 PRATA PANTONERA SUVINIL,  h=3.00m EN HALL DE ASCENSORES Y CORREDOR - PISO 01</t>
  </si>
  <si>
    <t>03.02.14.05.08</t>
  </si>
  <si>
    <t>LISTONES VERTICALES TUBULARES CIRCULARES DE ALUMINIO ACABADO DORADO CHAMPAGNE h=3.00m EN SALA DE ESPERA - PISO 01</t>
  </si>
  <si>
    <t>03.02.14.05.09</t>
  </si>
  <si>
    <t>Melamina / MDF</t>
  </si>
  <si>
    <t>03.02.14.05.10</t>
  </si>
  <si>
    <t>REVESTIMIENTO MUEBLE COUNTER</t>
  </si>
  <si>
    <t>03.02.14.05.11</t>
  </si>
  <si>
    <t>Armario de melamine</t>
  </si>
  <si>
    <t>03.02.14.05.12</t>
  </si>
  <si>
    <t>ESPEJO RETROILUMINADO DE FORMA IRREGULAR CON BASTIDOR DE MADERA EN BAÑO DE LOBBY - PISO 01</t>
  </si>
  <si>
    <t>03.02.14.05.13</t>
  </si>
  <si>
    <t>Spot circular recesado fijo para empotrar 50W max,3000K, color blanco GU10 144732 - sólo luminaria</t>
  </si>
  <si>
    <t>03.02.14.05.14</t>
  </si>
  <si>
    <t>Luminarias tipo estaca - sólo luminaria</t>
  </si>
  <si>
    <t>03.02.14.05.15</t>
  </si>
  <si>
    <t>Cintas Led para FCR y muebles: tiras led 5mtrs 10W/M 30K 12V 60 LED/M 850 LPM IP20 180G 3000K</t>
  </si>
  <si>
    <t>03.02.14.05.16</t>
  </si>
  <si>
    <t>LETRERO "LITORAL 900" EN LOBBY DE INGRESO</t>
  </si>
  <si>
    <t>Revestimiento</t>
  </si>
  <si>
    <t>Acabados especiales / pintura</t>
  </si>
  <si>
    <t>Muro pintado con microcemento texturizado gris color a380 (zona ingreso lobby, espera y hall de ascensores)</t>
  </si>
  <si>
    <t>Pared enchape cuarzita ruby 20mm proveedor Pierinelli (columna curva ingreso a lobby)</t>
  </si>
  <si>
    <t>Listones verticales tubulares de Fe 1" acabado pintado dorado champagne sobre base epoxica</t>
  </si>
  <si>
    <t>Listones verticales tubulares rectangulares de Fe 40 profunidad x80mm de ancho ,acabado pintado dorado (revisar L-07 y 08 en planos de detalles)</t>
  </si>
  <si>
    <t>Perfil tubular rectangular de Fe 40x280mm acabado pintado dorado champagne sobre base epoxica</t>
  </si>
  <si>
    <t>Techo y Falso cielo raso</t>
  </si>
  <si>
    <t>Drywall</t>
  </si>
  <si>
    <t>FCR en todo el lobby con formas rectas y circulares acabado empastado y pintado color blanco satinado american colors</t>
  </si>
  <si>
    <t>Pisos y contrazocalos</t>
  </si>
  <si>
    <t xml:space="preserve">Enchape </t>
  </si>
  <si>
    <t>Contrazocalo en terrazo lavado de grano fino color idem muro proveedor Rossello</t>
  </si>
  <si>
    <t>Fragua  e=2mm</t>
  </si>
  <si>
    <t>Tapajunta de aluminio color negro proveedor Atrim</t>
  </si>
  <si>
    <t>Mobiliario y señalización</t>
  </si>
  <si>
    <t xml:space="preserve">Counter con estructura metalica enchapado con Cuarzita Ruby Fusion 20mm proveedor Pierinnelli. Con mueble en mdf pintado con poliuretano color a380 inverno seco </t>
  </si>
  <si>
    <t>Mobiliario</t>
  </si>
  <si>
    <t>Mueble bar multiusos</t>
  </si>
  <si>
    <t xml:space="preserve">Casilleros en mdf pintado con poliuretano color a380 inverno seco </t>
  </si>
  <si>
    <t>Butacas según diseño con tela de mediano transito</t>
  </si>
  <si>
    <t>Mesas nido con fierro pintado al horno dorado champgane con tablero enchapado en madera según diseño</t>
  </si>
  <si>
    <t>Butaca 2 según diseño con tela de mediano transito</t>
  </si>
  <si>
    <t>Sofá curvo</t>
  </si>
  <si>
    <t>Mesas de centro 1.20 x 0.70según diseño con tablero de mármol</t>
  </si>
  <si>
    <t>Mesas de centro 2 0.60 x 0.60m según diseño con tablero de mármol</t>
  </si>
  <si>
    <t>Mesas de auxiliar 0.40 x 0.40m según diseño con tablero de mármol</t>
  </si>
  <si>
    <t>Mesas de auxiliar 0.40 x 0.40m según diseño con tablero de madera</t>
  </si>
  <si>
    <t>Letrero figura en mdf pintado con poliuretano color a380 inverno seco / Letras: Litoral 900</t>
  </si>
  <si>
    <t>Jardineria</t>
  </si>
  <si>
    <t>Paisajismo y riego</t>
  </si>
  <si>
    <t xml:space="preserve">Jardineras secas </t>
  </si>
  <si>
    <t>Plantas</t>
  </si>
  <si>
    <t>Sardinel de jardinera</t>
  </si>
  <si>
    <t>ESTACA LED 6W 3000K NEGRO  145165 (RECEPCIÓN, ESTAR, COSTADO DE BAÑO LOBBY )</t>
  </si>
  <si>
    <t>SALIDA PARA ALUMBRADO -L7 (RECEPCIÓN, ESTAR, HALL LOBBY ) SPOT CIRCULAR RECESADO FIJO PARA EMPOTRAR 50W MAX, 3000K, COLOR BLANCO GU10  144732.</t>
  </si>
  <si>
    <t>TIRA LED 5MTS 10W/M 30K 12V 60LED/M 850LM IP20 180G SIN DRIVER. 3000K</t>
  </si>
  <si>
    <t>DRIVER DRIVER 72W P/TIRA LED IP20 PF08 160X41X20MM 12V 180-260V 60HZ</t>
  </si>
  <si>
    <t>PERFIL DE ALUMINIO PARA CINTA LED DE 1800 MM.</t>
  </si>
  <si>
    <t>Hall de ascensores Lobby</t>
  </si>
  <si>
    <t>Armario de MDF pintado (sin tiradores, y con chapa)</t>
  </si>
  <si>
    <t>Listones verticales tubulares rectangulares de Fe 40x80mm acabado pintado dorado</t>
  </si>
  <si>
    <t>Listelo de Fe acabado pintado dorado champagne h= 3.00mt</t>
  </si>
  <si>
    <t>Letrero figura en mdf pintado con poliuretano color dorado retroiluminado / Letras: Numero 1</t>
  </si>
  <si>
    <t>Baño Lobby</t>
  </si>
  <si>
    <t>PISO DE BAÑO LOBBY _PORCELANATO ESMALTADO FOREVER BIANCO LAPATO FORMATO 60X60 cm</t>
  </si>
  <si>
    <t>ZOCALO DE BAÑO LOBBY _PORCELANATO ESTRIADO QSTONE STRIP WHITE 40X120 cm</t>
  </si>
  <si>
    <t>CONTRAZOCALO DE BAÑO LOBBY _PORCELANATO ESMALTADO FOREVER BIANCO LAPATO FORMATO 60X60 cm</t>
  </si>
  <si>
    <t>Porcelanato estriado qstone strip white 40x120 proveedor meglio</t>
  </si>
  <si>
    <t>Muro pintado en microcemento gris color AD12 sambaqui</t>
  </si>
  <si>
    <t>Espejo retroiluminado</t>
  </si>
  <si>
    <t>Griferia y aparatos sanitarios</t>
  </si>
  <si>
    <t>Bowl Padua blanco vainsa medidas 18x50x35</t>
  </si>
  <si>
    <t>Griferia monocomando argo alta para lavatorio color negro klipen</t>
  </si>
  <si>
    <t>Secador de manos</t>
  </si>
  <si>
    <t>Papelera</t>
  </si>
  <si>
    <t>Urinario Niza con fluxometro color blanco marca vainsa proveedor decorcenter</t>
  </si>
  <si>
    <t>Inodoro One piece power infinity blanco marca klipen proveedor decorcenter</t>
  </si>
  <si>
    <t xml:space="preserve">Tableros de marmol/granito </t>
  </si>
  <si>
    <t>Tablero en marmol travertino e=20mm</t>
  </si>
  <si>
    <t>SALIDA PARA ALUMBRADO -L8 (BAÑO COMUN 1ER PISO) SPOT GU10 PARA ADOSAR NEGRO 3000K CÓDIGO 146506</t>
  </si>
  <si>
    <t>Barras de seguridad (discapacitado)</t>
  </si>
  <si>
    <t>Decoracion macetas con plantas colgantes</t>
  </si>
  <si>
    <t>03.02.14.06</t>
  </si>
  <si>
    <t xml:space="preserve">                 VARIOS</t>
  </si>
  <si>
    <t>03.02.14.06.01</t>
  </si>
  <si>
    <t>BANCA DE CONCRETO a=45cm, e=10cm EN PATIO COMÚN - PISO 03</t>
  </si>
  <si>
    <t>03.02.14.06.02</t>
  </si>
  <si>
    <t>ENCHAPE DE MADERA PUMAQUIRA E:4CM ACABADO CON TRES CAPAS DE RUBIO MONOCOAT. CONSIDERAR FORROS EN BANCA DE CONCRETO a=45cm, e=10cm EN PATIO COMÚN - PISO 03</t>
  </si>
  <si>
    <t>03.02.14.06.03</t>
  </si>
  <si>
    <t>CONTENEDORES PARA BASURA DE 360LT - CTO. BASURA</t>
  </si>
  <si>
    <t>03.02.14.06.04</t>
  </si>
  <si>
    <t>CONTENEDORES PARA BASURA DE 1,100LT - CTO. BASURA</t>
  </si>
  <si>
    <t>03.02.14.06.05</t>
  </si>
  <si>
    <t>CONTENEDORES PARA BASURA DE 240LT - CTO. BASURA</t>
  </si>
  <si>
    <t>03.02.14.06.06</t>
  </si>
  <si>
    <t>CONTENEDORES PARA BASURA DE 100LT - CTO. BASURA</t>
  </si>
  <si>
    <t>Patio Comun 2do piso</t>
  </si>
  <si>
    <t>Piso Porcelanato esmaltado orbit greige mate formato 60x60</t>
  </si>
  <si>
    <t>Contrazocalo en terrazo lavado de grano fino color idem muro</t>
  </si>
  <si>
    <t>Pared en microcemento gris color ad12 sambaqui</t>
  </si>
  <si>
    <t>Muro acabado en microcemento gris claro c161 prata</t>
  </si>
  <si>
    <t xml:space="preserve">Banca de concreto h=10cm, revestida en madera 4cm </t>
  </si>
  <si>
    <t>Señaletica en acrlico color negro</t>
  </si>
  <si>
    <t>Moldura vertical Perfil de acero inoxidable pintado color c161 prata  0.02x0.015m pantonera suvinil h=3mtr</t>
  </si>
  <si>
    <t>Moldura vertical  Perfil de acero inoxidable B165 broto de feijao 0.02x0.015m pantonera suvinil h=3mtr</t>
  </si>
  <si>
    <t>Moldura horizontal Perfil de acero inoxidable B165 broto de feijao 0.02x0.015m pantonera suvinil L=90cm</t>
  </si>
  <si>
    <t>Módulos de concreto Artectum 30x30</t>
  </si>
  <si>
    <t>Piedras canto rodado debajo de banca</t>
  </si>
  <si>
    <t>Planta lengua de suegra compacta (sanseviera enana) h= 15cm</t>
  </si>
  <si>
    <t>Planta romero h= 35cm</t>
  </si>
  <si>
    <t>Planta buxus/coprosma h= 75cm</t>
  </si>
  <si>
    <t>Planta madreselva</t>
  </si>
  <si>
    <t>Impermeabilizacion superficial-lateral  H=1mtr</t>
  </si>
  <si>
    <t>Sustrato para techo verde H=70cm</t>
  </si>
  <si>
    <t>Pisos típicos</t>
  </si>
  <si>
    <t>Letrero figura en mdf pintado con poliuretano color dorado / Letras: Numero de piso</t>
  </si>
  <si>
    <t>Listelo de acero inox acabado color 161 prata h=3mt</t>
  </si>
  <si>
    <t>Numero de departamento</t>
  </si>
  <si>
    <t>Luminaria</t>
  </si>
  <si>
    <t>SALIDA PARA ALUMBRADO  (PASADIZOS EN PISOS TIPICOS) SPOT CIRCULAR RECESADO FIJO PARA EMPOTRAR 50W MAX, 3000K, COLOR BLANCO GU10  144732.</t>
  </si>
  <si>
    <t>SENSORES DE MOVIMIENTO ALUMBRADO DE PISOS TIPICOS</t>
  </si>
  <si>
    <t>SALIDA PARA ALUMBRADO TIPO BRAQUETE (EN PATIO 2DO PISO) APLIQUE EXTERIOR LED 6W 3000K BLANCO  145636.</t>
  </si>
  <si>
    <t>TIRA LED CONTINUA COB 5M IP65 10W/M 30K 12V 931LM 180G 480LED/M S/DRIVER</t>
  </si>
  <si>
    <t xml:space="preserve">Driver para cinta led de 10amp 12v </t>
  </si>
  <si>
    <t>PERFIL SILICONA IP65 FLEXIBLE 1MT PARA CINTA LED</t>
  </si>
  <si>
    <t>03.02.14.07</t>
  </si>
  <si>
    <t xml:space="preserve">                 VEREDA</t>
  </si>
  <si>
    <t>Otros, Obras Exteriores</t>
  </si>
  <si>
    <t>VEREDA EN PERIMETRO DE OBRA</t>
  </si>
  <si>
    <t>03.02.15</t>
  </si>
  <si>
    <t>AREAS COMUNES ESPECIALES</t>
  </si>
  <si>
    <t>03.02.15.01</t>
  </si>
  <si>
    <t>BICECLETARIO</t>
  </si>
  <si>
    <t>Pintura trafico</t>
  </si>
  <si>
    <t>03.02.15.01.01</t>
  </si>
  <si>
    <t>PINTURA EPÓXICA EN MUROS DE BICICLETARIO DE SOTANO 01</t>
  </si>
  <si>
    <t>03.02.15.01.02</t>
  </si>
  <si>
    <t xml:space="preserve">                        PINTURA TRAFICO - INDECI (SÓTANOS)</t>
  </si>
  <si>
    <t>03.02.15.01.03</t>
  </si>
  <si>
    <t>PINTURA LATEX COLOR SATINADO EN FCR DE BICICLETARIO - SÓTANO 01</t>
  </si>
  <si>
    <t>03.02.15.01.04</t>
  </si>
  <si>
    <t>MALLA GALVANIZADA PINTADA COLOR NEGRO CON DOBLE CAPA DE ANTICORROSIVO CON PERFIL TUBULAR DE ALUMINIO CUADRADO 2"x2" ACABADO PINTADO COLOR NEGRO, h=3.00m EN BICICLETARIO DE SÓTANO 01</t>
  </si>
  <si>
    <t>03.02.15.01.05</t>
  </si>
  <si>
    <t>NUMERACIÓN EN PISO DE BICICLETARIO DE SÓTANO 01 CON PINTURA EPÓXICA</t>
  </si>
  <si>
    <t>03.02.15.01.06</t>
  </si>
  <si>
    <t>Letrero figura en mdf color negro / figura letras RIDE THE BIKE y numeros de estacionamientos de bicicletas</t>
  </si>
  <si>
    <t>03.02.15.01.07</t>
  </si>
  <si>
    <t>SISTEMA VERTICAL EN PARED PARA BICICLETAS EN BICICLETARIO DE SÓTANO 01</t>
  </si>
  <si>
    <t>03.02.15.01.08</t>
  </si>
  <si>
    <t>SISTEMA VERTICAL DOBLE EN PISO PARA BICICLETAS EN BICICLETARIO DE SÓTANO 01</t>
  </si>
  <si>
    <t>03.02.15.01.09</t>
  </si>
  <si>
    <t>03.02.15.01.10</t>
  </si>
  <si>
    <t>Casilleros</t>
  </si>
  <si>
    <t>03.02.15.01.11</t>
  </si>
  <si>
    <t>Banca de concreto en zona de casilleros</t>
  </si>
  <si>
    <t>03.02.15.01.13</t>
  </si>
  <si>
    <t>SALIDA PARA ALUMBRADO (ZONA DE BICICLETAS) HERMÉTICO LED 2X18W 4000K GRIS  147143</t>
  </si>
  <si>
    <t>SENSOR DE MOVIMIENTO PARA ALMUBRADO ZONA DE BICICLETAS</t>
  </si>
  <si>
    <t>03.02.15.01.14</t>
  </si>
  <si>
    <t>LINEA DIVISORIA EN MUROS DE BICICLETARIO DE SÓTANO 01 CON PINTURA EPÓXICA, e=5CM</t>
  </si>
  <si>
    <t>03.02.15.02</t>
  </si>
  <si>
    <t>03.02.15.02.01</t>
  </si>
  <si>
    <t>PISO DE VESTIDORES HOMBRES Y MUJERES_PORCELANATO ALAPLANA ESMALTADO VILEMA ROBLE MATE. FORMATO 0.23 X 1,20m</t>
  </si>
  <si>
    <t>03.02.15.02.02</t>
  </si>
  <si>
    <t>ZOCALO DE VESTIDORES HOMBRES Y MUJERES_PORCELANATO STONE IVORY. FORMATO 60 X 60 cm.</t>
  </si>
  <si>
    <t>CONTRAZOCALO DE VESTIDORES HOMBRES Y MUJERES_PORCELANATO ALAPLANA ESMALTADO VILEMA ROBLE MATE. FORMATO 0.23 X 1,20m</t>
  </si>
  <si>
    <t>03.02.15.02.03</t>
  </si>
  <si>
    <t>PINTURA OLEO EN MUROS DE VESTIDORES DE SOTANO 01</t>
  </si>
  <si>
    <t>03.02.15.02.04</t>
  </si>
  <si>
    <t>PINTURA LATEX COLOR SATINADO EN FCR DE VESTIDORES - SÓTANO 01</t>
  </si>
  <si>
    <t>Carpinteria de madera de areas comunes</t>
  </si>
  <si>
    <t>03.02.15.02.05</t>
  </si>
  <si>
    <t>Puerta contraplacada pintado color amarillo (al duco)70x210 cm</t>
  </si>
  <si>
    <t>03.02.15.02.06</t>
  </si>
  <si>
    <t xml:space="preserve">                        CERRADURA INTERIORES  VESTIDORES</t>
  </si>
  <si>
    <t>Ventanas y mamparas</t>
  </si>
  <si>
    <t>03.02.15.02.07</t>
  </si>
  <si>
    <t>03.02.15.02.08</t>
  </si>
  <si>
    <t>Tablero y banca de concreto</t>
  </si>
  <si>
    <t>03.02.15.02.09</t>
  </si>
  <si>
    <t>Lavatorio de empotrar nuevo saratoga II color blanco</t>
  </si>
  <si>
    <t>03.02.15.02.10</t>
  </si>
  <si>
    <t>Griferia monocomando Cartagena baja para lavatorio proveedor Decorcenter</t>
  </si>
  <si>
    <t>03.02.15.02.11</t>
  </si>
  <si>
    <t>Llave de ducha modelo Cabo blanco proveedor Decorcenter</t>
  </si>
  <si>
    <t>03.02.15.02.12</t>
  </si>
  <si>
    <t>Repisa Mueble para toallas</t>
  </si>
  <si>
    <t>03.02.15.02.13</t>
  </si>
  <si>
    <t>SALIDA DE ALUMBRADO (VESTIDORES , CASILLEROS) PLAFÓN LED 12W 3000K BLANCO  CÓDIGO 145587.</t>
  </si>
  <si>
    <t>03.02.15.02.14</t>
  </si>
  <si>
    <t>Mueble para toallas</t>
  </si>
  <si>
    <t>03.02.15.02.15</t>
  </si>
  <si>
    <t>Luminaria: Spot circular recesado fijo para empotrar proveedor Lumicenter - sólo luminaria</t>
  </si>
  <si>
    <t>03.02.15.03</t>
  </si>
  <si>
    <t>PET ZONE</t>
  </si>
  <si>
    <t>03.02.15.03.01</t>
  </si>
  <si>
    <t>PISO DE ZONA DE MASCOTAS_PORCELANATO STONE IVORY. FORMATO 60 X 60 cm.</t>
  </si>
  <si>
    <t>03.02.15.03.02</t>
  </si>
  <si>
    <t>CONTRAZOCALO DE ZONA DE MASCOTAS_PORCELANATO STONE IVORY. FORMATO 60 X 60 cm.</t>
  </si>
  <si>
    <t>03.02.15.03.03</t>
  </si>
  <si>
    <t>ZOCALO DE ZONA DE MASCOTAS_CERÁMICO BRICK WHITE BRILLO 10,7x27 cm</t>
  </si>
  <si>
    <t>03.02.15.03.04</t>
  </si>
  <si>
    <t>PINTURA OLEO EN MUROS DE ZONA DE MASCOTAS - SOTANO 02</t>
  </si>
  <si>
    <t>03.02.15.03.05</t>
  </si>
  <si>
    <t>LISTONES VERTICALES TUBULARES RECTANGULARES DE Fe COLOR NEGRO. EMBUTIDOS EN PARED</t>
  </si>
  <si>
    <t>03.02.15.03.06</t>
  </si>
  <si>
    <t>Mesa de concreto para lavaderos incluye escalera de concreto</t>
  </si>
  <si>
    <t>03.02.15.03.07</t>
  </si>
  <si>
    <t>ZOCALO DE ZONA DE MASCOTAS_PORCELANATO ALAPLANA ESMALTADO VILEMA ROBLE MATE. FORMATO 0.23 X 1,20m, PARA MESA</t>
  </si>
  <si>
    <t>03.02.15.03.08</t>
  </si>
  <si>
    <t>REVESTIMIENTO DE POZAS DEL LAVADERO DE CONCRETO CON CERÁMICO BRICK WHITE BRILLO 10.70x27cm EN ZONA DE MASCOTAS COMÚN - SÓTANO 02 (SÓLO EN LAS POZAS)</t>
  </si>
  <si>
    <t>03.02.15.03.09</t>
  </si>
  <si>
    <t>MUEBLE PARA TERMA CON MDF TROPICALIZADO COLOR VERDE h=2.65mEN ZONA DE MASCOTAS COMÚN - SÓTANO 02</t>
  </si>
  <si>
    <t>03.02.15.03.10</t>
  </si>
  <si>
    <t>Marco y pared de mdf tropicalizado pintado en color verde</t>
  </si>
  <si>
    <t>03.02.15.03.11</t>
  </si>
  <si>
    <t>Marco con repisas en mdf tropicalizado color gris en mesa de lavadero</t>
  </si>
  <si>
    <t>03.02.15.03.12</t>
  </si>
  <si>
    <t>Repisas flotantes en melamine color soft blanco proveedor masisa</t>
  </si>
  <si>
    <t>03.02.15.03.13</t>
  </si>
  <si>
    <t>SALIDA DE ALUMBRADO (ZONA DE MASCOTAS) SPOT CIRCULAR RECESADO FIJO PARA EMPOTRAR 50W MAX, 3000K, COLOR BLANCO GU10  144732.</t>
  </si>
  <si>
    <t>03.02.15.03.14</t>
  </si>
  <si>
    <t>03.02.15.03.15</t>
  </si>
  <si>
    <t>Letrero figura en mdf color negro / figura letras OH MY DOG</t>
  </si>
  <si>
    <t>03.02.15.03.16</t>
  </si>
  <si>
    <t>Letrero figura en mdf color negro / figura letras PET SPA y figura de Perro antes de ingresar al Pet spa</t>
  </si>
  <si>
    <t>03.02.15.03.17</t>
  </si>
  <si>
    <t>DUCHA TELÉFONO CENTURY COLOR NEGRO PARA LAVADERO CORRIDO DE ZONA DE MASCOTAS - SOTANO 02</t>
  </si>
  <si>
    <t>03.02.15.03.18</t>
  </si>
  <si>
    <t>Griferia monocomando con telefono ducha color negro</t>
  </si>
  <si>
    <t>03.02.15.03.19</t>
  </si>
  <si>
    <t>M01: PET SPA. Puerta batiente con vidrio laminado primario incoloro Fullglass estándar 8.38 mm, con rejilla inferior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</si>
  <si>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03.02.15.04</t>
  </si>
  <si>
    <t>03.02.15.04.01</t>
  </si>
  <si>
    <t>TARRAJEO CON IMPERMEABILIZANTE - PISCINA H=1.00M + FORJADO DE PASOS</t>
  </si>
  <si>
    <t>03.02.15.04.02</t>
  </si>
  <si>
    <t>PISO DE TERRAZA PISCINA (DECK)_PORCELANATO FLORINA CERAMICS QUARRAZZO ICE SNOW 60cm x60cm/ RIVELSA . FORMATO 60x60 cm</t>
  </si>
  <si>
    <t>CONTRAZOCALO DE TERRAZA PISCINA (DECK)_PORCELANATO FLORINA CERAMICS QUARRAZZO ICE SNOW 60cm x60cm/ RIVELSA . FORMATO 60x60 cm</t>
  </si>
  <si>
    <t>03.02.15.04.03</t>
  </si>
  <si>
    <t>IMPERMEABILIZACIÓN DE PISO EN TERRAZA DE PISCINA - AZOTEA</t>
  </si>
  <si>
    <t>03.02.15.04.04</t>
  </si>
  <si>
    <t>IMPERMEABILIZACIÓN DE PISO EN PISCINA - AZOTEA</t>
  </si>
  <si>
    <t>03.02.15.04.05</t>
  </si>
  <si>
    <t>FORJADO EN PASOS Y CONTRAPASOS CON ACABADO DE CEMENTO PULIDO CON IMPERMEABILIZANTE EN GRADAS DE TERRAZA Y DE PISCINA</t>
  </si>
  <si>
    <t>03.02.15.04.06</t>
  </si>
  <si>
    <t>PISO DE PISCINA_PORCELANATO ESMALTADO ATOL MILAGRES BRILLO 14.45x14.45cm</t>
  </si>
  <si>
    <t>ZOCALO DE PISCINA_PORCELANATO ESMALTADO ATOL MILAGRES BRILLO 14.45x14.45cm</t>
  </si>
  <si>
    <t>03.02.15.04.07</t>
  </si>
  <si>
    <t>Muro microcemento texturizado con recubrimiento de resina pintado color A380 invierno seco, pantonera suvinil</t>
  </si>
  <si>
    <t>03.02.15.04.08</t>
  </si>
  <si>
    <t>Baranda de acero inoxidable 304 acabado pulido</t>
  </si>
  <si>
    <t>03.02.15.04.09</t>
  </si>
  <si>
    <t>BARANDA. PERFIL CIRCULAR DE ALUMINIO INOXIDABLE ø2" h: 0.90m EN GRADAS DE PISCINA - AZOTEA</t>
  </si>
  <si>
    <t>03.02.15.04.10</t>
  </si>
  <si>
    <t>COMPUERTA PARA CUARTO DE BOMBA PISCINA</t>
  </si>
  <si>
    <t>03.02.15.04.11</t>
  </si>
  <si>
    <t>DUCHA TELÉFONO CENTURY COLOR NEGRO EN TERRAZA DE PISCINA - AZOTEA</t>
  </si>
  <si>
    <t>03.02.15.04.12</t>
  </si>
  <si>
    <t>GRIFERÍA MONOCOMANDO DE DUCHA CENTURY NEGRO EN TERRAZA DE PISCINA - AZOTEA</t>
  </si>
  <si>
    <t>03.02.15.04.13</t>
  </si>
  <si>
    <t>Canaleta para sumidero de piscina (borde de piscina)</t>
  </si>
  <si>
    <t>03.02.15.04.14</t>
  </si>
  <si>
    <t>Terrazo lavado de grano fino color idem piso en borde de piscina y jardineras proveedor Rossello</t>
  </si>
  <si>
    <t>Equipamiento Piscina</t>
  </si>
  <si>
    <t>Equipamiento de piscina-Presupuesto Blupools inc bombas y luces (OS 091)</t>
  </si>
  <si>
    <t>SALIDA DE BRAQUETE EN PISCINA</t>
  </si>
  <si>
    <t>SALIDA DE ALUBRADO EN ESCALERA DE PISCINA</t>
  </si>
  <si>
    <t>Tumbonas de madera para exterior (huayruro) con asiento con tela sunbrella según diseño</t>
  </si>
  <si>
    <t>Tumbonas de fibra e vidrio1.70 x 0.55m</t>
  </si>
  <si>
    <t>Butacas con tela sumbrella y base de madera huayruro</t>
  </si>
  <si>
    <t>Mesa de centro para exterior con madera huayruro</t>
  </si>
  <si>
    <t>03.02.15.05</t>
  </si>
  <si>
    <t>03.02.15.05.01</t>
  </si>
  <si>
    <t>BRUÑAS DE 1cm EN MURO DE SALA DE USOS MÚLTIPLES - AZOTEA</t>
  </si>
  <si>
    <t>03.02.15.05.02</t>
  </si>
  <si>
    <t xml:space="preserve">FCR CON CURVATURA Y DESNIVEL SEGÚN DISEÑO DE DRYWALL SELLADO Y EMPASTADO. ACABADO PINTURA COLOR BLANCO SATINADO. </t>
  </si>
  <si>
    <t>Muros curvos sobre varias superficies (drywall o albañileria)</t>
  </si>
  <si>
    <t>03.02.15.05.03</t>
  </si>
  <si>
    <t>CENEFA DE DRYWALL EMPASTADO Y PINTADO COLOR BLANCO ACABADO SATINADO EN SALA DE USO MÚLTIPLE - AZOTEA</t>
  </si>
  <si>
    <t>03.02.15.05.04</t>
  </si>
  <si>
    <t>PISO DE SUM_PORCELANATO FLORINA CERAMICS QUARRAZZO ICE SNOW60cm x60cm/ RIVELSA . FORMATO 60x60 cm</t>
  </si>
  <si>
    <t>03.02.15.05.05</t>
  </si>
  <si>
    <t>CONTRAZOCALO DE SUM_PORCELANATO FLORINA CERAMICS QUARRAZZO ICE SNOW60cm x60cm/ RIVELSA . FORMATO 60x60 cm</t>
  </si>
  <si>
    <t>03.02.15.05.06</t>
  </si>
  <si>
    <t>Microcemento texturizado gris color a182 duro branco</t>
  </si>
  <si>
    <t>03.02.15.05.07</t>
  </si>
  <si>
    <t>PINTURA LATEX COLOR BLANCO ACABADO SATINADO EN FCR DE SALA DE USOS MÚLTPLES - AZOTEA</t>
  </si>
  <si>
    <t>03.02.15.05.08</t>
  </si>
  <si>
    <t>M30: SUM. Puerta batiente más sobreluz fijo,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1P Golpe+llave K3512
+ juego de manillas sirius A0003134 (interior y exterior) en color negro.
- Atenuación acústica máxima (Ctr): 30 dB (*)
- (*) Ver consideraciones acústicas en observaciones generales de la Cotización.
Medida: 1000 x 2750 Superficie : 2,75 M2</t>
  </si>
  <si>
    <t>03.02.15.05.09</t>
  </si>
  <si>
    <t>M31: SALA DE JUEGOS. Balconera corredera de 5 hojas sobre marco de 5 carriles (C-C-C-C-C), con vidrio laminado primario incoloro Fullglass estándar 8.38 mm de la serie CF 31 CRUCE CURVO, en lacado con pintura electrostática en ral std. 9011 color negro acabado mate, compuesto por:
- Marco perimetral de 192.9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9160 x 2750 Superficie : 25,19 M2</t>
  </si>
  <si>
    <t>03.02.15.05.10</t>
  </si>
  <si>
    <t>V09: SUM (AZOTEA). Ventana corredera de 4 hojas sobre marco de 2 carriles
(C-C-C-C), con vidrio laminado primario incoloro Fullglass estándar 6.38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27 dB (*)
- (*) Ver consideraciones acústicas en observaciones generales de la cotización.
Medida: 4150 x 1300 Superficie : 5,40 M2</t>
  </si>
  <si>
    <t>03.02.15.05.11</t>
  </si>
  <si>
    <t>ISLA: TABLERO GRANITO NEGRO ARACRUZ e= 2cm , 8ML</t>
  </si>
  <si>
    <t>03.02.15.05.12</t>
  </si>
  <si>
    <t>Lavadero de empotrar be linea rs15 1 poza 54x44x20cm provedor Decorcenter</t>
  </si>
  <si>
    <t>03.02.15.05.13</t>
  </si>
  <si>
    <t>Griferia monocomando de cocina urban de cocina negro marca klipen Decorcenter</t>
  </si>
  <si>
    <t>03.02.15.05.14</t>
  </si>
  <si>
    <t>Espejo incoloro 8mm con lamina de seguridad 3M bisel minimo</t>
  </si>
  <si>
    <t>03.02.15.05.15</t>
  </si>
  <si>
    <t>ESQUINEROS ALUMINIO. PERFIL "L" ALUMINIO COLOR NEGRO 1/2 X 1/2" L=1.35M (esquineros espejo)</t>
  </si>
  <si>
    <t>REPISA FLOTANTE DE FIERRO NEGRO MEDIDAS 3.75x0.30M (sobre isla)</t>
  </si>
  <si>
    <t>TABLERO PARA ESCRITORIO FLOTANTE DE MDF 18mm PINTADO COLOR CINZA FECHADO P750. PANTONERA:SUVINIL. REVESTIDO DE PIEDRA SINTERIZADA 12MM CALCE BIANCO LAMINAM. REFORZADO CON ESTRUCTURA DE FIERRO. MEDIDAS APROX: 3.5x0.40M</t>
  </si>
  <si>
    <t>REPISA SOBRE TABLERO PIEDRA SINTERIZADA 12mm CALCE BIANCO LAMINAM SOBRE MDF 18mm PINTADO COLOR CIENZA FECHADO P750 PANTONERA: SUVINIL. MEDIDAS APROX: 2.40x0.20M</t>
  </si>
  <si>
    <t>Mueble para colocar TV -Marco en mdf 18mm pintado color cinza fechado p750 medidas aprox 0.80x1.30mt</t>
  </si>
  <si>
    <t>REPISA FLOTANTE DOBLE MDF 18mm PINTADO COLOR CINZA FECHADO P750 PANTONERA: SUVINIL.  MEDIDAS: 1.50x.20M</t>
  </si>
  <si>
    <t>TV de 55"</t>
  </si>
  <si>
    <t>Rack para TV 55"</t>
  </si>
  <si>
    <t>ISLA: ARMAZÓN DE MDF PINTADO ACABADO POLIURETANO  COLOR FERRUGEM Y155 PANTONERA: SUVINIL CON ESTRUCTURA DE FIERRO.SEGÚN DISEÑO DE PLANO CON ILUMINACIÓN LED + PLACAS DE TOMACORRIENTES. + CAJONERAS + APOYA PIES PERFIL CIRCULAR Ø2" DE ALUMINIO COLOR NEGRO. MEDIDAS APROX: 4.00x1.70M</t>
  </si>
  <si>
    <t>Instalacion sanitaria griferias y poza (isla)</t>
  </si>
  <si>
    <t>Minibar frost onedoor 90L marca Electrolux</t>
  </si>
  <si>
    <t>Horno Microondas neochef 25 litros marca LG</t>
  </si>
  <si>
    <t>SUMINISTRO CINTA LED 3000K PARA FCR</t>
  </si>
  <si>
    <t>SUMINISTRO CINTA LED 3000K VERTICAL EN MUROS</t>
  </si>
  <si>
    <t>SUM_SPOT CIRCULAR RECESADO FIJO PARA EMPOTRAR 50W MAX, 3000K, COLOR BLANCO GU10  144732.</t>
  </si>
  <si>
    <t>Instalacion electrica de suministros</t>
  </si>
  <si>
    <t>BUTACA: TAPIZADO TELA JACQUAR MEDIDAS APROX: 1.45x1.00x0.45M</t>
  </si>
  <si>
    <t>MESA LATERAL SALA CIRCULAR: ESTRCTURA DE FIERRO PINTADO AL HORNO CON TABLERO ENCHAPADO FORMICA COLOR NEGRO. D=50CM H= 60CM</t>
  </si>
  <si>
    <t>PUFF: TAPIZADO TELA JACQUAR MEDIDAS APROX: 1.35x0.98x0.45M</t>
  </si>
  <si>
    <t>MESA CIRCULAR CENTRAL MDF ENCHAPADO MDF SEGÚN DISEÑO D=85CM H=40CM</t>
  </si>
  <si>
    <t>SILLA ALTA CON RESPALDAR: TAPIZADO TELA JACQUAR. ESTRUCTURA METÁLICA H=87CM</t>
  </si>
  <si>
    <t>SILLA ALTA: TAPIZADO TELA VELVET. ESTRUCTURA METÁLICA H=67CM</t>
  </si>
  <si>
    <t>03.02.15.05.16</t>
  </si>
  <si>
    <t>03.02.15.06</t>
  </si>
  <si>
    <t>03.02.15.06.01</t>
  </si>
  <si>
    <t>Muro drywall según diseño de drywall sellado y empastado</t>
  </si>
  <si>
    <t>03.02.15.06.02</t>
  </si>
  <si>
    <t>FCR de drywall en techo sellado y empastado acabado pintura color blanco satinado</t>
  </si>
  <si>
    <t>03.02.15.06.03</t>
  </si>
  <si>
    <t>CENEFA DE DRYWALL EMPASTADO Y PINTADO COLOR BLANCO ACABADO SATINADO EN GIMNASIO - AZOTEA</t>
  </si>
  <si>
    <t>03.02.15.06.04</t>
  </si>
  <si>
    <t>Piso de caucho modelo Endurance color Stone Grey 100x100cm e= 7mm. Proveedor Pavigym</t>
  </si>
  <si>
    <t>03.02.15.06.05</t>
  </si>
  <si>
    <t>Contrazocalo EPS modelo extra color plata line h= 10cm. Proveedor Atrim</t>
  </si>
  <si>
    <t>03.02.15.06.06</t>
  </si>
  <si>
    <t>Muro acabado en microcemento gris color A146 Espuma Gelada, pantonera suvinil.</t>
  </si>
  <si>
    <t>03.02.15.06.07</t>
  </si>
  <si>
    <t>PINTURA LATEX COLOR BLANCO ACABADO SATINADO EN FCR DE GIMNASIO - AZOTEA</t>
  </si>
  <si>
    <t>03.02.15.06.08</t>
  </si>
  <si>
    <t>M28: GYM - ÁREA COMÚN. Estructura fija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3050 x 2750 Superficie : 8,38 M2</t>
  </si>
  <si>
    <t>03.02.15.06.09</t>
  </si>
  <si>
    <t>M29: GYM - ÁREA COMÚN. Puerta doble batiente más sobreluz fijo y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1P Golpe+llave K3512 + juego de manillas sirius A0003134 (interior y exterior) en color negro.
- Verticales centrales mediante perfil AF52M125 + ala postiza y junquillo.
- Horizontal central mediante perfil AF52M085 + ala postiza y junquillo.
- Atenuación acústica máxima (Ctr): 30 dB (*)
- (*) Ver consideraciones acústicas en observaciones generales de la Cotización.
Medida: 5250 x 2750 Superficie : 14,44 M2</t>
  </si>
  <si>
    <t>03.02.15.06.10</t>
  </si>
  <si>
    <t>V07: GYM (AZOTEA).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28 dB (*)
- (*) Ver consideraciones acústicas en observaciones generales de la cotización.
Medida: 6030 x 2000 Superficie : 12,06 M2</t>
  </si>
  <si>
    <t>03.02.15.06.11</t>
  </si>
  <si>
    <t>V08: GYM (AZOTEA).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sirius A0003237 (solo al interior) color negro en hoja activa y multipunto más manilla embutida zira A0003751 (solo al interior) color negro en hoja pasiva.
- Atenuación acústica máxima (Ctr): 28 dB (*)
- (*) Ver consideraciones acústicas en observaciones generales de la cotización.
Medida: 2590 x 2000 Superficie : 5,18 M2</t>
  </si>
  <si>
    <t>03.02.15.06.12</t>
  </si>
  <si>
    <t>Muros revestidos en melamine fresno europeo e= 18mm marca Vesto</t>
  </si>
  <si>
    <t>03.02.15.06.13</t>
  </si>
  <si>
    <t>Espejo incoloro 8mm con lamina de seguridad 3M, bisel minimo medidas 2.64x2.64mt y 2.35x3.00mt</t>
  </si>
  <si>
    <t>03.02.15.06.14</t>
  </si>
  <si>
    <t>LISTONES DE MELAMINA FRESNO EUROPEO DE 3x1.8cm CON SEPARACIÓN DE 1.8cm. MARCA: VESTO - ARAUCO h=2.38m EN GIMNASIO - AZOTEA</t>
  </si>
  <si>
    <t>03.02.15.06.15</t>
  </si>
  <si>
    <t xml:space="preserve">Tapajuntas de aluminio plomo mate codigo 2382. Proveedor Atrim </t>
  </si>
  <si>
    <t>ALUMBRADO GYM_SPOT GU10 PARA ADOSAR NEGRO 3000K CÓDIGO 146506</t>
  </si>
  <si>
    <t>ALUMBRADO GYM_SPOT CIRCULAR RECESADO FIJO PARA EMPOTRAR 50W MAX, 3000K, COLOR BLANCO GU10  144732.</t>
  </si>
  <si>
    <t>Bicicleta eliptica</t>
  </si>
  <si>
    <t>Trotadora</t>
  </si>
  <si>
    <t>Bancas</t>
  </si>
  <si>
    <t>Mat de Yoga</t>
  </si>
  <si>
    <t>Soporte de acero para pelotas pintado al horno color negro</t>
  </si>
  <si>
    <t>Barras de acero pintado al horno color negro en techo para colgar sacos de box o trx</t>
  </si>
  <si>
    <t>Saco de boxeo</t>
  </si>
  <si>
    <t>LOCKERS CON PANELERÍA DE MELAMINA (PANELES Y LISTONES) SEGÚN DISEÑO. MELAMINA FRESNO EUROPEO. e:18mm. MARCA: VESTO - ARAUCO. + PUERTAS DE MDF PINTADAS CON NUMERACIÓN Y CASILLEROS CON PUERTAS BATIENTES. MEDIDAS:1.40x2.35M color A146 espuma gelada panto</t>
  </si>
  <si>
    <t>Letras de mdf pintado color P750 Cinza fechado pantonera suvinil: Letras: NEVER GIVE UP (tipografia Arial black)</t>
  </si>
  <si>
    <t>MUEBLE EN NICHOS DE MELAMINA FRESNO EUROPEO e:18mm + PERFIL CIRCULAR DE ACERO 3/8 PINTADO AL HORNO COLOR DORADO CHAMPAGNE + PERFILES LED PARA RETROILUMINACION 3000K. MEDIDAS APROX: 0.87x1.50M</t>
  </si>
  <si>
    <t>03.02.15.07</t>
  </si>
  <si>
    <t>03.02.15.07.01</t>
  </si>
  <si>
    <t>PISO DE PASILLO / BAR / ZONA DE PARRILLA AZOTEA_PORCELANATO FLORINA CERAMICS QUARRAZZO ICE SNOW 60cm x60cm/ RIVELSA . FORMATO 60x60 cm</t>
  </si>
  <si>
    <t>03.02.15.07.02</t>
  </si>
  <si>
    <t>CONTRAZOCALO DE PARRILLAS Y PASILLO AZOTEA_PORCELANATO FLORINA CERAMICS QUARRAZZO ICE SNOW 60cm x60cm/ RIVELSA . FORMATO 60x60 cm</t>
  </si>
  <si>
    <t>03.02.15.07.03</t>
  </si>
  <si>
    <t xml:space="preserve">Microcemento texturizado gris color b161 cromio. Pantonera suvinil </t>
  </si>
  <si>
    <t>03.02.15.07.04</t>
  </si>
  <si>
    <t>MUEBLE MODULAR PARRILLA: ARMAZÓN DE FIERRO PINTADO AL HORNO + PATAS DE FIERRO CON GARRUCHAS. MEDIDAS APROX: 2.30x0.60 H=90. (DIVIDIDO EN 3 MÓDULOS). INCLUY POZA INTEGRADA. NO INCLUYE TABLERO DE PIEDRA SINTERIZADA NI PARRILLA</t>
  </si>
  <si>
    <t>03.02.15.07.05</t>
  </si>
  <si>
    <t>LAVADERO DE 1 POZA. EN AREAS DE PARRILLAS DE LA AZOTEA</t>
  </si>
  <si>
    <t>03.02.15.07.06</t>
  </si>
  <si>
    <t>GRIFERÍA MONOCOMANDO DE COCINA URBAN DE COCINA NEGRO MARCA KIPLEN DECORCENTER</t>
  </si>
  <si>
    <t>03.02.15.07.07</t>
  </si>
  <si>
    <t>CELOSÍA MODULAR DE PANEL FENÓLICO RH ACABADO GLOSS + ESTRUCTURA METÁLICA PARA ANCLAJE. MEDIDAS: 2.4x2.7M</t>
  </si>
  <si>
    <t>03.02.15.07.08</t>
  </si>
  <si>
    <t>PARRILLA DE ACERO INOXIDABLE EN AREA DE PARRILLAS DE LA AZOTEA</t>
  </si>
  <si>
    <t>SALIDA PARA ALUMBRADO  (ZONA DE PARRILLAS Y PASADIZOS EN AZOTEA) ORBITAL MINI ALUMINIO  MAX 2x50W 3000K L: 216 W: 125 H: 108 mm</t>
  </si>
  <si>
    <t>SALIDA DE ALUMBRADO EN PISO (EN ZONA DE PIEDRAS ENTRE ENCHAPE Y JARDIN)</t>
  </si>
  <si>
    <t>Muro pintado color a162 Ouro Blanco acabado satinado -PASADIZO DE ZONA PARRILLAS</t>
  </si>
  <si>
    <t>Microcemento texturizado gris color a162 ouro branco pantonera suvinil</t>
  </si>
  <si>
    <t>MESA DE MADERA HUAYRURO CON ACABADO DE 3 CAPAS DE RUBIO MONOCOAT 1.80x0.90M H=0.75M</t>
  </si>
  <si>
    <t>Sillas con estructura de fierro, asiento tapizado con tela sunbrella y tejido rattan sintetico</t>
  </si>
  <si>
    <t>Sofás con 3 módulos con asiento tapizado con tela sunbrella, tejido rattan sintetico y estructura de fierro ??</t>
  </si>
  <si>
    <t>SUMINISTRO E INSTALACION TABLERO DE PIEDRA SINTERIZADA PARA PARRILLA 2.30x0.60M + FALDONES</t>
  </si>
  <si>
    <t>Instalacion sanitaria griferias (mueble modular)</t>
  </si>
  <si>
    <t>JARDINERAS DE CONCRETO CON ESTRUCTURA DE FIERRO Y RUEDA GARRUCHA 80x40 H=50CM</t>
  </si>
  <si>
    <t>CORTINAS CON TELA SUNBRELLA PARA DIVISOR DE AMBIENTES + TUBO PARA ANCLAJE</t>
  </si>
  <si>
    <t>REPISA FLOTANTE DE FIERRO NEGRO MEDIDAS: 35x30 CM</t>
  </si>
  <si>
    <t>03.02.15.08</t>
  </si>
  <si>
    <t>BAR EXTERIOR + DEPOSITO</t>
  </si>
  <si>
    <t>03.02.15.08.01</t>
  </si>
  <si>
    <t>Muro acabado microcemento texturizado gris color b161 cromio pantonera suviil</t>
  </si>
  <si>
    <t>03.02.15.08.02</t>
  </si>
  <si>
    <t>TABLERO INTERNO: GRANITO NEGRO ARACRUZ</t>
  </si>
  <si>
    <t>03.02.15.08.03</t>
  </si>
  <si>
    <t>MUEBLE INTERIOR DE BARRA: MELAMINA NEGRO VELVET. PROVEEDOR: VESTO. PUERTAS BATIENTES Y REPISAS RH</t>
  </si>
  <si>
    <t>03.02.15.08.04</t>
  </si>
  <si>
    <t>Lavadero de empotrar be linea rs15 1 poza 54x44x20cm</t>
  </si>
  <si>
    <t>03.02.15.08.05</t>
  </si>
  <si>
    <t>KLIPEN PORCELANATO ESMALTADO ORBIT GREIGE MATE. FORMATO 60 X 60 CM.</t>
  </si>
  <si>
    <t>CONTRAZÓCALO KLIPEN PORCELANATO ESMALTADO ORBIT GREIGE MATE. h: 10 cm</t>
  </si>
  <si>
    <t>Tapajuntas de aluminio plomo mate codigo 2382 proveedor atrim</t>
  </si>
  <si>
    <t>Falso Cielo raso de drywall RHL, sellado, empastado y pintado acabado blanco satinado. Pantonera american color</t>
  </si>
  <si>
    <t xml:space="preserve">TABLERO: REVESTIMIENTO DE MESÓN DE CONCRETO CON TABLERO LAMINAN PIEDRA SINTERIZADA TERRA E: 6mm </t>
  </si>
  <si>
    <t xml:space="preserve">Frigobar electrolux frost 47 lts erd50g2hpi inox </t>
  </si>
  <si>
    <t>SALIDA PARA ALUMBRADO -L19 (BAR AZOTEA) Luminaria de acero acabado dorado champagne con acrilico blanco mate led 3000K</t>
  </si>
  <si>
    <t>SALIDA DE ALUMBRADO - L14 (BAR)SPOT 50W MAX BLANCO GU10  CÓDIGO 144950 3000k</t>
  </si>
  <si>
    <t>SALIDA DE ALUMBRADO - L14 (DEPOSITO) PLAFÓN LED 12W 3000K BLANCO  CÓDIGO 145587</t>
  </si>
  <si>
    <t>Tomacorrientes dobles P/A color negro</t>
  </si>
  <si>
    <t>Interruptor doble color negro</t>
  </si>
  <si>
    <t>REPISA FLOTANTE DE FIERRO NEGRO ACABADO PINTADO DORADO CHAMPAGNE SOBRE BASE EPÓXICA. + PERFILERÍA LED</t>
  </si>
  <si>
    <t>BACKING-Muebles de fierro pintado detrás de barra hecho de listones verticales tubulares circulares de Fe 1" acabado pintado dorado champagne sobre base epoxica y listones verticales tubulares rectangulares de Fe 20x80mm acabado pintado dorado champagne sobre base epoxica</t>
  </si>
  <si>
    <t>gl</t>
  </si>
  <si>
    <t>Bancos altos para exterior con tela sunbrella</t>
  </si>
  <si>
    <t>Instalacion sanitaria griferias y poza (barra)</t>
  </si>
  <si>
    <t>Muro acabado satinado pintura color A162 ouro branco, pantonera suvinil - DEPOSITO</t>
  </si>
  <si>
    <t>PISO DE DEPOSITO BAR_CERÁMICO RECTIFICADO RUSTICO MATE BOSTON PLATA 60cm x60cm/ SAN LORENZO</t>
  </si>
  <si>
    <t>CONTRAZOCALO DE DEPOSITO BAR_CERÁMICO RECTIFICADO RUSTICO MATE BOSTON PLATA 60cm x60cm/ SAN LORENZO</t>
  </si>
  <si>
    <t>Puerta contraplacada acabado microcemento, manija color negro 80x210cm  - DEPOSITO</t>
  </si>
  <si>
    <t>Interruptor simple  - DEPOSITO</t>
  </si>
  <si>
    <t>03.02.15.08.06</t>
  </si>
  <si>
    <t>POYO DE CONCRETO PARA BARRA DE BAR, a=78cm e=10cm - AZOTEA</t>
  </si>
  <si>
    <t>03.02.15.08.07</t>
  </si>
  <si>
    <t>LISTONES VERTICALES TUBULARES CIRCULARES DE DE Fe 1" ACABADO PINTADO DORADO CHAMPAGNE SOBRE BASE EPÓXICA h=2.35m EN BAR - AZOTEA</t>
  </si>
  <si>
    <t>03.02.15.08.08</t>
  </si>
  <si>
    <t>LISTONES VERTICALES TUBULARES RECTANGULARES DE Fe 40x80mm ACABADO PINTADO DORADO CHAMPAGNE SOBRE BASE EPÓXICA h=2.35m EN BAR - AZOTEA</t>
  </si>
  <si>
    <t>03.02.15.08.09</t>
  </si>
  <si>
    <t>LISTONES VERTICALES TUBULARES RECTANGULARES DE Fe 20x80mm ACABADO PINTADO DORADO CHAMPAGNE SOBRE BASE EPÓXICA h=2.35m EN BAR - AZOTEA</t>
  </si>
  <si>
    <t>03.02.15.09</t>
  </si>
  <si>
    <t>BAÑOS AZOTEA</t>
  </si>
  <si>
    <t>03.02.15.09.01</t>
  </si>
  <si>
    <t>TABIQUE DE DRYWALL A UNA CARA EN BAÑO COMÚN - AZOTEA</t>
  </si>
  <si>
    <t>03.02.15.09.02</t>
  </si>
  <si>
    <t>PISO DE BAÑO DISCAPACITADOS,  HOMBRES Y MUJERES, AZOTEA _PORCELANATO STONE IVORY. FORMATO 60 x 60 cm.</t>
  </si>
  <si>
    <t>03.02.15.09.03</t>
  </si>
  <si>
    <t>Piedras decorativas grises de canto rodado 5cm fijas sobre vaciado de concreto</t>
  </si>
  <si>
    <t>03.02.15.09.04</t>
  </si>
  <si>
    <t>ZOCALO DE BAÑO DISCAPACITADOS, HOMBRES Y MUJERES EN AZOTEA _PORCELANATO STONE IVORY. FORMATO 60 x 60 cm.</t>
  </si>
  <si>
    <t>03.02.15.09.05</t>
  </si>
  <si>
    <t>Contrazocalo en jardin seco en terrazo lavado de grano fino color idem muro</t>
  </si>
  <si>
    <t>03.02.15.09.06</t>
  </si>
  <si>
    <t>ZOCALO DE PORCELANATO STONE IVORY. FORMATO 60x60cm EN BAÑOS COMUNES - AZOTEA</t>
  </si>
  <si>
    <t>03.02.15.09.07</t>
  </si>
  <si>
    <t>Wall Panel interior samll pvc color pecan formato 1.60x3.00mtr</t>
  </si>
  <si>
    <t>03.02.15.09.08</t>
  </si>
  <si>
    <t>Muro acabado microcemento texturizado gris color B161 cromo pantonera Suvinil</t>
  </si>
  <si>
    <t>03.02.15.09.09</t>
  </si>
  <si>
    <t>Muro pintado color A380 Inverno seco pantonera Suvinil</t>
  </si>
  <si>
    <t>03.02.15.09.10</t>
  </si>
  <si>
    <t xml:space="preserve">PINTURA LATEX EN MUROS DE DEPÓSITO - AZOTEA. </t>
  </si>
  <si>
    <t>03.02.15.09.11</t>
  </si>
  <si>
    <t xml:space="preserve">PINTURA LATEX EN MUROS DE AREAS COMUNES SIN TECHAR DE AZOTEA. </t>
  </si>
  <si>
    <t>03.02.15.09.12</t>
  </si>
  <si>
    <t xml:space="preserve">Liston Tubular cuadrado de acero inoxidable pintado al horno sobre base epoxica. Color negro acabado satinado       </t>
  </si>
  <si>
    <t>03.02.15.09.13</t>
  </si>
  <si>
    <t>P12 (0.85x2.10m) PUERTA DE MADERA BATIENTE, CONTRAPLACADA EN MDF. BAÑOS COMUNES - AZOTEA</t>
  </si>
  <si>
    <t>03.02.15.09.14</t>
  </si>
  <si>
    <t>P12' (0.90x2.10m) PUERTA DE MADERA BATIENTE, CONTRAPLACADA EN MDF. BAÑOS COMUNES - AZOTEA</t>
  </si>
  <si>
    <t>03.02.15.09.15</t>
  </si>
  <si>
    <t>P (0.60x2.10m) PUERTA DE MADERA BATIENTE DE UNA HOJA, CONTRAPLACADA EN MDF CON REJILLA INFERIOR. DENTRO DE BAÑO DE DISCAPACITADOS - AZOTEA</t>
  </si>
  <si>
    <t>03.02.15.09.16</t>
  </si>
  <si>
    <t>Tablero marmol travertino modelo rumi 20mm</t>
  </si>
  <si>
    <t>03.02.15.09.17</t>
  </si>
  <si>
    <t>Mueble de baño en melamine RH Ripada bosco e= 18mm proveedor Masisa apertura sin tiradores</t>
  </si>
  <si>
    <t>03.02.15.09.18</t>
  </si>
  <si>
    <t>Inodoro one piece power infinity blanco 3.5/4.8l marca klipen</t>
  </si>
  <si>
    <t>03.02.15.09.19</t>
  </si>
  <si>
    <t>Urinario Niza con fluxometro color blanco marca vainsa</t>
  </si>
  <si>
    <t>03.02.15.09.20</t>
  </si>
  <si>
    <t>Lavatorio bowl Irena blanco proveedor Decorcenter</t>
  </si>
  <si>
    <t>03.02.15.09.21</t>
  </si>
  <si>
    <t>Lavatorio Ancon 2.0 proveedor Celima /Trebol</t>
  </si>
  <si>
    <t>03.02.15.09.22</t>
  </si>
  <si>
    <t>Griferia monocomando bali alta para lavatorio cromo proveedor Decorcenter</t>
  </si>
  <si>
    <t>03.02.15.09.23</t>
  </si>
  <si>
    <t>ESPEJO INCOLORO 6MM BISEL MÍNIMO (1.17x1.45m) EN BAÑOS DE MUJERES COMUNES - AZOTEA</t>
  </si>
  <si>
    <t>03.02.15.09.24</t>
  </si>
  <si>
    <t>ESPEJO INCOLORO 6MM BISEL MÍNIMO (0.76x1.56m) EN BAÑOS DE HOMBRES  COMUNES - AZOTEA</t>
  </si>
  <si>
    <t>03.02.15.09.25</t>
  </si>
  <si>
    <t>ESPEJO INCOLORO 6MM BISEL MÍNIMO. INCLINACIÓN 10° EN BAÑO DE DISCAPACITADOS COMÚN - AZOTEA</t>
  </si>
  <si>
    <t>03.02.15.09.26</t>
  </si>
  <si>
    <t>Tapajunta de aluminio plomo mate codigo 2382</t>
  </si>
  <si>
    <t>Techo tarrajeado empastado y pintado color blanco acabado satinado american color</t>
  </si>
  <si>
    <t>Bloque de vidrio Olas 24x24cm</t>
  </si>
  <si>
    <t>Dispensador de jabon</t>
  </si>
  <si>
    <t>Dispensador de papel higiénico rollo negro elite</t>
  </si>
  <si>
    <t>Dispensador de papel toalla doblada negro elite</t>
  </si>
  <si>
    <t>SALIDA DE ALUMBRADO (BAÑOS HOMBRES, MUJERES Y DISCAPACITADOS) SPOT GU10 PARA ADOSAR NEGRO 3000K CÓDIGO 146506</t>
  </si>
  <si>
    <t>Barra de seguridad trebol 90cm acabado cromado cod 99804</t>
  </si>
  <si>
    <t>Estaca led 6w 3000k negro 145165</t>
  </si>
  <si>
    <t>03.02.15.10</t>
  </si>
  <si>
    <t>OTROS AZOTEA</t>
  </si>
  <si>
    <t>03.02.15.10.01</t>
  </si>
  <si>
    <t>PISO CERAMICO ESMALTADO COTO PLATA RÚSTICO  DE 46x46cm EN DEPÓSITO COMÚN - AZOTEA</t>
  </si>
  <si>
    <t>03.02.15.10.02</t>
  </si>
  <si>
    <t>GRASS NATURAL EN PISOS DE AREAS COMUNES NO TECHADAS Y EN JARDINERAS PERIMETRALES DE AZOTEA</t>
  </si>
  <si>
    <t>03.02.15.10.03</t>
  </si>
  <si>
    <t>IMPERMEABILIZACIÓN DE PISO EN AREAS COMUNES NO TECHADAS CON GRASS NATURAL DE LA AZOTEA, JARDINERAS Y AREAS DE PARRILLAS</t>
  </si>
  <si>
    <t>03.02.15.10.04</t>
  </si>
  <si>
    <t>REVESTIMIENTO CON MICROCEMENTO TEXTURIZADO GRIS COLOR A162 OURO BRANCO. PANTONERA: SUVINIL EN MUROS HACIA VECINOS - AZOTEA</t>
  </si>
  <si>
    <t>03.02.15.10.05</t>
  </si>
  <si>
    <t>P-13 (0.85x2.10m) PUERTA DE MADERA BATIENTE DE UNA HOJA, CONTRAPLACADA EN MDF CON REJILLA INFERIOR. DEPÓSITO - AZOTEA</t>
  </si>
  <si>
    <t>03.02.15.10.06</t>
  </si>
  <si>
    <t>PRESUPUESTO MOBILIARIO AREAS COMUNES</t>
  </si>
  <si>
    <t xml:space="preserve">Celosia especial para ventilacion de ductos </t>
  </si>
  <si>
    <t>Baranda remate sobre ultimo techo</t>
  </si>
  <si>
    <t>Contrazocalo en terrazo lavado</t>
  </si>
  <si>
    <t>03.02.15.10.07</t>
  </si>
  <si>
    <t>Sol y sombra en aluminio color negro y viguetas de aluminio tacto madera (sin policarbonato)</t>
  </si>
  <si>
    <t>LUMINARIA</t>
  </si>
  <si>
    <t>SALIDA DE ALUMBRADO EN PISO (EN  JARDIN EN AZOTEA)</t>
  </si>
  <si>
    <t>SALIDA DE ALUMBRADO EN PISO (EN LOSA DELANTE DE  PARAPETO EN AZOTEA)SPOT DE PISO EMPOTRADO LED 73 GT-M7WF/COB/LED/30K</t>
  </si>
  <si>
    <t>03.02.15.11</t>
  </si>
  <si>
    <t>FACHADA</t>
  </si>
  <si>
    <t>03.02.15.11.01</t>
  </si>
  <si>
    <t>Toldo retractil color negro con diferentes alturas</t>
  </si>
  <si>
    <t>03.02.15.11.02</t>
  </si>
  <si>
    <t>JARDINERAS EN FORMA HELICOIDAL</t>
  </si>
  <si>
    <t>03.02.15.11.09</t>
  </si>
  <si>
    <t>Albañileria para embutir cinta led</t>
  </si>
  <si>
    <t>03.02.15.11.10</t>
  </si>
  <si>
    <t>Salidas electricas para puntos de iluminacion</t>
  </si>
  <si>
    <t>03.02.15.11.11</t>
  </si>
  <si>
    <t>Instalacion de luminarias</t>
  </si>
  <si>
    <t>SALIDA PARA ALUMRBADO EN FACHADA (EN COLUMNAS DE MARMOL) REFLECTOR LED SLIM 50W  COLOR NEGRO LUZ CALIDA _ MARCA LIGHTECH</t>
  </si>
  <si>
    <t>TIRA LED  EN  FACHADA DE TERCER PISO HASTA PISO 15_TIRA LED CONTINUA COB 5M IP65 10W/M 30K 12V 931LM 180G  480LED/M/S/DRIVER</t>
  </si>
  <si>
    <t>DRIVER  EN  FACHADA DE TERCER PISO HASTA PISO 15</t>
  </si>
  <si>
    <t>PERFIL EN  FACHADA DE  TERCER PISO HASTA PISO 15_PERFIL DE SILICONA.IP65 FLEXIBLE 1MT PARA CINTA LED</t>
  </si>
  <si>
    <t>TIRA LED  EN  FACHADA DE PRIMER PISO</t>
  </si>
  <si>
    <t xml:space="preserve">DRIVER  EN  FACHADA DE PRIMER PISO </t>
  </si>
  <si>
    <t xml:space="preserve">PERFIL DE ALUMINIO EN  FACHADA DE PRIMER PISO </t>
  </si>
  <si>
    <t xml:space="preserve">INSTALACION DE EQUIPO LUMINARIA BALCON  - DPTOS </t>
  </si>
  <si>
    <t>SALIDA PARA ALUMBRADO -L12 (EN JARDIN PERIMETRO EXTERIOR Y PATIO 2DO PISO )</t>
  </si>
  <si>
    <t>SALIDA PARA ALUMBRADO -L29 (EN MURO FACHADA  PRIMER PISO)</t>
  </si>
  <si>
    <t>SALIDA PARA ALUMBRADO -L30  (EN MURO FACHADA PRIMER PISO)</t>
  </si>
  <si>
    <t>04</t>
  </si>
  <si>
    <t>INSTALACIONES ELECTRICAS</t>
  </si>
  <si>
    <t>04.01</t>
  </si>
  <si>
    <t>SALIDAS IIEE</t>
  </si>
  <si>
    <t>04.01.01</t>
  </si>
  <si>
    <t>SALIDAS PARA ALUMBRADO</t>
  </si>
  <si>
    <t>IIEE, Voz y Data en Casco</t>
  </si>
  <si>
    <t>04.01.01.01</t>
  </si>
  <si>
    <t>SALIDA PARA ILUMINACIÓN EN TECHO DPTOS</t>
  </si>
  <si>
    <t>PTO</t>
  </si>
  <si>
    <t>M.O. IIEE</t>
  </si>
  <si>
    <t>04.01.01.02</t>
  </si>
  <si>
    <t>SALIDA PARA ILUMINACIÓNDICROICOS -DPTOS</t>
  </si>
  <si>
    <t>04.01.01.03</t>
  </si>
  <si>
    <t>SALIDA PARA ILUMINACIÓN EN TECHO-LOCALES</t>
  </si>
  <si>
    <t>04.01.01.04</t>
  </si>
  <si>
    <t>04.01.01.05</t>
  </si>
  <si>
    <t>SALIDA PARA LUMINARIA DE EMERGENCIA</t>
  </si>
  <si>
    <t>04.01.01.06</t>
  </si>
  <si>
    <t>SALIDA PARA LUZ LED</t>
  </si>
  <si>
    <t>04.01.01.07</t>
  </si>
  <si>
    <t>SALIDA PARA ALUMBRADO -L1</t>
  </si>
  <si>
    <t>04.01.01.08</t>
  </si>
  <si>
    <t>SALIDA PARA ALUMBRADO -L2</t>
  </si>
  <si>
    <t>04.01.01.09</t>
  </si>
  <si>
    <t>SALIDA PARA ALUMBRADO -L3</t>
  </si>
  <si>
    <t>04.01.01.10</t>
  </si>
  <si>
    <t>SALIDA PARA ALUMBRADO -L4</t>
  </si>
  <si>
    <t>04.01.01.11</t>
  </si>
  <si>
    <t>SALIDA PARA ALUMBRADO -L5</t>
  </si>
  <si>
    <t>04.01.01.12</t>
  </si>
  <si>
    <t>SALIDA PARA ALUMBRADO -L6</t>
  </si>
  <si>
    <t>04.01.01.13</t>
  </si>
  <si>
    <t>SALIDA PARA ALUMBRADO -L7</t>
  </si>
  <si>
    <t>04.01.01.14</t>
  </si>
  <si>
    <t>SALIDA PARA ALUMBRADO -L8</t>
  </si>
  <si>
    <t>04.01.01.17</t>
  </si>
  <si>
    <t>SALIDA PARA ALUMBRADO -L11</t>
  </si>
  <si>
    <t>04.01.01.18</t>
  </si>
  <si>
    <t>SALIDA PARA ALUMBRADO -L12</t>
  </si>
  <si>
    <t>04.01.01.20</t>
  </si>
  <si>
    <t>SALIDA PARA ALUMBRADO -L14</t>
  </si>
  <si>
    <t>04.01.01.22</t>
  </si>
  <si>
    <t>SALIDA PARA ALUMBRADO -L16</t>
  </si>
  <si>
    <t>04.01.01.23</t>
  </si>
  <si>
    <t>SALIDA PARA ALUMBRADO -L17</t>
  </si>
  <si>
    <t>04.01.01.25</t>
  </si>
  <si>
    <t>SALIDA PARA ALUMBRADO -L19</t>
  </si>
  <si>
    <t>04.01.01.26</t>
  </si>
  <si>
    <t>SALIDA PARA ALUMBRADO -L21</t>
  </si>
  <si>
    <t>04.01.01.27</t>
  </si>
  <si>
    <t>SALIDA PARA ALUMBRADO -L29</t>
  </si>
  <si>
    <t>04.01.01.28</t>
  </si>
  <si>
    <t>SALIDA PARA ALUMBRADO -L30</t>
  </si>
  <si>
    <t>04.01.01.29</t>
  </si>
  <si>
    <t>SALIDA PARA BRAQUETES ASCENSORES</t>
  </si>
  <si>
    <t>04.01.02</t>
  </si>
  <si>
    <t>SALIDA PARA INTERRUPTORES</t>
  </si>
  <si>
    <t>04.01.02.01</t>
  </si>
  <si>
    <t>SALIDA PARA INTERRUPTOR UNIPOLAR 1 GOLPE</t>
  </si>
  <si>
    <t>04.01.02.02</t>
  </si>
  <si>
    <t>SALIDA PARA INTERRUPTOR UNIPOLAR 2 GOLPES</t>
  </si>
  <si>
    <t>04.01.02.03</t>
  </si>
  <si>
    <t>SALIDA PARA INTERRUPTOR UNIPOLAR 3 GOLPES</t>
  </si>
  <si>
    <t>04.01.02.04</t>
  </si>
  <si>
    <t>SALIDA PARA INTERRUPTOR CONMUTACIÓN DE 3 VÍAS, 1 GOLPE</t>
  </si>
  <si>
    <t>04.01.02.05</t>
  </si>
  <si>
    <t>SALIDA PARA INTERRUPTOR CONMUTACIÓN DE 3 VÍAS, 2 GOLPES</t>
  </si>
  <si>
    <t>04.01.03</t>
  </si>
  <si>
    <t>SALIDA PARA TOMACORRIENTES</t>
  </si>
  <si>
    <t>04.01.03.01</t>
  </si>
  <si>
    <t>SALIDA (T) PARA TOMACORRIENTES DOBLES C/PT - 3 EN LINEA</t>
  </si>
  <si>
    <t>04.01.03.03</t>
  </si>
  <si>
    <t>SALIDA (T) PARA TOMACORRIENTES DOBLES C/PT - 3 EN LINEA P/A</t>
  </si>
  <si>
    <t>04.01.03.04</t>
  </si>
  <si>
    <t>SALIDA PARA CAMPANA EXTRACTORA</t>
  </si>
  <si>
    <t>04.01.03.05</t>
  </si>
  <si>
    <t>SALIDA PARA CHISPERO COCINA</t>
  </si>
  <si>
    <t>04.01.04</t>
  </si>
  <si>
    <t>SALIDAS ESPECIALES</t>
  </si>
  <si>
    <t>04.01.04.01</t>
  </si>
  <si>
    <t>SALIDA DE FUERZA PARA JET FAN</t>
  </si>
  <si>
    <t>04.01.04.02</t>
  </si>
  <si>
    <t>SALIDA DE FUERZA PARA INYECTOR AXIAL</t>
  </si>
  <si>
    <t>04.01.04.03</t>
  </si>
  <si>
    <t>SALIDA DE FUERZA PARA EXTRACTOR AXIAL</t>
  </si>
  <si>
    <t>04.01.04.04</t>
  </si>
  <si>
    <t>SALIDA DE FUERZA PARA EXTRACTOR CENTRIFUGO</t>
  </si>
  <si>
    <t>04.01.04.05</t>
  </si>
  <si>
    <t>SALIDA DE FUERZA PARA INYECTOR CENTRÍFUGO</t>
  </si>
  <si>
    <t>04.01.04.06</t>
  </si>
  <si>
    <t>SALIDA PARA DETECTOR DE MONÓXIDO DE CARBONO</t>
  </si>
  <si>
    <t>04.01.04.08</t>
  </si>
  <si>
    <t>SALIDA PARA EXTRACTOR DE BAÑO</t>
  </si>
  <si>
    <t>04.01.04.09</t>
  </si>
  <si>
    <t>SALIDA PARA EXTRACTOR DE CTO LAVADO</t>
  </si>
  <si>
    <t>04.01.04.12</t>
  </si>
  <si>
    <t>SALIDA DE FUERZA PARA BOMBA DE AGUA</t>
  </si>
  <si>
    <t>04.01.04.14</t>
  </si>
  <si>
    <t>SALIDA DE FUERZA PARA BOMBA PTAG</t>
  </si>
  <si>
    <t>04.01.04.15</t>
  </si>
  <si>
    <t>SALIDA DE FUERZA PARA BOMBA HOMOGENIZACION</t>
  </si>
  <si>
    <t>04.01.04.16</t>
  </si>
  <si>
    <t>SALIDA DE FUERZA PARA BOMBA SBR</t>
  </si>
  <si>
    <t>04.01.04.17</t>
  </si>
  <si>
    <t>SALIDA DE FUERZA PARA BOMBA SUMIDERO</t>
  </si>
  <si>
    <t>04.01.04.19</t>
  </si>
  <si>
    <t>SALIDA DE FUERZA PARA BOMBA JOCKEY</t>
  </si>
  <si>
    <t>04.01.04.20</t>
  </si>
  <si>
    <t>SALIDA FUERZA BOMBA AGUA ACI</t>
  </si>
  <si>
    <t>04.01.04.21</t>
  </si>
  <si>
    <t>SALIDA PARA CONTROL DE NIVEL</t>
  </si>
  <si>
    <t>04.01.04.23</t>
  </si>
  <si>
    <t>SALIDA PARA PUERTA INGRESO VEHICULAL</t>
  </si>
  <si>
    <t>04.01.04.24</t>
  </si>
  <si>
    <t>SALIDA PARA GRUPO ELECTROGENO</t>
  </si>
  <si>
    <t>04.01.04.25</t>
  </si>
  <si>
    <t>SALIDA PARA CARGADOR BATERIA GE</t>
  </si>
  <si>
    <t>04.01.04.26</t>
  </si>
  <si>
    <t>SALIDA PARA CALENTADOR MOTOR GE</t>
  </si>
  <si>
    <t>04.01.04.27</t>
  </si>
  <si>
    <t>SALIDA PARA RESISTENCIA DESHUMECEDORA GE</t>
  </si>
  <si>
    <t>04.01.04.28</t>
  </si>
  <si>
    <t>SALIDA PARA BOMBA COMBUSTIBLE GE</t>
  </si>
  <si>
    <t>04.01.04.29</t>
  </si>
  <si>
    <t>SALIDA PARA ASCENSOR</t>
  </si>
  <si>
    <t>04.01.04.30</t>
  </si>
  <si>
    <t>SALIDA PARA ELEVADOR DISCAPACITADOS</t>
  </si>
  <si>
    <t>04.01.04.32</t>
  </si>
  <si>
    <t>SALIDA PARA LAVASECA</t>
  </si>
  <si>
    <t>04.01.04.34</t>
  </si>
  <si>
    <t>SALIDA PARA CACI</t>
  </si>
  <si>
    <t>04.01.04.35</t>
  </si>
  <si>
    <t>SALIDA PARA CCCTV</t>
  </si>
  <si>
    <t>04.01.04.36</t>
  </si>
  <si>
    <t>SALIDA PARA CENTRAL DE ALARMAS</t>
  </si>
  <si>
    <t>04.01.04.37</t>
  </si>
  <si>
    <t>SALIDA PARA CENTRAL DE INTERCOMUNICADOR</t>
  </si>
  <si>
    <t>04.01.04.38</t>
  </si>
  <si>
    <t>SALIDA PARA CHAPA ELECTRICA</t>
  </si>
  <si>
    <t>04.01.04.39</t>
  </si>
  <si>
    <t>SALIDA PARA PULSADOR TIMBRE</t>
  </si>
  <si>
    <t>04.01.04.40</t>
  </si>
  <si>
    <t>SALIDA PARA ZUMBADOR</t>
  </si>
  <si>
    <t>04.01.04.41</t>
  </si>
  <si>
    <t>SALIDA PARA CALENTADOR ELECTRICO</t>
  </si>
  <si>
    <t>04.01.04.42</t>
  </si>
  <si>
    <t>SALIDA PARA BOTONERA</t>
  </si>
  <si>
    <t>04.01.04.44</t>
  </si>
  <si>
    <t>SALIDA PARA SENSOR DE MOVIMIENTO</t>
  </si>
  <si>
    <t>04.02</t>
  </si>
  <si>
    <t>ALIMENTADORES Y DUCTERIA</t>
  </si>
  <si>
    <t>04.02.01</t>
  </si>
  <si>
    <t>ALIMENTADORES</t>
  </si>
  <si>
    <t>Cables Alimentadores</t>
  </si>
  <si>
    <t>04.02.01.01</t>
  </si>
  <si>
    <t>BM - DPTOS: 3-1x6mm2(2F) + 1x10mm2(T) TW - 25mm∅ PVC-P (A)</t>
  </si>
  <si>
    <t>04.02.01.02</t>
  </si>
  <si>
    <t>BM - DPTOS: 3-1x10mm2(2F) + 1x10mm2(T) TW - 35mm∅ PVC-P (B)</t>
  </si>
  <si>
    <t>04.02.01.03</t>
  </si>
  <si>
    <t>BM - DPTOS: 3-1x16mm2(2F) + 1x10mm2(T) TW - 35mm∅ PVC-P (C)</t>
  </si>
  <si>
    <t>04.02.01.04</t>
  </si>
  <si>
    <t>BM - DPTOS: 3-1x25mm2(2F) + 1x16mm2(T) TW - 45mm∅ PVC-P (C)</t>
  </si>
  <si>
    <t>04.02.01.05</t>
  </si>
  <si>
    <t>BM - T-SG: LSOHX 2(3-1x150mm²) CONDUIT-EMT 100mmφ</t>
  </si>
  <si>
    <t>04.02.01.06</t>
  </si>
  <si>
    <t>BM - T-SG2: LS0HX 3-1x16mm2 + LS0H 1Tx10mm2 CONDUIT-EMT/PVC-P 35mm∅</t>
  </si>
  <si>
    <t>04.02.01.07</t>
  </si>
  <si>
    <t>BM - TF-BACI: LS0HX 3-1x240mm2  CONDUIT-EMT/PVC-P 100mm∅</t>
  </si>
  <si>
    <t>04.02.01.08</t>
  </si>
  <si>
    <t>BM - T-LC1: LS0HX 3-1x16mm2  CONDUIT-EMT/PVC-P 35mm∅</t>
  </si>
  <si>
    <t>04.02.01.09</t>
  </si>
  <si>
    <t>BM - T-LC2: LS0HX 3-1x16mm2  CONDUIT-EMT/PVC-P 35mm∅</t>
  </si>
  <si>
    <t>04.02.01.10</t>
  </si>
  <si>
    <t>T-SG - T-REC: LSOHX 3-1x+6mm2 + LSOH 1Tx6mm2 PVC-P/CONDUIT-EMT 20mmφ</t>
  </si>
  <si>
    <t>04.02.01.11</t>
  </si>
  <si>
    <t>T-SG - T-S1: LSOHX 3-1x+6mm2 + LSOH 1Tx6mm2 PVC-P/CONDUIT-EMT 20mmφ</t>
  </si>
  <si>
    <t>04.02.01.12</t>
  </si>
  <si>
    <t>T-SG - T-S2: LSOHX 3-1x+6mm2 + LSOH 1Tx6mm2 PVC-P/CONDUIT-EMT 20mmφ</t>
  </si>
  <si>
    <t>04.02.01.13</t>
  </si>
  <si>
    <t>T-SG - T-S3: LSOHX 3-1x+6mm2 + LSOH 1Tx6mm2 PVC-P/CONDUIT-EMT 20mmφ</t>
  </si>
  <si>
    <t>04.02.01.14</t>
  </si>
  <si>
    <t>T-SG - T-S4: LSOHX 3-1x+10mm2 + LSOH 1Tx6mm2 PVC-P/CONDUIT-EMT 25mmφ</t>
  </si>
  <si>
    <t>04.02.01.15</t>
  </si>
  <si>
    <t>T-SG - T-S5: LSOHX 3-1x+10mm2 + LSOH 1Tx6mm2 PVC-P/CONDUIT-EMT 25mmφ</t>
  </si>
  <si>
    <t>04.02.01.16</t>
  </si>
  <si>
    <t>T-SG - T-S6: LSOHX 3-1x+10mm2 + LSOH 1Tx6mm2 PVC-P/CONDUIT-EMT 25mmφ</t>
  </si>
  <si>
    <t>04.02.01.17</t>
  </si>
  <si>
    <t>T-SG - T-AZ: LSOHX 3-1x35mm2 + LSOH 1Tx10mm2 CONDUIT-EMT 40mmφ</t>
  </si>
  <si>
    <t>04.02.01.18</t>
  </si>
  <si>
    <t>T-SG - TF-ASC: LSOHX 3-1x50mm2  CONDUIT-EMT 65mmφ</t>
  </si>
  <si>
    <t>04.02.01.19</t>
  </si>
  <si>
    <t>T-SG - TTA-VVPE: LSOHX 3-1x25mm2 + LSOH 1Tx10mm2 PVC-P/CONDUIT-EMT 35mmφ</t>
  </si>
  <si>
    <t>04.02.01.20</t>
  </si>
  <si>
    <t>T-SG - T-SE: LSOHX 3-1x10mm2 + LSOH 1Tx4mm2 PVC-P/CONDUIT-EMT 25mmφ</t>
  </si>
  <si>
    <t>04.02.01.21</t>
  </si>
  <si>
    <t>T-SG - TF-CB: LSOHX 3-1x95mm2 + LSOH 1Tx16mm2 CONDUIT-EMT 80mmφ</t>
  </si>
  <si>
    <t>04.02.01.22</t>
  </si>
  <si>
    <t>T-SG - T-PTAG: LSOHX 3-1x6mm2 + LSOH 1Tx4mm2 PVC-P/CONDUIT-EMT 20mmφ</t>
  </si>
  <si>
    <t>04.02.01.23</t>
  </si>
  <si>
    <t>TTA-VVPE - TC-VVPE: LSOHX 3-1x10mm2 + LSOH 1Tx6mm2 PVC-P/CONDUIT-EMT 25mm∅</t>
  </si>
  <si>
    <t>04.02.01.24</t>
  </si>
  <si>
    <t>T-GE -TTA-VVPE: 3-1x16mm2(3F) + 1x10mm2(T) TW - 35mm∅ PVC-P</t>
  </si>
  <si>
    <t>04.02.01.25</t>
  </si>
  <si>
    <t>T-S1 - TC-EM1: LSOHX 3-1x4mm² + LSOH 1Tx4mm² PVC-P/CONDUIT-EMT 20mm∅</t>
  </si>
  <si>
    <t>04.02.01.26</t>
  </si>
  <si>
    <t>T-S1 - TC-CA3: LSOHX 2-1x4mm² + LSOH 1Tx4mm² PVC-P/CONDUIT-EMT 20mm∅</t>
  </si>
  <si>
    <t>04.02.01.27</t>
  </si>
  <si>
    <t>T-S2 - TC-EM2: LSOHX 3-1x4mm² + LSOH 1Tx4mm² PVC-P/CONDUIT-EMT 20mm∅</t>
  </si>
  <si>
    <t>04.02.01.28</t>
  </si>
  <si>
    <t>T-S3 - TC-EM3: LSOHX 3-1x4mm² + LSOH 1Tx4mm² PVC-P/CONDUIT-EMT 20mm∅</t>
  </si>
  <si>
    <t>04.02.01.29</t>
  </si>
  <si>
    <t>T-S4 - TC-EM4: LSOHX 3-1x4mm² + LSOH 1Tx4mm² PVC-P/CONDUIT-EMT 20mm∅</t>
  </si>
  <si>
    <t>04.02.01.30</t>
  </si>
  <si>
    <t>T-S5 - TC-EM5: LSOHX 3-1x4mm² + LSOH 1Tx4mm² PVC-P/CONDUIT-EMT 20mm∅</t>
  </si>
  <si>
    <t>04.02.01.31</t>
  </si>
  <si>
    <t>T-S6 - TC-EM6: LSOHX 3-1x4mm² + LSOH 1Tx4mm² PVC-P/CONDUIT-EMT 20mm∅</t>
  </si>
  <si>
    <t>04.02.01.32</t>
  </si>
  <si>
    <t>T-AZ - T-GYM: LSOHX 3-1x10mm² + LSOH 1Tx4mm² PVC-P/CONDUIT-EMT 25mm∅</t>
  </si>
  <si>
    <t>04.02.01.33</t>
  </si>
  <si>
    <t>T-AZ - T-SUM: LSOHX 3-1x25mm² + LSOH 1Tx6mm² PVC-P/CONDUIT-EMT 35mm∅</t>
  </si>
  <si>
    <t>04.02.01.34</t>
  </si>
  <si>
    <t>T-AZ - T-PIS: LSOHX 3-1x10mm² + LSOH 1Tx4mm² PVC-P/CONDUIT-EMT 25mm∅</t>
  </si>
  <si>
    <t>04.02.01.35</t>
  </si>
  <si>
    <t>T-AZ - TC-VSSHH: LSOHX 3-1x10mm² + LSOH 1Tx6mm² PVC-P/CONDUIT-EMT 20mm∅</t>
  </si>
  <si>
    <t>04.02.01.36</t>
  </si>
  <si>
    <t>T-AZ - TC-PA: LSOHX 3-1x4mm² + LSOH 1Tx4mm² PVC-P/CONDUIT-EMT 20mm∅</t>
  </si>
  <si>
    <t>04.02.01.37</t>
  </si>
  <si>
    <t>TF-ASC - TC-ASC1: LSOHX 3-1x10mm² + LSOH 1Tx6mm² PVC-P/CONDUIT-EMT 25mm</t>
  </si>
  <si>
    <t>04.02.01.38</t>
  </si>
  <si>
    <t>TF-ASC - TC-ASC2: LSOHX 3-1x10mm² + LSOH 1Tx6mm² PVC-P/CONDUIT-EMT 25mm</t>
  </si>
  <si>
    <t>04.02.01.39</t>
  </si>
  <si>
    <t xml:space="preserve">TF-CB - TC-BA: LSOHX 3-1x35mm2 + LSOH 1Tx16mm2 PVC-P 40mm∅ </t>
  </si>
  <si>
    <t>04.02.01.40</t>
  </si>
  <si>
    <t xml:space="preserve">TF-CB - TC-BS: LSOHX 3-1x10mm2 + LSOH 1Tx4mm2 PVC-P 25mm∅ </t>
  </si>
  <si>
    <t>04.02.01.41</t>
  </si>
  <si>
    <t xml:space="preserve">TF-CB - TC-BAT: LSOHX 3-1x10mm2 + LSOH 1Tx16mm2 PVC-P 25mm∅ </t>
  </si>
  <si>
    <t>04.02.01.42</t>
  </si>
  <si>
    <t xml:space="preserve">TF-CB - TC-VCB: LSOHX 3-1x6mm2 + LSOH 1Tx4mm2 PVC-P 20mm∅ </t>
  </si>
  <si>
    <t>04.02.01.43</t>
  </si>
  <si>
    <t xml:space="preserve">T-LC1 - TC-VLC1: LSOHX 3-1x4mm2 + LSOH 1Tx4mm2 CONDUIT-EMT 20mm∅ </t>
  </si>
  <si>
    <t>04.02.01.44</t>
  </si>
  <si>
    <t xml:space="preserve">T-LC2 - TC-VLC2: LSOHX 3-1x4mm2 + LSOH 1Tx4mm2 CONDUIT-EMT 20mm∅ </t>
  </si>
  <si>
    <t>04.02.01.45</t>
  </si>
  <si>
    <t>TF-BACI - TC-BACI: LS0HX 3-1x240mm2  CONDUIT-EMT/PVC-P 100mm∅</t>
  </si>
  <si>
    <t>04.02.01.46</t>
  </si>
  <si>
    <t xml:space="preserve">TF-BACI - TC-BJ: LSOHX 3-1x4mm2 + LSOH 1Tx4mm2 PVC-P 20mm∅ </t>
  </si>
  <si>
    <t>04.02.01.47</t>
  </si>
  <si>
    <t>MONTANTES DE ALUMBRADO: 2-1x2.5+1x2,5/Tmm2TW-20mm∅PVC-P</t>
  </si>
  <si>
    <t>04.02.01.48</t>
  </si>
  <si>
    <t>MONTANTES DE ALUMBRADO EMERGENCIA: 2-1x2.5+1x2,5/Tmm2TW-20mm∅PVC-P</t>
  </si>
  <si>
    <t>04.02.01.49</t>
  </si>
  <si>
    <t>MONTANTES DE TOMACORRIENTES: 2-1x4+1x2.5/Tmm2TW-20mm∅PVC-P</t>
  </si>
  <si>
    <t>ALIMENTADORES (CABLEADO) NRGRO</t>
  </si>
  <si>
    <t xml:space="preserve">Cable LSOHX 1X150)mm2 </t>
  </si>
  <si>
    <t xml:space="preserve">Cable LSOHX 1X120mm2 </t>
  </si>
  <si>
    <t xml:space="preserve">Cable LSOHX 1X95mm2 </t>
  </si>
  <si>
    <t xml:space="preserve">Cable LSOHX 1X50mm2 </t>
  </si>
  <si>
    <t xml:space="preserve">Cable LSOHX 1X35mm2 </t>
  </si>
  <si>
    <t xml:space="preserve">Cable LSOHX 1X25mm2 </t>
  </si>
  <si>
    <t xml:space="preserve">Cable LSOHX 1X16mm2 </t>
  </si>
  <si>
    <t xml:space="preserve">Cable LSOHX 1X10mm2 </t>
  </si>
  <si>
    <t xml:space="preserve">Cable LSOH 1X6mm2 </t>
  </si>
  <si>
    <t xml:space="preserve">Cable LSOH 1X4mm2 </t>
  </si>
  <si>
    <t>Cable LSOH 1x2.5mm2</t>
  </si>
  <si>
    <t>04.02.02</t>
  </si>
  <si>
    <t>DUCTERIAS Y BANDEJAS</t>
  </si>
  <si>
    <t>04.02.02.01</t>
  </si>
  <si>
    <t>TUBERIA PVC-P 20MM</t>
  </si>
  <si>
    <t>04.02.02.02</t>
  </si>
  <si>
    <t>TUBERIA PVC-P 25MM</t>
  </si>
  <si>
    <t>04.02.02.03</t>
  </si>
  <si>
    <t>TUBERIA PVC-P 35MM</t>
  </si>
  <si>
    <t>04.02.02.04</t>
  </si>
  <si>
    <t>TUBERIA PVC-P 40MM</t>
  </si>
  <si>
    <t>04.02.02.05</t>
  </si>
  <si>
    <t>TUBERIA PVC-P 45MM</t>
  </si>
  <si>
    <t>04.02.02.09</t>
  </si>
  <si>
    <t>TUBERIA PVC-P 100MM</t>
  </si>
  <si>
    <t>04.02.02.10</t>
  </si>
  <si>
    <t>TUBERIA CONDUIT 20MM</t>
  </si>
  <si>
    <t>04.02.02.11</t>
  </si>
  <si>
    <t>TUBERIA CONDUIT 25MM</t>
  </si>
  <si>
    <t>04.02.02.12</t>
  </si>
  <si>
    <t>TUBERIA CONDUIT 35MM</t>
  </si>
  <si>
    <t>04.02.02.13</t>
  </si>
  <si>
    <t>TUBERIA CONDUIT 40MM</t>
  </si>
  <si>
    <t>04.02.02.15</t>
  </si>
  <si>
    <t>TUBERIA CONDUIT 65MM</t>
  </si>
  <si>
    <t>04.02.02.16</t>
  </si>
  <si>
    <t>TUBERIA CONDUIT 80MM</t>
  </si>
  <si>
    <t>04.02.02.17</t>
  </si>
  <si>
    <t>TUBERIA CONDUIT 100MM</t>
  </si>
  <si>
    <t>UNIONES    CONDUIT EMT - 20mm</t>
  </si>
  <si>
    <t>UNIONES   CONDUIT EMT - 25mm</t>
  </si>
  <si>
    <t>UNIONES    CONDUIT EMT - 35mm</t>
  </si>
  <si>
    <t>UNIONES   CONDUIT EMT - 40mm</t>
  </si>
  <si>
    <t>UNIONES   CONDUIT EMT - 50mm</t>
  </si>
  <si>
    <t>UNIONES   CONDUIT EMT - 80mm</t>
  </si>
  <si>
    <t>UNIONES   CONDUIT EMT - 100mm</t>
  </si>
  <si>
    <t>CONECTOR  CONDUIT EMT - 20mm</t>
  </si>
  <si>
    <t>CONECTOR  CONDUIT EMT - 25mm</t>
  </si>
  <si>
    <t>CONECTOR    CONDUIT EMT - 35mm</t>
  </si>
  <si>
    <t>CONECTOR   CONDUIT EMT - 40mm</t>
  </si>
  <si>
    <t>CONECTOR   CONDUIT EMT - 50mm</t>
  </si>
  <si>
    <t>CONECTOR   CONDUIT EMT - 80mm</t>
  </si>
  <si>
    <t>CONECTOR   CONDUIT EMT - 100mm</t>
  </si>
  <si>
    <t>04.02.02.18</t>
  </si>
  <si>
    <t>BANDEJA METALICA 250x100</t>
  </si>
  <si>
    <t>04.02.02.19</t>
  </si>
  <si>
    <t>BANDEJA METALICA 500x100</t>
  </si>
  <si>
    <t>04.02.02.20</t>
  </si>
  <si>
    <t>BANDEJA METALICA 600x100</t>
  </si>
  <si>
    <t>04.02.02.21</t>
  </si>
  <si>
    <t>BANDEJA METALICA 650x100</t>
  </si>
  <si>
    <t>04.02.02.22</t>
  </si>
  <si>
    <t>BANDEJA METALICA 950x100</t>
  </si>
  <si>
    <t>Curvas 90° De  Bandejas Ranuradas Porta Cables 950x100x2.40</t>
  </si>
  <si>
    <t>Curvas vertical De  Bandejas Ranuradas Porta Cables 950x100x2.40</t>
  </si>
  <si>
    <t>Curvas 90° De  Bandejas Ranuradas Porta Cables 650x100x2.40</t>
  </si>
  <si>
    <t>Curvas 90° De  Bandejas Ranuradas Porta Cables 600x100x2.40</t>
  </si>
  <si>
    <t>Curvas 90° De  Bandejas Ranuradas Porta Cables 500x100x2.40</t>
  </si>
  <si>
    <t>Curvas 90° De  Bandejas Ranuradas Porta Cables 250x100x2.40</t>
  </si>
  <si>
    <t>Curvas vertical De  Bandejas Ranuradas Porta Cables 250x100x2.40</t>
  </si>
  <si>
    <t>04.02.03</t>
  </si>
  <si>
    <t>CAJAS DE PASE</t>
  </si>
  <si>
    <t>04.02.03.01</t>
  </si>
  <si>
    <t>CAJA DE 100 X 100 X 55 mm FºGº</t>
  </si>
  <si>
    <t>04.02.03.02</t>
  </si>
  <si>
    <t>CAJA DE 150 X 150 X 100 mm FºGº</t>
  </si>
  <si>
    <t>04.02.03.03</t>
  </si>
  <si>
    <t>CAJA DE 200 X 200 X 100 mm FºGº</t>
  </si>
  <si>
    <t>04.02.03.06</t>
  </si>
  <si>
    <t>CAJA DE 350 X 350 X 100 mm FºGº</t>
  </si>
  <si>
    <t>04.02.03.07</t>
  </si>
  <si>
    <t>CAJA DE 400 X 400 X 200 mm FºGº</t>
  </si>
  <si>
    <t>04.02.03.18</t>
  </si>
  <si>
    <t>CAJA ESTÁNDAR OCTOGONAL</t>
  </si>
  <si>
    <t>04.03</t>
  </si>
  <si>
    <t>TABLEROS Y PLACAS ELECTRICAS</t>
  </si>
  <si>
    <t>04.03.01</t>
  </si>
  <si>
    <t>TABLEROS ELECTRICOS</t>
  </si>
  <si>
    <t>Tableros Electricos</t>
  </si>
  <si>
    <t>04.03.01.01</t>
  </si>
  <si>
    <t>TABLERO T-SG</t>
  </si>
  <si>
    <t>04.03.01.02</t>
  </si>
  <si>
    <t>TABLERO T-SG2</t>
  </si>
  <si>
    <t>04.03.01.03</t>
  </si>
  <si>
    <t>TABLERO T-REC</t>
  </si>
  <si>
    <t>04.03.01.04</t>
  </si>
  <si>
    <t>TABLERO T-S1</t>
  </si>
  <si>
    <t>04.03.01.05</t>
  </si>
  <si>
    <t>TABLERO T-S2</t>
  </si>
  <si>
    <t>04.03.01.06</t>
  </si>
  <si>
    <t>TABLERO T-S3</t>
  </si>
  <si>
    <t>04.03.01.07</t>
  </si>
  <si>
    <t>TABLERO T-S4</t>
  </si>
  <si>
    <t>04.03.01.08</t>
  </si>
  <si>
    <t>TABLERO T-S5</t>
  </si>
  <si>
    <t>04.03.01.09</t>
  </si>
  <si>
    <t>TABLERO T-S6</t>
  </si>
  <si>
    <t>04.03.01.10</t>
  </si>
  <si>
    <t>TABLERO T-AZ</t>
  </si>
  <si>
    <t>04.03.01.11</t>
  </si>
  <si>
    <t>TABLERO T-GYM</t>
  </si>
  <si>
    <t>04.03.01.12</t>
  </si>
  <si>
    <t>TABLERO T-SUM</t>
  </si>
  <si>
    <t>04.03.01.13</t>
  </si>
  <si>
    <t>TABLERO TC-VSSHH</t>
  </si>
  <si>
    <t>04.03.01.14</t>
  </si>
  <si>
    <t>TABLERO TF-ASC</t>
  </si>
  <si>
    <t>04.03.01.15</t>
  </si>
  <si>
    <t>TABLERO TTA-VVPE</t>
  </si>
  <si>
    <t>04.03.01.16</t>
  </si>
  <si>
    <t>TABLERO T-SE</t>
  </si>
  <si>
    <t>04.03.01.17</t>
  </si>
  <si>
    <t>TABLERO TF-CB</t>
  </si>
  <si>
    <t>04.03.01.18</t>
  </si>
  <si>
    <t>TABLERO T-LC1</t>
  </si>
  <si>
    <t>04.03.01.19</t>
  </si>
  <si>
    <t>TABLERO T-LC2</t>
  </si>
  <si>
    <t>04.03.01.20</t>
  </si>
  <si>
    <t>TABLERO T-GE</t>
  </si>
  <si>
    <t>04.03.01.21</t>
  </si>
  <si>
    <t>TABLERO TF-BACI</t>
  </si>
  <si>
    <t>04.03.01.22</t>
  </si>
  <si>
    <t>TABLERO DE DISTRIBUCIÓN TD-1</t>
  </si>
  <si>
    <t>TABLERO DE DISTRIBUCIÓN TD-2</t>
  </si>
  <si>
    <t>04.03.02</t>
  </si>
  <si>
    <t>PLACAS DE INTERRUPTORES Y TOMACORRIENTES</t>
  </si>
  <si>
    <t>IIEE, Voz y Data en Acabados</t>
  </si>
  <si>
    <t>04.03.02.01</t>
  </si>
  <si>
    <t>INTERRUPTOR UNIPOLAR 1 GOLPE-BTICINO MODUS 4</t>
  </si>
  <si>
    <t>04.03.02.02</t>
  </si>
  <si>
    <t>INTERRUPTOR UNIPOLAR 2 GOLPES-BTICINO MODUS 4</t>
  </si>
  <si>
    <t>04.03.02.03</t>
  </si>
  <si>
    <t>INTERRUPTOR UNIPOLAR 3 GOLPES-BTICINO MODUS 4</t>
  </si>
  <si>
    <t>04.03.02.04</t>
  </si>
  <si>
    <t>INTERRUPTOR 1 GOLPE ( CONMUTACION)-BTICINO MODUS 4</t>
  </si>
  <si>
    <t>04.03.02.05</t>
  </si>
  <si>
    <t>INTERRUPTOR 2 GOLPE (SIMPLE + CONMUTACION) -BTICINO MODUS 4</t>
  </si>
  <si>
    <t>04.03.02.06</t>
  </si>
  <si>
    <t>TOMACORRIENTES DOBLES - 3 EN LINEA -BTICINO MODUS 4</t>
  </si>
  <si>
    <t>04.03.02.08</t>
  </si>
  <si>
    <t>TOMACORRIENTES DOBLES - 3 EN LINEA P/A -BTICINO MODUS 4</t>
  </si>
  <si>
    <t>04.03.02.09</t>
  </si>
  <si>
    <t>TAPAS CIEGAS EN TOMAS COAXIALES, TELEFONO Y COMUNICACIONES</t>
  </si>
  <si>
    <t>04.03.02.10</t>
  </si>
  <si>
    <t>PULSADOR TIMBRE</t>
  </si>
  <si>
    <t>04.03.02.11</t>
  </si>
  <si>
    <t>ZUMBADOR</t>
  </si>
  <si>
    <t>04.03.02.12</t>
  </si>
  <si>
    <t>INSTALACION DE PLACAS</t>
  </si>
  <si>
    <t>04.04</t>
  </si>
  <si>
    <t>SISTEMA DE PUESTA A TIERRA Y PRUEBAS</t>
  </si>
  <si>
    <t>04.04.01</t>
  </si>
  <si>
    <t>CONDUCTOR DE PUESTA A TIERRA</t>
  </si>
  <si>
    <t>04.04.01.01</t>
  </si>
  <si>
    <t>1X95MM2 LSOH 80 -40mm PVC-P</t>
  </si>
  <si>
    <t>04.04.01.02</t>
  </si>
  <si>
    <t>1X70MM2 LSOH 80 -35mm PVC-P</t>
  </si>
  <si>
    <t>04.04.01.03</t>
  </si>
  <si>
    <t>1X95MM2 LSOH 80 -50mm CONDUIT</t>
  </si>
  <si>
    <t>04.04.01.04</t>
  </si>
  <si>
    <t>1X35MM2 LSOH 80 -20mm PVC-P</t>
  </si>
  <si>
    <t>04.04.01.05</t>
  </si>
  <si>
    <t>1X20MM2 LSOH 80 -20mm PVC-P</t>
  </si>
  <si>
    <t>04.04.01.06</t>
  </si>
  <si>
    <t>1X16MM2 LSOH 80 -20mm PVC-P</t>
  </si>
  <si>
    <t>04.04.01.07</t>
  </si>
  <si>
    <t>1X10MM2 LSOH 80 -20mm PVC-P</t>
  </si>
  <si>
    <t>04.04.01.08</t>
  </si>
  <si>
    <t>1x95/Tmm2 LSOH 80-DESNUDO</t>
  </si>
  <si>
    <t>ALIMENTADORES (CABLEADO) AMARILLO</t>
  </si>
  <si>
    <t xml:space="preserve">Cable  LSOH 1X95 mm2(T)DESNUDO </t>
  </si>
  <si>
    <t xml:space="preserve">Cable  LSOH 1X35 mm2(T)DESNUDO </t>
  </si>
  <si>
    <t>Cable  LSOH 1X95 mm2(T)</t>
  </si>
  <si>
    <t>Cable  LSOH 1X70 mm2(T)</t>
  </si>
  <si>
    <t>Cable  LSOH 1X35 mm2(T)</t>
  </si>
  <si>
    <t>Cable  LSOH 1X25 mm2(T)</t>
  </si>
  <si>
    <t>Cable  LSOH 1X16 mm2(T)</t>
  </si>
  <si>
    <t>Cable  LSOH 1X10 mm2(T)</t>
  </si>
  <si>
    <t>Cable  LSOH 1X 6 mm2(T)</t>
  </si>
  <si>
    <t>Cable  LSOH 1X 4 mm2(T)</t>
  </si>
  <si>
    <t>Cable  LSOH 1X 2.5 mm2(T)</t>
  </si>
  <si>
    <t>04.04.02</t>
  </si>
  <si>
    <t>POZOS A TIERRA</t>
  </si>
  <si>
    <t>04.04.02.01</t>
  </si>
  <si>
    <t>POZO A TIERRA DE PROTECCIÓN</t>
  </si>
  <si>
    <t>04.04.02.02</t>
  </si>
  <si>
    <t>POZO A TIERRA PARA ASCENSOR</t>
  </si>
  <si>
    <t>04.04.02.04</t>
  </si>
  <si>
    <t>CAJA CON BARRA EQUIPOTENCIAL</t>
  </si>
  <si>
    <t>04.04.02.05</t>
  </si>
  <si>
    <t>SOLDADURAS EXOTERMICAS</t>
  </si>
  <si>
    <t>04.04.03</t>
  </si>
  <si>
    <t>PRUEBAS ELECTRICAS</t>
  </si>
  <si>
    <t>04.04.03.01</t>
  </si>
  <si>
    <t>PRUEBAS ELECTRICAS X DPTO</t>
  </si>
  <si>
    <t>04.04.03.02</t>
  </si>
  <si>
    <t>PRUEBAS ELECTRICAS SISTEMA DE PUESTA A TIERRA</t>
  </si>
  <si>
    <t>04.04.03.03</t>
  </si>
  <si>
    <t>BANCO DE MEDIDORES</t>
  </si>
  <si>
    <t>04.05</t>
  </si>
  <si>
    <t>INSTALACIONES DE COMUNICACIONES</t>
  </si>
  <si>
    <t>04.05.01</t>
  </si>
  <si>
    <t>SALIDAS PARA COMUNICACIONES</t>
  </si>
  <si>
    <t>04.05.01.01</t>
  </si>
  <si>
    <t>SALIDA PARA TELEFONO</t>
  </si>
  <si>
    <t>04.05.01.02</t>
  </si>
  <si>
    <t>SALIDA PARA TV</t>
  </si>
  <si>
    <t>04.05.01.03</t>
  </si>
  <si>
    <t>SALIDA PARA INTERCOMUNICADOR</t>
  </si>
  <si>
    <t>04.05.01.04</t>
  </si>
  <si>
    <t>SALIDA PARA TELEFONO ASCENSOR</t>
  </si>
  <si>
    <t>04.05.01.05</t>
  </si>
  <si>
    <t>SALIDA PARA CENTRAL DE VIDEO PORTERO</t>
  </si>
  <si>
    <t>04.05.01.06</t>
  </si>
  <si>
    <t>SALIDA PARA ESTACION MANUAL</t>
  </si>
  <si>
    <t>04.05.01.07</t>
  </si>
  <si>
    <t>SALIDA PARA ALARMA TIPO CORNETA</t>
  </si>
  <si>
    <t>04.05.01.08</t>
  </si>
  <si>
    <t>SALIDA PARA SIRENA CON  LUZ ESTROBOSCOPICA</t>
  </si>
  <si>
    <t>04.05.01.09</t>
  </si>
  <si>
    <t>SALIDA PARA LUZ ESTROBOSCOPICA</t>
  </si>
  <si>
    <t>04.05.01.10</t>
  </si>
  <si>
    <t>SALIDA PARA DETECTOR DE HUMO</t>
  </si>
  <si>
    <t>04.05.01.11</t>
  </si>
  <si>
    <t>SALIDA PARA DETECTOR DE TEMPERATURA</t>
  </si>
  <si>
    <t>04.05.01.12</t>
  </si>
  <si>
    <t>SALIDA PARA DETECTOR ANIEGO</t>
  </si>
  <si>
    <t>04.05.01.13</t>
  </si>
  <si>
    <t>SALIDA PARA MODULO MONITOREO / DETECTOR DE FLUJO</t>
  </si>
  <si>
    <t>04.05.01.14</t>
  </si>
  <si>
    <t>SALIDA PARA TELEFONO BOMBEROS</t>
  </si>
  <si>
    <t>04.05.01.15</t>
  </si>
  <si>
    <t>SALIDA PARA MODULO INTERCONEXION DACI</t>
  </si>
  <si>
    <t>04.05.02</t>
  </si>
  <si>
    <t>04.05.02.01</t>
  </si>
  <si>
    <t>04.05.02.02</t>
  </si>
  <si>
    <t>04.05.02.04</t>
  </si>
  <si>
    <t>CAJA DE 350 X 350 X 200 mm FºGº</t>
  </si>
  <si>
    <t>04.05.02.05</t>
  </si>
  <si>
    <t>04.05.02.06</t>
  </si>
  <si>
    <t>CAJA DE 650 X 350 X 150 mm FºGº ( C)</t>
  </si>
  <si>
    <t>04.05.02.08</t>
  </si>
  <si>
    <t>CAJA DE 750 X 1100 X 150 mm FºGº  (E)</t>
  </si>
  <si>
    <t>04.05.02.09</t>
  </si>
  <si>
    <t>04.05.03</t>
  </si>
  <si>
    <t>04.05.03.01</t>
  </si>
  <si>
    <t>04.05.03.02</t>
  </si>
  <si>
    <t>04.05.03.03</t>
  </si>
  <si>
    <t>04.05.03.08</t>
  </si>
  <si>
    <t>04.05.03.09</t>
  </si>
  <si>
    <t>04.05.03.10</t>
  </si>
  <si>
    <t>TUBERIA CONDUIT 50MM</t>
  </si>
  <si>
    <t>04.05.03.11</t>
  </si>
  <si>
    <t>04.05.04</t>
  </si>
  <si>
    <t>TABLEROS DE CONTROL</t>
  </si>
  <si>
    <t>04.05.04.01</t>
  </si>
  <si>
    <t>TABLERO CACI</t>
  </si>
  <si>
    <t>04.05.05</t>
  </si>
  <si>
    <t>TUBERIA PARA SEÑAL TELEFONO</t>
  </si>
  <si>
    <t>04.05.05.01</t>
  </si>
  <si>
    <t>TUBERIA PVC 20MM</t>
  </si>
  <si>
    <t>04.05.06</t>
  </si>
  <si>
    <t>TUBERIA PARA SEÑAL TV</t>
  </si>
  <si>
    <t>04.05.06.01</t>
  </si>
  <si>
    <t>04.05.07</t>
  </si>
  <si>
    <t>TUBERIA PARA INTERCOMUNICADOR</t>
  </si>
  <si>
    <t>04.05.07.01</t>
  </si>
  <si>
    <t>04.05.08</t>
  </si>
  <si>
    <t>TUBERIA PARA SIST. DETECCION Y ACI</t>
  </si>
  <si>
    <t>04.05.08.01</t>
  </si>
  <si>
    <t>04.05.09</t>
  </si>
  <si>
    <t>OBRAS EXTERIORES</t>
  </si>
  <si>
    <t>04.05.09.01</t>
  </si>
  <si>
    <t>SALIDA PARA CCTV</t>
  </si>
  <si>
    <t>04.05.09.02</t>
  </si>
  <si>
    <t>SALIDA PARA ARTEFACTO RECEPTOR DE VIDEO PORTERO</t>
  </si>
  <si>
    <t>04.05.09.03</t>
  </si>
  <si>
    <t>05</t>
  </si>
  <si>
    <t>INSTALACIONES SANITARIAS</t>
  </si>
  <si>
    <t>05.01</t>
  </si>
  <si>
    <t>SISTEMA DE AGUA FRIA</t>
  </si>
  <si>
    <t>05.01.01</t>
  </si>
  <si>
    <t>SALIDAS DE AGUA FRIA</t>
  </si>
  <si>
    <t>IISS redes de agua y desague</t>
  </si>
  <si>
    <t>05.01.01.01</t>
  </si>
  <si>
    <t>SALIDA DE AGUA FRIA TUBERIA PVC C-10 1/2"</t>
  </si>
  <si>
    <t>05.01.01.02</t>
  </si>
  <si>
    <t>SALIDA DE AGUA FRIA TUBERIA PVC C-10 1/2" - AGUA TRATADA</t>
  </si>
  <si>
    <t>05.01.01.03</t>
  </si>
  <si>
    <t>SALIDA DE AGUA FRIA TUBERIA PVC C-10 3/4"</t>
  </si>
  <si>
    <t>05.01.02</t>
  </si>
  <si>
    <t>REDES DE DISTRIBUCIÓN</t>
  </si>
  <si>
    <t>05.01.02.01</t>
  </si>
  <si>
    <t>TUBERIA PVC C-10 1/2" A/F</t>
  </si>
  <si>
    <t>05.01.02.02</t>
  </si>
  <si>
    <t>TUBERIA PVC C-10 3/4" A/F</t>
  </si>
  <si>
    <t>05.01.02.03</t>
  </si>
  <si>
    <t>TUBERIA PVC C-10 1" A/F</t>
  </si>
  <si>
    <t>05.01.02.06</t>
  </si>
  <si>
    <t>TUBERIA PVC C-10 1/2" A/F - AGUA TRATADA</t>
  </si>
  <si>
    <t>05.01.02.07</t>
  </si>
  <si>
    <t>TUBERIA PVC C-10 3/4" A/F - AGUA TRATADA</t>
  </si>
  <si>
    <t>05.01.02.08</t>
  </si>
  <si>
    <t>TUBERIA PVC C-10 1" A/F - AGUA TRATADA</t>
  </si>
  <si>
    <t>05.01.03</t>
  </si>
  <si>
    <t>REDES DE ALIMENTACIÓN</t>
  </si>
  <si>
    <t>05.01.03.02</t>
  </si>
  <si>
    <t>ALIMENTADOR TUBERIA PVC C-10 3" A/F COLGADA</t>
  </si>
  <si>
    <t>05.01.03.03</t>
  </si>
  <si>
    <t>ALIMENTADOR TUBERIA PVC C-10 2.1/2" A/F COLGADA</t>
  </si>
  <si>
    <t>05.01.03.04</t>
  </si>
  <si>
    <t>ALIMENTADOR TUBERIA PVC C-10 2" A/F COLGADA</t>
  </si>
  <si>
    <t>05.01.03.05</t>
  </si>
  <si>
    <t>ALIMENTADOR TUBERIA PVC C-10 1.1/2" A/F COLGADA</t>
  </si>
  <si>
    <t>05.01.03.08</t>
  </si>
  <si>
    <t>ALIMENTADOR TUBERIA PVC C-10 3/4" A/F COLGADA</t>
  </si>
  <si>
    <t>05.01.03.11</t>
  </si>
  <si>
    <t>ALIMENTADOR TUBERIA PVC C-10 2" A/F COLGADA - AGUA TRATADA</t>
  </si>
  <si>
    <t>05.01.03.12</t>
  </si>
  <si>
    <t>ALIMENTADOR TUBERIA PVC C-10 1.1/2" A/F COLGADA - AGUA TRATADA</t>
  </si>
  <si>
    <t>05.01.03.14</t>
  </si>
  <si>
    <t>ALIMENTADOR TUBERIA PVC C-10 1" A/F COLGADA - AGUA TRATADA</t>
  </si>
  <si>
    <t>05.01.03.15</t>
  </si>
  <si>
    <t>ALIMENTADOR TUBERIA PVC C-10 3/4" A/F COLGADA - AGUA TRATADA</t>
  </si>
  <si>
    <t>05.01.04</t>
  </si>
  <si>
    <t>VALVULAS</t>
  </si>
  <si>
    <t>05.01.04.01</t>
  </si>
  <si>
    <t>VALVULA ESFERICA DE 1/2"</t>
  </si>
  <si>
    <t>05.01.04.02</t>
  </si>
  <si>
    <t>VALVULA ESFERICA DE 1/2" - AGUA TRATADA</t>
  </si>
  <si>
    <t>05.01.04.03</t>
  </si>
  <si>
    <t>VALVULA ESFERICA DE 3/4"</t>
  </si>
  <si>
    <t>05.01.04.04</t>
  </si>
  <si>
    <t>VALVULA ESFERICA DE 1"</t>
  </si>
  <si>
    <t>05.01.04.05</t>
  </si>
  <si>
    <t>VALVULA ESFERICA DE 1" - AGUA TRATADA</t>
  </si>
  <si>
    <t>05.01.04.11</t>
  </si>
  <si>
    <t>VALVULA ESFERICA DE 4"</t>
  </si>
  <si>
    <t>05.01.05</t>
  </si>
  <si>
    <t>MEDIDORES</t>
  </si>
  <si>
    <t>05.01.05.01</t>
  </si>
  <si>
    <t>MEDIDOR DE AGUA 3/4"</t>
  </si>
  <si>
    <t>05.01.06</t>
  </si>
  <si>
    <t>PRUEBAS</t>
  </si>
  <si>
    <t>05.01.06.01</t>
  </si>
  <si>
    <t>PRUEBA HIDRAULICA Y DESINFECCION</t>
  </si>
  <si>
    <t>05.02</t>
  </si>
  <si>
    <t>SISTEMA DE AGUA CALIENTE</t>
  </si>
  <si>
    <t>05.02.01</t>
  </si>
  <si>
    <t>SALIDAS DE AGUA CALIENTE</t>
  </si>
  <si>
    <t>05.02.01.01</t>
  </si>
  <si>
    <t>SALIDA AGUA CALIENTE TUBERIA CPVC1/2"</t>
  </si>
  <si>
    <t>05.02.01.02</t>
  </si>
  <si>
    <t>SALIDA AGUA CALIENTE TUBERIA CPVC 3/4"</t>
  </si>
  <si>
    <t>05.02.02</t>
  </si>
  <si>
    <t>05.02.02.01</t>
  </si>
  <si>
    <t>TUBERIA CPVC 1/2" A/C</t>
  </si>
  <si>
    <t>05.02.02.02</t>
  </si>
  <si>
    <t>TUBERIA CPVC 3/4" A/C</t>
  </si>
  <si>
    <t>05.02.03</t>
  </si>
  <si>
    <t>05.02.03.01</t>
  </si>
  <si>
    <t>VALVULA ESFERICA DE 1/2" A/C</t>
  </si>
  <si>
    <t>05.02.03.02</t>
  </si>
  <si>
    <t>VALVULA ESFERICA DE 3/4" A/C</t>
  </si>
  <si>
    <t>05.02.04</t>
  </si>
  <si>
    <t>05.02.04.01</t>
  </si>
  <si>
    <t>05.03</t>
  </si>
  <si>
    <t>SISTEMA DE DESAGUE Y VENTILACION</t>
  </si>
  <si>
    <t>05.03.01</t>
  </si>
  <si>
    <t>OBRAS PRELIMINARES</t>
  </si>
  <si>
    <t>05.03.01.01</t>
  </si>
  <si>
    <t>TRAZO Y REPLANTEO</t>
  </si>
  <si>
    <t>05.03.01.02</t>
  </si>
  <si>
    <t>EXCAVACION DE ZANJAS PARA TUBERIA</t>
  </si>
  <si>
    <t>05.03.01.03</t>
  </si>
  <si>
    <t>CAMA DE ARENA PARA APOYO DE TUBERIAS</t>
  </si>
  <si>
    <t>05.03.01.04</t>
  </si>
  <si>
    <t>RELLENO CON MATERIAL PROPIO COMPACTADO</t>
  </si>
  <si>
    <t>05.03.01.05</t>
  </si>
  <si>
    <t>ACARREO Y ELIMINACION DE MATERIAL EXCEDENTE</t>
  </si>
  <si>
    <t>05.03.02</t>
  </si>
  <si>
    <t>SALIDAS</t>
  </si>
  <si>
    <t>05.03.02.01</t>
  </si>
  <si>
    <t>SALIDA DESAGUE DE PVC 2"</t>
  </si>
  <si>
    <t>05.03.02.02</t>
  </si>
  <si>
    <t>SALIDA DESAGUE DE PVC 3"</t>
  </si>
  <si>
    <t>05.03.02.03</t>
  </si>
  <si>
    <t>SALIDA DESAGUE DE PVC 4"</t>
  </si>
  <si>
    <t>05.03.02.04</t>
  </si>
  <si>
    <t>SALIDA DESAGUE DE PVC 6"</t>
  </si>
  <si>
    <t>05.03.02.05</t>
  </si>
  <si>
    <t>SALIDA VENTILACION PVC 2"</t>
  </si>
  <si>
    <t>05.03.03</t>
  </si>
  <si>
    <t>REDES DE DERIVACIÓN</t>
  </si>
  <si>
    <t>05.03.03.01</t>
  </si>
  <si>
    <t>TUBERIA PVC 2" DESAGUE COLGADA</t>
  </si>
  <si>
    <t>05.03.03.02</t>
  </si>
  <si>
    <t>TUBERIA PVC 3" DESAGUE COLGADA</t>
  </si>
  <si>
    <t>05.03.03.03</t>
  </si>
  <si>
    <t>TUBERIA PVC 4" DESAGUE COLGADA</t>
  </si>
  <si>
    <t>05.03.03.04</t>
  </si>
  <si>
    <t>TUBERIA PVC 6" DESAGUE COLGADA</t>
  </si>
  <si>
    <t>05.03.03.05</t>
  </si>
  <si>
    <t xml:space="preserve">TUBERIA PVC 2" DESAGUE </t>
  </si>
  <si>
    <t>05.03.03.06</t>
  </si>
  <si>
    <t xml:space="preserve">TUBERIA PVC 3" DESAGUE </t>
  </si>
  <si>
    <t>05.03.03.07</t>
  </si>
  <si>
    <t xml:space="preserve">TUBERIA PVC 4" DESAGUE </t>
  </si>
  <si>
    <t>05.03.03.08</t>
  </si>
  <si>
    <t>TUBERIA PVC 6" DESAGUE</t>
  </si>
  <si>
    <t>05.03.04</t>
  </si>
  <si>
    <t>MONTANTE DESAGUE</t>
  </si>
  <si>
    <t>05.03.04.03</t>
  </si>
  <si>
    <t>05.03.04.05</t>
  </si>
  <si>
    <t>TUBERIA PVC-P IMPULSION 2.1/2" DESAGUE</t>
  </si>
  <si>
    <t>05.03.05</t>
  </si>
  <si>
    <t>ACCESORIOS</t>
  </si>
  <si>
    <t>05.03.05.01</t>
  </si>
  <si>
    <t>SUMIDERO DE BRONCE 2"</t>
  </si>
  <si>
    <t>SUMIDERO DECORATIVO ACERO INOX 2"</t>
  </si>
  <si>
    <t>05.03.05.02</t>
  </si>
  <si>
    <t>SUMIDERO DE BRONCE 2" TIPO REJILLAS EN JARDINERA</t>
  </si>
  <si>
    <t>05.03.05.05</t>
  </si>
  <si>
    <t>SUMIDERO DE BRONCE 3" TIPO REJILLAS EN SOTANO</t>
  </si>
  <si>
    <t>05.03.05.07</t>
  </si>
  <si>
    <t>SUMIDERO DE BRONCE 4"</t>
  </si>
  <si>
    <t>05.03.05.08</t>
  </si>
  <si>
    <t>SUMIDERO DE BRONCE 6"</t>
  </si>
  <si>
    <t>05.03.05.09</t>
  </si>
  <si>
    <t>REGISTRO DE BRONCE  2"</t>
  </si>
  <si>
    <t>05.03.05.11</t>
  </si>
  <si>
    <t>REGISTRO DE BRONCE  4"</t>
  </si>
  <si>
    <t>05.03.05.14</t>
  </si>
  <si>
    <t>REGISTRO DE BRONCE  3" COLGADO</t>
  </si>
  <si>
    <t>05.03.05.15</t>
  </si>
  <si>
    <t>REGISTRO DE BRONCE  4" COLGADO</t>
  </si>
  <si>
    <t>05.03.05.16</t>
  </si>
  <si>
    <t>REGISTRO DE BRONCE  6" COLGADO</t>
  </si>
  <si>
    <t>05.03.05.17</t>
  </si>
  <si>
    <t>VALVULA ANTIRETORNO 6"</t>
  </si>
  <si>
    <t>05.03.05.20</t>
  </si>
  <si>
    <t>SOMBRERO DE VENTILACION 4"</t>
  </si>
  <si>
    <t>05.03.06</t>
  </si>
  <si>
    <t>05.03.06.01</t>
  </si>
  <si>
    <t>PRUEBA HIDRAULICA DE DESAGUE</t>
  </si>
  <si>
    <t>05.04</t>
  </si>
  <si>
    <t>INSTALACION DE ARTEFACTOS Y OTROS</t>
  </si>
  <si>
    <t>05.04.01</t>
  </si>
  <si>
    <t>INSTALACION DE APARATOS Y GRIFERIAS</t>
  </si>
  <si>
    <t>05.04.01.01</t>
  </si>
  <si>
    <t>INSTALACIÓN DE APARATOS SANITARIOS</t>
  </si>
  <si>
    <t>05.04.01.02</t>
  </si>
  <si>
    <t>INSTALACIÓN DE GRIFERIAS</t>
  </si>
  <si>
    <t>05.04.02</t>
  </si>
  <si>
    <t>VARIOS</t>
  </si>
  <si>
    <t>05.04.02.01</t>
  </si>
  <si>
    <t>VALVULA DE AIRE 2"</t>
  </si>
  <si>
    <t>M.O CIERRE IISS</t>
  </si>
  <si>
    <t>05.04.02.04</t>
  </si>
  <si>
    <t>VALVULA FLOTADORA DE 1.1/2" INC. VALVULA ESFERICA</t>
  </si>
  <si>
    <t>05.04.02.06</t>
  </si>
  <si>
    <t>BRIDAS ROMPEAGUA</t>
  </si>
  <si>
    <t>05.04.02.07</t>
  </si>
  <si>
    <t>CAJAS DE REGISTRO DE DESAGUE 12" x 24"</t>
  </si>
  <si>
    <t>05.04.02.08</t>
  </si>
  <si>
    <t>PINTURA TUBERIAS</t>
  </si>
  <si>
    <t>06</t>
  </si>
  <si>
    <t>INSTALACIONES DE GAS</t>
  </si>
  <si>
    <t>Instalaciones de Gas</t>
  </si>
  <si>
    <t>06.01</t>
  </si>
  <si>
    <t xml:space="preserve">   II GAS DEPARTAMENTOS</t>
  </si>
  <si>
    <t>06.02</t>
  </si>
  <si>
    <t xml:space="preserve">   II GAS LOCALES COMERCIALES</t>
  </si>
  <si>
    <t>06.03</t>
  </si>
  <si>
    <t xml:space="preserve">   MONTANTE EXTERNA</t>
  </si>
  <si>
    <t>06.04</t>
  </si>
  <si>
    <t>CONEXIONES A PIE DE VEREDA</t>
  </si>
  <si>
    <t>07</t>
  </si>
  <si>
    <t>INSTALACIONES CONTRA INCENDIO</t>
  </si>
  <si>
    <t>A.C.I.</t>
  </si>
  <si>
    <t>07.01</t>
  </si>
  <si>
    <t xml:space="preserve">   EQUIPAMIENTO DEL SISTEMA CONTRAINCENDIO ELECTROBOMBA NORMADA</t>
  </si>
  <si>
    <t>07.02</t>
  </si>
  <si>
    <t xml:space="preserve">   INSTALACION DE SISTEMA CONTRAINCENDIO EN CUARTO DE MAQUINAS</t>
  </si>
  <si>
    <t>07.03</t>
  </si>
  <si>
    <t xml:space="preserve">   SUMINISTRO E INSTALACION DE REDES PARA GABINETES Y SIAMESA.</t>
  </si>
  <si>
    <t>07.04</t>
  </si>
  <si>
    <t xml:space="preserve">   SUMINISTRO E INSTALACION DE GABINETES CONTRAINCENDIO</t>
  </si>
  <si>
    <t>08</t>
  </si>
  <si>
    <t>INSTALACIONES ELECTROMECÁNICAS</t>
  </si>
  <si>
    <t>08.01</t>
  </si>
  <si>
    <t xml:space="preserve">   ASCENSORES</t>
  </si>
  <si>
    <t>Ascensores</t>
  </si>
  <si>
    <t>08.01.01</t>
  </si>
  <si>
    <t xml:space="preserve">          ASCENSORES</t>
  </si>
  <si>
    <t>08.01.02</t>
  </si>
  <si>
    <t>ALMACEN ASCENSOR</t>
  </si>
  <si>
    <t>08.01.03</t>
  </si>
  <si>
    <t>CERRAMIENTO DUCTO ASCENSOR</t>
  </si>
  <si>
    <t>08.01.04</t>
  </si>
  <si>
    <t>ENERGIA PROVISIONAL</t>
  </si>
  <si>
    <t>08.01.06</t>
  </si>
  <si>
    <t>REJILLA Y ESCALERA DE ACCESO AL PIT</t>
  </si>
  <si>
    <t>08.01.07</t>
  </si>
  <si>
    <t xml:space="preserve">          ASCENSORES DISCAPACITADOS</t>
  </si>
  <si>
    <t>08.02</t>
  </si>
  <si>
    <t xml:space="preserve">   SISTEMA DE PRESIÓN CONSTANTE, DESAGÜE, SUMIDERO CON TRITURADOR</t>
  </si>
  <si>
    <t>08.02.01</t>
  </si>
  <si>
    <t xml:space="preserve">          SISTEMA DE PRESIÓN CONSTANTE</t>
  </si>
  <si>
    <t>Bombas</t>
  </si>
  <si>
    <t>08.02.01.01</t>
  </si>
  <si>
    <t xml:space="preserve">                 SISTEMA DE PRESIÓN CONSTANTE</t>
  </si>
  <si>
    <t>08.02.01.02</t>
  </si>
  <si>
    <t xml:space="preserve">                 INSTALACIÓN DE SISTEMA DE PRESIÓN CONSTANTE</t>
  </si>
  <si>
    <t>08.02.02</t>
  </si>
  <si>
    <t xml:space="preserve">          SISTEMA DE DESAGÜE</t>
  </si>
  <si>
    <t>08.02.02.01</t>
  </si>
  <si>
    <t xml:space="preserve">                 SISTEMA DE DESAGÜE</t>
  </si>
  <si>
    <t>08.02.02.02</t>
  </si>
  <si>
    <t xml:space="preserve">                 ESTACION REDUCTORA DE PRESION DE 2 ½</t>
  </si>
  <si>
    <t>08.02.02.03</t>
  </si>
  <si>
    <t xml:space="preserve">                 INSTALACIÓN DE SISTEMA DE DESAGÜE</t>
  </si>
  <si>
    <t>08.02.03</t>
  </si>
  <si>
    <t xml:space="preserve">          SISTEMA DE SUMIDERO CON TRITURADOR</t>
  </si>
  <si>
    <t>08.02.03.01</t>
  </si>
  <si>
    <t xml:space="preserve">                 SISTEMA DE SUMIDERO CON TRITURADOR</t>
  </si>
  <si>
    <t>08.02.03.02</t>
  </si>
  <si>
    <t xml:space="preserve">                 INSTALACIÓN DE SISTEMA DE SUMIDERO CON TRITURADOR</t>
  </si>
  <si>
    <t>08.03</t>
  </si>
  <si>
    <t xml:space="preserve">   EQUIPAMIENTOS DE VENTILACIÓN</t>
  </si>
  <si>
    <t>08.03.01</t>
  </si>
  <si>
    <t xml:space="preserve">          SISTEMA DE EXTRACCIÓN DE MONÓXIDO DE CARBONO EN SÓTANOS</t>
  </si>
  <si>
    <t>08.03.01.01</t>
  </si>
  <si>
    <t xml:space="preserve">                 EQUIPOS SISTEMA DE EXTRACCIÓN DE MONÓXIDO DE CARBONO EN SÓTANOS</t>
  </si>
  <si>
    <t>Ventilación mecanica - sotanos</t>
  </si>
  <si>
    <t>08.03.01.01.01</t>
  </si>
  <si>
    <t>Suministro e Instalación Mecánica de un Equipo de Impulsión Tuboaxial Tipo JetFan. Marca: Aluminaire
Modelo: VI CP4000
Características: 4,100 CFM, 0.5” c.a., 0.75 HP.
Dardo de empuje: 42 m.
Velocidad de salida de aire: 28 m/s Empuje Axial: 43N.
Tensión: 3Ph/220V/60Hz.
Certificacion Bureau Veritas
Certification 300°C for 2 Hours,  Smoke Control.</t>
  </si>
  <si>
    <t>08.03.01.01.02</t>
  </si>
  <si>
    <t>Suministro e Instalación Mecánica de un Equipo de Inyección axial de simple entrada. Marca: Aluminaire
Modelo: BOX AD 660
Características: 3,100 CFM, 1.0” c.a., 0.5 HP.
Tensión: 3Ph/220V/60Hz.
Incluye rejilla de inyección con perforación acústica.</t>
  </si>
  <si>
    <t>08.03.01.01.03</t>
  </si>
  <si>
    <t>Suministro e Instalación Mecánica de un Equipo de Extracción axial de simple entrada. Marca: Aluminaire
Modelo: BOX AD 660
Características: 3,850 CFM, 1.0” c.a., 0.5 HP.
Tensión: 3Ph/220V/60Hz.
Incluye rejilla de extracción con perforación acústica.</t>
  </si>
  <si>
    <t>08.03.01.01.04</t>
  </si>
  <si>
    <t>Suministro e Instalación Mecánica de un Equipo de Extracción axial de simple entrada. Marca: Aluminaire
Modelo: BOX AD 660
Características: 3,100 CFM, 1.0” c.a., 0.5 HP.
Tensión: 3Ph/220V/60Hz.
Incluye rejilla de extracción con perforación acústica.</t>
  </si>
  <si>
    <t>08.03.01.01.05</t>
  </si>
  <si>
    <t>Suministro de un Detector de Monóxido marca Honeywell o Similar, modelo SF340F, 220 - 240 VAC.</t>
  </si>
  <si>
    <t>08.03.01.01.06</t>
  </si>
  <si>
    <t>Suministro de un Temporizador.</t>
  </si>
  <si>
    <t>08.03.01.01.07</t>
  </si>
  <si>
    <t>Suministro de un Transductor de Corriente.</t>
  </si>
  <si>
    <t>08.03.01.02</t>
  </si>
  <si>
    <t xml:space="preserve">                 INSTALACIÓN SISTEMA DE EXTRACCIÓN DE MONÓXIDO DE CARBONO EN SÓTANOS</t>
  </si>
  <si>
    <t>08.03.01.02.01</t>
  </si>
  <si>
    <t>Fabricación  e  Instalación  de  un  lote de  Ductos Metálicos  fabricados  con  planchas de fierro galvanizado de entre 0.6 y 0.8 mm. para la conexión de los equipos de extracción e    inyección    a    las    montantes    de    manposteria    existentes    en   el    sótano   de estacionamientos, para la expulsión de los gases e ingreso de aire fresco. La fabricación es de acuerdo a la normativa SMACNA. La montante de expulsión en manposteria  llega al nivel del último piso, y la montante de inyección de aire en manposteria llega al nivel del primer piso.</t>
  </si>
  <si>
    <t>08.03.01.02.02</t>
  </si>
  <si>
    <t>Fabricación  e  Instalación  de  las  rejillas   de  Descarga   de  Monóxido  de  106''x27'', fabricadas  con  planchas  de  fierro  galvanizado,  con  base  anticorrosiva  y  acabado  en esmalte sintético al horno.</t>
  </si>
  <si>
    <t>08.03.01.02.03</t>
  </si>
  <si>
    <t>Fabricación  e  Instalación  de  las  rejillas  de  Toma  de  aire  de  28''x70'',  fabricadas  con planchas de fierro galvanizado, con base anticorrosiva y acabado en esmalte sintético al horno.</t>
  </si>
  <si>
    <t>08.03.01.02.04</t>
  </si>
  <si>
    <t>Fabricación e Instalación de Filtro MERV 8 de 28”x70”</t>
  </si>
  <si>
    <t>08.03.01.02.05</t>
  </si>
  <si>
    <t>Fabricación e instalación de un dámper de gravedad de 25"x25"</t>
  </si>
  <si>
    <t>08.03.01.02.06</t>
  </si>
  <si>
    <t>Montaje, anclaje e instalación eléctrica de Equipos de impulsión Jetfan.</t>
  </si>
  <si>
    <t>08.03.01.02.07</t>
  </si>
  <si>
    <t>Montaje, anclaje e instalación eléctrica de Equipos de extracción axial.</t>
  </si>
  <si>
    <t>08.03.01.02.08</t>
  </si>
  <si>
    <t>Montaje, anclaje e instalación eléctrica de Equipos de inyección axial.</t>
  </si>
  <si>
    <t>08.03.01.02.09</t>
  </si>
  <si>
    <t>Suministro de Tableros eléctricos independientes, fabricados con plancha galvanizada de  1/16’’  de  espesor,  para  el  arranque  de  los  equipos  de  ventilación.  Incluye  Llave Térmica,     Interruptor     Termomagnetico,     Contactor     Magnetico,     Rele    Termico, transformador 220-24V,interruptor, protector térmico y selector MOA.
-Cableado e Interconexión entre el tablero, los equipos y los detectores de monóxido de carbono, empleando conductores NH80.</t>
  </si>
  <si>
    <t>08.03.02</t>
  </si>
  <si>
    <t xml:space="preserve">          SISTEMA DE VENTILACIÓN DE VESTÍBULOS PREVIOS Y ESCALERAS</t>
  </si>
  <si>
    <t>08.03.02.01</t>
  </si>
  <si>
    <t xml:space="preserve">                 EQUIPOS SISTEMA DE VENTILACIÓN DE VESTÍBULOS PREVIOS Y ESCALERAS</t>
  </si>
  <si>
    <t>Ventilación mecanica - escalera</t>
  </si>
  <si>
    <t>08.03.02.01.01</t>
  </si>
  <si>
    <t>Suministro e Instalación Mecánica de un Equipo de Inyección de presión positiva centrífugo con gabinete, para la inyección de aire en escaleras.
Marca: Aluminaire
Modelo: SYT 15/15
Características: 5,200 CFM, 1.5” c.a., 3.0 HP.
Tensión: 3Ph/220V/60Hz.
Certificacion AMCA</t>
  </si>
  <si>
    <t>08.03.02.01.02</t>
  </si>
  <si>
    <t>Suministro e Instalación Mecánica de un Equipo de Inyección centrífugo con gabinete. Marca: Aluminaire
Modelo: SYT 15/15
Características: 5,175 CFM, 0.8” c.a., 2.0 HP.
Tensión: 3Ph/220V/60Hz.
Certificacion AMCA</t>
  </si>
  <si>
    <t>08.03.02.01.03</t>
  </si>
  <si>
    <t>Suministro e Instalación Mecánica de un Equipo de Extracción centrífugo con gabinete. Marca: Aluminaire
Modelo: SYT 18/18
Características: 7,800 CFM, 0.6” c.a., 3.0 HP.
Tensión: 3Ph/220V/60Hz.
Certificacion AMCA</t>
  </si>
  <si>
    <t>08.03.02.01.04</t>
  </si>
  <si>
    <t>Suministro e Instalación Mecánica de un Equipo de Inyección axial de simple entrada con gabinete.
Marca: Aluminaire
Modelo: BOX AD 270
Características: 345 CFM, 0.2” c.a., 35 W.
Tensión: 1Ph/220V/60Hz.
Incluye rejilla de inyección con perforación acústica.</t>
  </si>
  <si>
    <t>08.03.02.01.05</t>
  </si>
  <si>
    <t>Suministro e Instalación Mecánica de un Equipo de Extracción axial de simple entrada con gabinete.
Marca: Aluminaire
Modelo: BOX AD 340
Características: 520 CFM, 0.2” c.a., 53 W.
Tensión: 1Ph/220V/60Hz.
Incluye rejilla de extracción con perforación acústica.</t>
  </si>
  <si>
    <t>08.03.02.01.06</t>
  </si>
  <si>
    <t>08.03.02.02</t>
  </si>
  <si>
    <t xml:space="preserve">                 INSTALACIÓN SISTEMA DE VENTILACIÓN DE VESTÍBULOS PREVIOS Y ESCALERAS</t>
  </si>
  <si>
    <t>08.03.02.02.01</t>
  </si>
  <si>
    <t>Fabricación  e  Instalación  de  un  lote  de  ductos  fabricados  con  planchas  de  fierro galvanizado de entre 0.6 y 0.8 mm. de espesor, para la conexión de cada equipo a la montante  de  ventilación  en  mamposteria  de  los  vestíbulos  previos  y  la  conexión del inyector centrífugo a la escalera de emergencia, de acuerdo a la normativa SMACNA. Se incluyen accesorios.</t>
  </si>
  <si>
    <t>08.03.02.02.02</t>
  </si>
  <si>
    <t>Fabricación  e  Instalación  de  las  rejillas  de  Inyección  de  18”x18”,  fabricadas  con planchas de fierro galvanizado, con base anticorrosiva y acabado en esmalte sintético al horno.</t>
  </si>
  <si>
    <t>08.03.02.02.03</t>
  </si>
  <si>
    <t>Fabricación e Instalación de las rejillas de Retorno de 18”x18”, fabricadas con planchas de fierro galvanizado, con base anticorrosiva y acabado en esmalte sintético al horno.</t>
  </si>
  <si>
    <t>08.03.02.02.04</t>
  </si>
  <si>
    <t>Fabricación e Instalación de Filtro de Malla de Aluminio de 16”x16”</t>
  </si>
  <si>
    <t>08.03.02.02.05</t>
  </si>
  <si>
    <t>Fabricación e Instalación de Filtro MERV 8 de 16”x16”</t>
  </si>
  <si>
    <t>08.03.02.02.06</t>
  </si>
  <si>
    <t>Fabricación e Instalación de Malla de Aluminio de 20”x20”</t>
  </si>
  <si>
    <t>08.03.02.02.07</t>
  </si>
  <si>
    <t>Fabricación e instalación de un dámper  de alivio de regulación por  sobrepresión tipo
Counter Balanced Backdraft de 18"x18" a ser colocado en las escaleras de emergencia.</t>
  </si>
  <si>
    <t>08.03.02.02.08</t>
  </si>
  <si>
    <t>Montaje, anclaje e instalación eléctrica de Equipos de ventilación centrífugo.</t>
  </si>
  <si>
    <t>08.03.02.02.09</t>
  </si>
  <si>
    <t>Montaje, anclaje e instalación eléctrica de Equipos de ventilación axial.</t>
  </si>
  <si>
    <t>08.03.02.02.10</t>
  </si>
  <si>
    <t>Suministro de Tablero eléctrico  independiente, fabricado  con plancha  galvanizada  de 1/16’’ de espesor, para el arranque controlado de cada equipo. Incluye Llave Térmica, Interruptor Termomagnetico, Contactor Magnetico, Rele Termico, transformador 220- 24V, interruptor y selector MOA.
-Conexión eléctrica entre el sistema de ACI y el tablero de arranque del equipo, para el encendido en caso de emergencia.</t>
  </si>
  <si>
    <t>08.03.03</t>
  </si>
  <si>
    <t xml:space="preserve">          SISTEMA DE VENTILACIÓN DE CUARTO DE BOMBAS Y CÁMARA DE DESAGÜE</t>
  </si>
  <si>
    <t>08.03.03.01</t>
  </si>
  <si>
    <t xml:space="preserve">                 EQUIPOS SISTEMA DE VENTILACIÓN DE CUARTO DE BOMBAS Y CÁMARA DE DESAGÜE</t>
  </si>
  <si>
    <t>08.03.03.01.01</t>
  </si>
  <si>
    <t>Suministro e Instalación Mecánica de un Equipo de  Inyección centrífugo con gabinete. Marca: Aluminaire
Modelo: SYT 12/12
Características: 3,200 CFM, 1.0” c.a., 1.5 HP.
Tensión: 3Ph/220V/60Hz.
Certificacion AMCA</t>
  </si>
  <si>
    <t>08.03.03.01.02</t>
  </si>
  <si>
    <t>Suministro e Instalación Mecánica de un Equipo de Extracción centrífugo con gabinete. Marca: Aluminaire
Modelo: SYT 12/12
Características: 3,200 CFM, 1.0” c.a., 1.5 HP.
Tensión: 3Ph/220V/60Hz.
Certificacion AMCA</t>
  </si>
  <si>
    <t>08.03.03.01.03</t>
  </si>
  <si>
    <t>08.03.03.01.04</t>
  </si>
  <si>
    <t>08.03.03.02</t>
  </si>
  <si>
    <t xml:space="preserve">                 INSTALACIÓN SISTEMA DE VENTILACIÓN DE CUARTO DE BOMBAS Y CÁMARA DE DESAGÜE</t>
  </si>
  <si>
    <t>08.03.03.02.01</t>
  </si>
  <si>
    <t>Fabricación  e  Instalación  de  un  lote  de  ductos  fabricados  con  planchas  de  f galvanizado de entre 0.6 y 0.8 mm. de espesor, para la conexión de cada equipo a las montantes  destinadas  para  la  ventilación,  de  acuerdo  a  la  normativa  SMACNA.  Se incluyen accesorios.</t>
  </si>
  <si>
    <t>08.03.03.02.02</t>
  </si>
  <si>
    <t>Fabricación  e  Instalación  de  las  rejillas  de  Inyección  de  12''x12'',   fabricadas  con planchas de fierro galvanizado, con base anticorrosiva y acabado en esmalte sintético al horno. Incluye Dámper de Regulación Manual.</t>
  </si>
  <si>
    <t>08.03.03.02.03</t>
  </si>
  <si>
    <t>Fabricación  e  Instalación  de  las  rejillas  de  Inyección  de  16''x12'',   fabricadas  con planchas de fierro galvanizado, con base anticorrosiva y acabado en esmalte sintético al horno. Incluye Dámper de Regulación Manual.</t>
  </si>
  <si>
    <t>08.03.03.02.04</t>
  </si>
  <si>
    <t>Fabricación  e  Instalación  de  las  rejillas  de  Inyección  de  16''x16'',   fabricadas  con planchas de fierro galvanizado, con base anticorrosiva y acabado en esmalte sintético al horno. Incluye Dámper de Regulación Manual.</t>
  </si>
  <si>
    <t>08.03.03.02.05</t>
  </si>
  <si>
    <t>Fabricación  e  Instalación  de  las  rejillas  de  Extracción  de  12''x12''  fabricadas  con planchas de fierro galvanizado, con base anticorrosiva y acabado en esmalte sintético al horno. Incluye Dámper de Regulación Manual.</t>
  </si>
  <si>
    <t>08.03.03.02.06</t>
  </si>
  <si>
    <t>Fabricación  e  Instalación  de  las  rejillas  de  Extracción  de  14''x14''  fabricadas  con planchas de fierro galvanizado, con base anticorrosiva y acabado en esmalte sintético al horno. Incluye Dámper de Regulación Manual.</t>
  </si>
  <si>
    <t>08.03.03.02.07</t>
  </si>
  <si>
    <t>Fabricación  e  Instalación  de  las  rejillas  de  Extracción  de  19''x14''  fabricadas  con planchas de fierro galvanizado, con base anticorrosiva y acabado en esmalte sintético al horno. Incluye Dámper de Regulación Manual.</t>
  </si>
  <si>
    <t>08.03.03.02.08</t>
  </si>
  <si>
    <t>Fabricación  e  Instalación  de  las  rejillas   de  Descarga   de  24''x24'',   fabricadas  con planchas de fierro galvanizado, con base anticorrosiva y acabado en esmalte sintético al horno.</t>
  </si>
  <si>
    <t>08.03.03.02.09</t>
  </si>
  <si>
    <t>Fabricación  e  Instalación  de  las  rejillas  de  Toma  de  Aire  de  34''x24'',  fabricadas  con planchas de fierro galvanizado, con base anticorrosiva y acabado en esmalte sintético al horno.</t>
  </si>
  <si>
    <t>08.03.03.02.10</t>
  </si>
  <si>
    <t>Fabricación e Instalación de Filtro MERV 8 de 34”x24”</t>
  </si>
  <si>
    <t>08.03.03.02.11</t>
  </si>
  <si>
    <t>Fabricación e Instalación de damper corta fuego  16''x8", mecánico con cerramiento de compuertas con fusible de 74°C  , para ser colocado en la toma de aire de acuerdo al detalle indicado en los planos.</t>
  </si>
  <si>
    <t>08.03.03.02.12</t>
  </si>
  <si>
    <t>Fabricación e Instalación de damper corta fuego   16''x11", mecánico con cerramiento de compuertas con fusible de 74°C , para ser colocado en la toma de aire de acuerdo al detalle indicado en los planos.</t>
  </si>
  <si>
    <t>08.03.03.02.13</t>
  </si>
  <si>
    <t>Fabricación e Instalación de damper corta fuego   20''x15", mecánico con cerramiento de compuertas con fusible de 74°C , para ser colocado en la toma de aire de acuerdo al detalle indicado en los planos.</t>
  </si>
  <si>
    <t>08.03.03.02.14</t>
  </si>
  <si>
    <t>Fabricación e Instalación de damper corta fuego   20''x20", mecánico con cerramiento de compuertas con fusible de 74°C , para ser colocado en la toma de aire de acuerdo al detalle indicado en los planos.</t>
  </si>
  <si>
    <t>08.03.03.02.15</t>
  </si>
  <si>
    <t>08.03.03.02.16</t>
  </si>
  <si>
    <t>Suministro de Tablero eléctrico  independiente, fabricado  con plancha  galvanizada  de 1/16’’ de espesor, para  el  arranque  del  equipo  de ventilación  del  cuarto  de bombas. Incluye   Llave   Térmica,   Interruptor   Termomagnetico,   Contactor   Magnetico,   Rele Termico, transformador 220-24V, y selector MOA.</t>
  </si>
  <si>
    <t>08.03.04</t>
  </si>
  <si>
    <t xml:space="preserve">          SISTEMA DE VENTILACIÓN DE CUARTO DE BASURA</t>
  </si>
  <si>
    <t>08.03.04.01</t>
  </si>
  <si>
    <t xml:space="preserve">                 EQUIPOS SISTEMA DE VENTILACIÓN DE CUARTO DE BASURA</t>
  </si>
  <si>
    <t>08.03.04.01.01</t>
  </si>
  <si>
    <t>Suministro de un Equipo de Extracción helicocentrifugo de simple entrada. Marca: Soler &amp; Palau  o  Similar
Modelo: TD 1300
Características: 620 CFM, 0.4” c.a., 241 W.
Tensión: 1Ph/220V/60Hz.</t>
  </si>
  <si>
    <t>08.03.04.01.02</t>
  </si>
  <si>
    <t>08.03.04.02</t>
  </si>
  <si>
    <t xml:space="preserve">                 INSTALACIÓN SISTEMA DE VENTILACIÓN DE CUARTO DE BASURA</t>
  </si>
  <si>
    <t>08.03.04.02.01</t>
  </si>
  <si>
    <t>Fabricación  e  Instalación  de  un  lote  de  ductos  fabricados  con  planchas  de  fierro galvanizado de entre 0.6 y 0.8 mm. de espesor, para la conexión de cada equipo a las montantes  destinadas  para  la  ventilación,  de  acuerdo  a  la  normativa  SMACNA.  Se incluyen accesorios.</t>
  </si>
  <si>
    <t>08.03.04.02.02</t>
  </si>
  <si>
    <t>Fabricación  e  Instalación  de  las  rejillas  de  Ventilación  de  15''x15'',   fabricadas  con planchas de fierro galvanizado, con base anticorrosiva y acabado en esmalte sintético al horno.</t>
  </si>
  <si>
    <t>08.03.04.02.03</t>
  </si>
  <si>
    <t>Fabricación e Instalación de las rejillas de Extracción de 8''x8'' fabricadas con planchas de fierro galvanizado, con base anticorrosiva y acabado en esmalte sintético al horno. Incluye Dámper de Regulación Manual.</t>
  </si>
  <si>
    <t>08.03.04.02.04</t>
  </si>
  <si>
    <t>Fabricación  e  Instalación  de  las  rejillas   de  Descarga   de  12''x12'',   fabricadas  con planchas de fierro galvanizado, con base anticorrosiva y acabado en esmalte sintético al horno.</t>
  </si>
  <si>
    <t>08.03.04.02.05</t>
  </si>
  <si>
    <t>Fabricación e Instalación de damper corta fuego   15''x15", mecánico con cerramiento de compuertas con fusible de 74°C , para ser colocado en la toma de aire de acuerdo al detalle indicado en los planos.</t>
  </si>
  <si>
    <t>08.03.04.02.06</t>
  </si>
  <si>
    <t>Fabricación e Instalación de damper corta fuego  16''x7", mecánico con cerramiento de compuertas con fusible de 74°C  , para ser colocado en la toma de aire de acuerdo al detalle indicado en los planos.</t>
  </si>
  <si>
    <t>08.03.04.02.07</t>
  </si>
  <si>
    <t>Montaje, anclaje e instalación eléctrica de Equipo de ventilación helicocentrífugo</t>
  </si>
  <si>
    <t>08.03.04.02.08</t>
  </si>
  <si>
    <t>Suministro  de  tablero  eléctrico  independiente,  fabricado  con  plancha  galvanizada  de 1/16’’ de espesor, para el arranque de los equipos de ventilación del cuarto de basura. Incluye   Llave   Térmica,   Interruptor   Termomagnetico,   Contactor   Magnetico,   Rele Termico, transformador 220-24V, y selector MOA.</t>
  </si>
  <si>
    <t>08.03.05</t>
  </si>
  <si>
    <t xml:space="preserve">          SISTEMA DE VENTILACIÓN DE CUARTO DE BASURA LOCALES COMERCIALES</t>
  </si>
  <si>
    <t>08.03.05.01</t>
  </si>
  <si>
    <t xml:space="preserve">                 EQUIPOS SISTEMA DE VENTILACIÓN DE CUARTO DE BASURA LOCALES COMERCIALES</t>
  </si>
  <si>
    <t>08.03.05.01.01</t>
  </si>
  <si>
    <t>Suministro e Instalación de un equipo de Extracción axial con persiana antirretorno. Marca: Soler &amp; Palau  o  Similar
Modelo: Decor  300
Características: 160 CFM, 35 W, Nivel Sonoro: 47 dBA. Tensión: 1Ph/220V/60Hz.</t>
  </si>
  <si>
    <t>08.03.05.01.02</t>
  </si>
  <si>
    <t>Suministro de un Temporizador y porta-temporizador.</t>
  </si>
  <si>
    <t>08.03.05.02</t>
  </si>
  <si>
    <t xml:space="preserve">                 INSTALACIÓN SISTEMA DE VENTILACIÓN DE CUARTO DE BASURA LOCALES COMERCIALES</t>
  </si>
  <si>
    <t>08.03.05.02.01</t>
  </si>
  <si>
    <t>Fabricación e Instalación de las rejillas de Descarga de 6''x6'', fabricadas con planchas de fierro galvanizado, con base anticorrosiva y acabado en esmalte sintético al horno.</t>
  </si>
  <si>
    <t>08.03.06</t>
  </si>
  <si>
    <t xml:space="preserve">          SISTEMA DE VENTILACION DE PASILLOS</t>
  </si>
  <si>
    <t>08.03.06.01</t>
  </si>
  <si>
    <t xml:space="preserve">                 EQUIPOS  SISTEMA DE VENTILACION DE PASILLOS</t>
  </si>
  <si>
    <t>08.03.06.01.01</t>
  </si>
  <si>
    <t>Suministro e Instalación Mecánica de un Equipo de  Inyección centrífugo con gabinete. Marca: Aluminaire
Modelo: SYT 10/10
Características: 2,800 CFM, 1.0” c.a., 1.5 HP.
Tensión: 3Ph/220V/60Hz.
Certificacion AMCA</t>
  </si>
  <si>
    <t>08.03.06.01.02</t>
  </si>
  <si>
    <t>Suministro de un Equipo de Extracción helicocentrifugo de simple entrada. Marca: Soler &amp; Palau  o  Similar
Modelo: TD 250
Características: 80 CFM, 0.5” c.a., 60 W.
Tensión: 1Ph/220V/60Hz.</t>
  </si>
  <si>
    <t>08.03.06.01.03</t>
  </si>
  <si>
    <t>08.03.06.01.04</t>
  </si>
  <si>
    <t>08.03.06.02</t>
  </si>
  <si>
    <t xml:space="preserve">                 INSTALACIÓN  SISTEMA DE VENTILACION DE PASILLOS</t>
  </si>
  <si>
    <t>08.03.06.02.01</t>
  </si>
  <si>
    <t>08.03.06.02.02</t>
  </si>
  <si>
    <t>Fabricación e Instalación de las rejillas de Inyección de 6''x6'',  fabricadas con planchas de fierro galvanizado, con base anticorrosiva y acabado en esmalte sintético al horno. Incluye Dámper de Regulación Manual.</t>
  </si>
  <si>
    <t>08.03.06.02.03</t>
  </si>
  <si>
    <t>Fabricación e Instalación de las rejillas de Inyección de 9''x9'',  fabricadas con planchas de fierro galvanizado, con base anticorrosiva y acabado en esmalte sintético al horno. Incluye Dámper de Regulación Manual.</t>
  </si>
  <si>
    <t>08.03.06.02.04</t>
  </si>
  <si>
    <t>Fabricación  e  Instalación  de  las  rejillas  de  Toma  de  Aire  de  8''x8'',  fabricadas  con planchas de fierro galvanizado, con base anticorrosiva y acabado en esmalte sintético al horno.</t>
  </si>
  <si>
    <t>08.03.06.02.05</t>
  </si>
  <si>
    <t>Fabricación  e  Instalación  de  las  rejillas  de  Toma  de  Aire  de  12''x12'',  fabricadas  con planchas de fierro galvanizado, con base anticorrosiva y acabado en esmalte sintético al horno.</t>
  </si>
  <si>
    <t>08.03.06.02.06</t>
  </si>
  <si>
    <t>Fabricación e Instalación de Filtro MERV 8 de 8”x8”</t>
  </si>
  <si>
    <t>08.03.06.02.07</t>
  </si>
  <si>
    <t>Fabricación e Instalación de Filtro MERV 8 de 12”x12”</t>
  </si>
  <si>
    <t>08.03.06.02.08</t>
  </si>
  <si>
    <t>08.03.06.02.09</t>
  </si>
  <si>
    <t>08.03.06.02.10</t>
  </si>
  <si>
    <t>Suministro de  tablero eléctrico independiente, fabricado con plancha  galvanizada  de 1/16’’ de espesor, para el  arranque de los equipos de ventilación de  pasillos. Incluye Llave   Térmica,   Interruptor   Termomagnetico,   Contactor   Magnetico,   Rele  Termico, transformador 220-24V, y selector MOA.</t>
  </si>
  <si>
    <t>08.03.07</t>
  </si>
  <si>
    <t xml:space="preserve">          SISTEMA DE VENTILACIÓN DE BAÑOS Y MONTANTES</t>
  </si>
  <si>
    <t>08.03.07.01</t>
  </si>
  <si>
    <t xml:space="preserve">                 EQUIPOS SISTEMA DE VENTILACIÓN DE BAÑOS Y MONTANTES</t>
  </si>
  <si>
    <t>08.03.07.01.01</t>
  </si>
  <si>
    <t>Suministro e Instalación Mecánica de un Equipo de Extracción centrífugo con gabinete. Marca: Aluminaire
Modelo: SYT 10/10
Características: 2,480 CFM, 0.5” c.a., 1.0 HP.
Tensión: 3Ph/220V/60Hz.
Certificacion AMCA</t>
  </si>
  <si>
    <t>08.03.07.01.02</t>
  </si>
  <si>
    <t>Suministro e Instalación Mecánica de un Equipo de Extracción centrífugo con gabinete. Marca: Aluminaire
Modelo: SYT 10/10
Características: 1,750 CFM, 0.5” c.a., 0.5 HP.
Tensión: 3Ph/220V/60Hz.
Certificacion AMCA</t>
  </si>
  <si>
    <t>08.03.07.01.03</t>
  </si>
  <si>
    <t>Suministro e Instalación Mecánica de un Equipo de Extracción helicocentrifugo de simple entrada.
Marca: Soler &amp; Palau  o  Similar Modelo: TD 500
Características: 230 CFM, 0.2” c.a., 65 W.
Tensión: 1Ph/220V/60Hz.</t>
  </si>
  <si>
    <t>08.03.07.01.04</t>
  </si>
  <si>
    <t>Suministro e Instalación de un equipo de Extracción axial para baños con persiana antirretorno.
Marca: Soler &amp; Palau  o  Similar Modelo: Decor  300
Características: 120 @ 160 CFM, 35 W, Nivel Sonoro: 47 dBA. Tensión: 1Ph/220V/60Hz.</t>
  </si>
  <si>
    <t>08.03.07.01.05</t>
  </si>
  <si>
    <t>Suministro e Instalación de un equipo de Extracción axial para baños con persiana antirretorno.
Marca: Soler &amp; Palau  o  Similar Modelo: Decor  200
Características: 70 @ 90 CFM, 20 W, Nivel Sonoro: 46 dBA. Tensión: 1Ph/220V/60Hz.</t>
  </si>
  <si>
    <t>08.03.07.01.06</t>
  </si>
  <si>
    <t>Suministro e Instalación de un equipo de Extracción axial para baños con persiana antirretorno.
Marca: Soler &amp; Palau  o  Similar Modelo: Decor  100
Características: 40 CFM, 13 W, Nivel Sonoro: 40 dBA. Tensión: 1Ph/220V/60Hz.</t>
  </si>
  <si>
    <t>08.03.07.01.07</t>
  </si>
  <si>
    <t>08.03.07.02</t>
  </si>
  <si>
    <t xml:space="preserve">                 INSTALACIÓN SISTEMA DE VENTILACIÓN DE BAÑOS Y MONTANTES</t>
  </si>
  <si>
    <t>08.03.07.02.01</t>
  </si>
  <si>
    <t>08.03.07.02.02</t>
  </si>
  <si>
    <t>Suministro e instalación de Ductos Flexibles 6’’ Ø. fabricada  de  Foil de Aluminio, Para la   conexión   de   cada   equipo   de   extracción   axial   para   baños   a   la   montante  de mamposteria para la ventilación.</t>
  </si>
  <si>
    <t>08.03.07.02.03</t>
  </si>
  <si>
    <t>Suministro e instalación de Ductos Flexibles 5’’ Ø. fabricada  de  Foil de Aluminio, Para la   conexión   de   cada   equipo   de   extracción   axial   para   baños   a   la   montante  de mamposteria para la ventilación.</t>
  </si>
  <si>
    <t>08.03.07.02.04</t>
  </si>
  <si>
    <t>Suministro e instalación de Ductos Flexibles 4’’ Ø. fabricada  de  Foil de Aluminio, Para la   conexión   de   cada   equipo   de   extracción   axial   para   baños   a   la   montante  de mamposteria para la ventilación.</t>
  </si>
  <si>
    <t>08.03.07.02.05</t>
  </si>
  <si>
    <t>Fabricación e Instalación de las rejillas de Extracción de 5''x5'' fabricadas con planchas de fierro galvanizado, con base anticorrosiva y acabado en esmalte sintético al horno. Incluye Dámper de Regulación Manual.</t>
  </si>
  <si>
    <t>08.03.07.02.06</t>
  </si>
  <si>
    <t>Fabricación e Instalación de las rejillas de Extracción de 7''x5'' fabricadas con planchas de fierro galvanizado, con base anticorrosiva y acabado en esmalte sintético al horno. Incluye Dámper de Regulación Manual.</t>
  </si>
  <si>
    <t>08.03.07.02.07</t>
  </si>
  <si>
    <t>Fabricación e Instalación de las rejillas de Descarga de 5''x5'', fabricadas con planchas de fierro galvanizado, con base anticorrosiva y acabado en esmalte sintético al horno.</t>
  </si>
  <si>
    <t>08.03.07.02.08</t>
  </si>
  <si>
    <t>08.03.07.02.09</t>
  </si>
  <si>
    <t>Fabricación e Instalación de Malla de Aluminio de 12”x12”</t>
  </si>
  <si>
    <t>08.03.07.02.10</t>
  </si>
  <si>
    <t>Suministro e Instalación de damper corta fuego  4''x4", mecánico con cerramiento de compuertas  con  fusible  de  74°C  ,  para  ser  colocado  en  la  descarga  de  aire  de  los equipos de ventilacion de baños, para evitar el ingreso de humo.</t>
  </si>
  <si>
    <t>08.03.07.02.11</t>
  </si>
  <si>
    <t>Suministro e Instalación de damper corta fuego  5''x5", mecánico con cerramiento de compuertas  con  fusible  de  74°C  ,  para  ser  colocado  en  la  descarga  de  aire  de  los equipos de ventilacion de baños, para evitar el ingreso de humo.</t>
  </si>
  <si>
    <t>08.03.07.02.12</t>
  </si>
  <si>
    <t>Suministro e Instalación de damper corta fuego  6''x6", mecánico con cerramiento de compuertas  con  fusible  de  74°C  ,  para  ser  colocado  en  la  descarga  de  aire  de  los equipos de ventilacion de baños, para evitar el ingreso de humo.</t>
  </si>
  <si>
    <t>08.03.07.02.13</t>
  </si>
  <si>
    <t>08.03.07.02.14</t>
  </si>
  <si>
    <t>08.03.07.02.15</t>
  </si>
  <si>
    <t>Suministro de Tablero eléctrico  independiente, fabricado  con plancha  galvanizada  de 1/16’’ de espesor, para el arranque del equipo de ventilación de baños. Incluye Llave Térmica,     Interruptor     Termomagnetico,     Contactor     Magnetico,     Rele    Termico, transformador 220-24V, y selector MOA.</t>
  </si>
  <si>
    <t>08.03.08</t>
  </si>
  <si>
    <t xml:space="preserve">          SISTEMA DE VENTILACION DE LOCALES COMERCIALES</t>
  </si>
  <si>
    <t>08.03.08.01</t>
  </si>
  <si>
    <t xml:space="preserve">                 EQUIPOS  SISTEMA DE VENTILACION DE LOCALES COMERCIALES</t>
  </si>
  <si>
    <t>08.03.08.01.01</t>
  </si>
  <si>
    <t>Suministro e Instalación Mecánica de un Equipo de Extracción  Ventilador de Flujo Mixto.
Marca: Aluminaire
Modelo: VFM 4000
Características: 1000 CFM, 0.7” c.a., 0.75 HP.
Tensión: 1Ph/220V/60Hz.</t>
  </si>
  <si>
    <t>08.03.08.01.02</t>
  </si>
  <si>
    <t>Suministro e Instalación Mecánica de un Equipo de Extracción  Ventilador de Flujo Mixto.
Marca: Aluminaire
Modelo: VFM 2000
Características: 620 CFM, 0.6” c.a., 0.5 HP.
Tensión: 1Ph/220V/60Hz.</t>
  </si>
  <si>
    <t>08.03.08.01.03</t>
  </si>
  <si>
    <t>08.03.08.01.04</t>
  </si>
  <si>
    <t>08.03.08.02</t>
  </si>
  <si>
    <t xml:space="preserve">                 INSTALACIÓN  SISTEMA DE VENTILACION DE LOCALES COMERCIALES</t>
  </si>
  <si>
    <t>08.03.08.02.01</t>
  </si>
  <si>
    <t>08.03.08.02.02</t>
  </si>
  <si>
    <t>Fabricación  e  Instalación  de  las  rejillas  de  Inyección  de  11''x11'',   fabricadas  con planchas de fierro galvanizado, con base anticorrosiva y acabado en esmalte sintético al horno. Incluye Dámper de Regulación Manual.</t>
  </si>
  <si>
    <t>08.03.08.02.03</t>
  </si>
  <si>
    <t>Fabricación  e  Instalación  de  las  rejillas  de  Inyección  de  14''x14'',   fabricadas  con planchas de fierro galvanizado, con base anticorrosiva y acabado en esmalte sintético al horno. Incluye Dámper de Regulación Manual.</t>
  </si>
  <si>
    <t>08.03.08.02.04</t>
  </si>
  <si>
    <t>Fabricación  e  Instalación  de  las  rejillas  de  Toma  de  Aire  de  11''x11'',  fabricadas  con planchas de fierro galvanizado, con base anticorrosiva y acabado en esmalte sintético al horno.</t>
  </si>
  <si>
    <t>08.03.08.02.05</t>
  </si>
  <si>
    <t>Fabricación  e  Instalación  de  las  rejillas  de  Toma  de  Aire  de  15''x15'',  fabricadas  con planchas de fierro galvanizado, con base anticorrosiva y acabado en esmalte sintético al horno.</t>
  </si>
  <si>
    <t>08.03.08.02.06</t>
  </si>
  <si>
    <t>Fabricación e Instalación de Filtro MERV 8 de 11”x11”</t>
  </si>
  <si>
    <t>08.03.08.02.07</t>
  </si>
  <si>
    <t>Fabricación e Instalación de Filtro MERV 8 de 15”x15”</t>
  </si>
  <si>
    <t>08.03.08.02.08</t>
  </si>
  <si>
    <t>Montaje, anclaje e instalación eléctrica de Equipo de ventilación  Flujo Mixto.</t>
  </si>
  <si>
    <t>08.03.08.02.09</t>
  </si>
  <si>
    <t>Suministro de Tablero eléctrico  independiente, fabricado  con plancha  galvanizada  de 1/16’’ de espesor, para el  arranque del  equipo de ventilación de locales comerciales. Incluye   Llave   Térmica,   Interruptor   Termomagnetico,   Contactor   Magnetico,   Rele Termico, transformador 220-24V, y selector MOA.</t>
  </si>
  <si>
    <t>08.03.09</t>
  </si>
  <si>
    <t xml:space="preserve">          SISTEMA DE VENTILACION DE DEPOSITOS</t>
  </si>
  <si>
    <t>08.03.09.01</t>
  </si>
  <si>
    <t xml:space="preserve">                 EQUIPOS  SISTEMA DE VENTILACION DE DEPOSITOS</t>
  </si>
  <si>
    <t>08.03.09.01.01</t>
  </si>
  <si>
    <t>Suministro de un Equipo de Extracción helicocentrifugo de simple entrada. Marca: Soler &amp; Palau  o  Similar
Modelo: TD 800
Características: 340 CFM, 0.5” c.a., 169 W.
Tensión: 1Ph/220V/60Hz.</t>
  </si>
  <si>
    <t>08.03.09.01.02</t>
  </si>
  <si>
    <t>08.03.09.01.03</t>
  </si>
  <si>
    <t>08.03.09.02</t>
  </si>
  <si>
    <t xml:space="preserve">                 INSTALACIÓN  SISTEMA DE VENTILACION DE DEPOSITOS</t>
  </si>
  <si>
    <t>08.03.09.02.01</t>
  </si>
  <si>
    <t>08.03.09.02.02</t>
  </si>
  <si>
    <t>Fabricación  e  Instalación  de  las  rejillas  de  Ventilación  de  10''x10'',   fabricadas  con planchas de fierro galvanizado, con base anticorrosiva y acabado en esmalte sintético al horno.</t>
  </si>
  <si>
    <t>08.03.09.02.03</t>
  </si>
  <si>
    <t>Fabricación e Instalación de las rejillas de Inyección de 8''x15'',  fabricadas con planchas de fierro galvanizado, con base anticorrosiva y acabado en esmalte sintético al horno. Incluye Dámper de Regulación Manual.</t>
  </si>
  <si>
    <t>08.03.09.02.04</t>
  </si>
  <si>
    <t>Fabricación e instalación de un dámper de gravedad de 8"x8"</t>
  </si>
  <si>
    <t>08.03.09.02.05</t>
  </si>
  <si>
    <t>08.03.09.02.06</t>
  </si>
  <si>
    <t>Suministro de Tablero eléctrico  independiente, fabricado  con plancha  galvanizada  de 1/16’’ de espesor, para el arranque del equipo de ventilación de deposito. Incluye Llave Térmica,     Interruptor     Termomagnetico,     Contactor     Magnetico,     Rele    Termico, transformador 220-24V, y selector MOA.</t>
  </si>
  <si>
    <t>08.03.10</t>
  </si>
  <si>
    <t xml:space="preserve">                 SISTEMA DE DETECCION DE CO Y CO2 EN DEPARTAMENTOS</t>
  </si>
  <si>
    <t>08.03.10.01</t>
  </si>
  <si>
    <t>Unidad de deteccion dual  de CO y CO2  portatil, con bateria recargable, marca Varon
modelo JSM.</t>
  </si>
  <si>
    <t>08.03.11</t>
  </si>
  <si>
    <t xml:space="preserve">                 SUPERVISIÓN Y ENTREGA</t>
  </si>
  <si>
    <t>08.03.11.01</t>
  </si>
  <si>
    <t>Gerencia del Proyecto, Supervisión y Asistencia. Seguro de Personal e Implementos de Seguridad.    Planos    As    Built.    Protocolos    de    Pruebas    por    Sistema    Instalado. Documentacion de Entrega. Caseta de Almacén.</t>
  </si>
  <si>
    <t>08.03.11.02</t>
  </si>
  <si>
    <t>Puesta en Marcha y calibración general del sistema, de acuerdo a protocolos de INDECI, ASHRAE y AMCA.</t>
  </si>
  <si>
    <t>08.03.12</t>
  </si>
  <si>
    <t>AIRE ACONDICIONADO</t>
  </si>
  <si>
    <t xml:space="preserve"> SISTEMA DE AIRE ACONDICIONADO </t>
  </si>
  <si>
    <t>08.04</t>
  </si>
  <si>
    <t xml:space="preserve">   GRUPO ELECTRÓGENO Y TABLERO DE TRANSFERENCIA</t>
  </si>
  <si>
    <t>Grupo electrogeno</t>
  </si>
  <si>
    <t>08.04.01</t>
  </si>
  <si>
    <t xml:space="preserve">          GRUPO ELECTRÓGENO DIESEL MARCA: ENERPOWER MODELO: EP20Pi-</t>
  </si>
  <si>
    <t>08.05</t>
  </si>
  <si>
    <t xml:space="preserve">   CENTRAL DE ALARMA Y DETECCIÓN DE INCENDIO</t>
  </si>
  <si>
    <t>08.05.01</t>
  </si>
  <si>
    <t xml:space="preserve">        SUMINISTRO E INSTALACIÓN DE DACI</t>
  </si>
  <si>
    <t>08.05.02</t>
  </si>
  <si>
    <t xml:space="preserve">          DETECTOR DE HUMO CONVENCIONAL</t>
  </si>
  <si>
    <t>08.05.03</t>
  </si>
  <si>
    <t>SIRENA CON LUZ ESTROBOSCOPICA</t>
  </si>
  <si>
    <t>08.05.04</t>
  </si>
  <si>
    <t>DETECTOR DE TEMPERATURA</t>
  </si>
  <si>
    <t>08.05.05</t>
  </si>
  <si>
    <t>ESTACION MANUAL</t>
  </si>
  <si>
    <t>08.05.06</t>
  </si>
  <si>
    <t>MONTAJE E INSTALACION</t>
  </si>
  <si>
    <t>08.05.07</t>
  </si>
  <si>
    <t>MODULOS DE MONITOREO</t>
  </si>
  <si>
    <t>08.05.08</t>
  </si>
  <si>
    <t>SIRENAS PARA TECHO</t>
  </si>
  <si>
    <t>08.05.09</t>
  </si>
  <si>
    <t>DEYECCION DE ANIEGO</t>
  </si>
  <si>
    <t>08.06</t>
  </si>
  <si>
    <t xml:space="preserve">   INTERCOMUNICADOR - VIDEO PORTERO</t>
  </si>
  <si>
    <t>08.06.01</t>
  </si>
  <si>
    <t xml:space="preserve">          Placa de calle Codificada Nexa Code de aluminio</t>
  </si>
  <si>
    <t>08.06.02</t>
  </si>
  <si>
    <t xml:space="preserve">          Fuente FA de Voltaje Autoregulada (Eléctonica) con filtro RFI</t>
  </si>
  <si>
    <t>08.06.03</t>
  </si>
  <si>
    <t xml:space="preserve">          Central de Conserjería Digital para la portería con pantalla a color</t>
  </si>
  <si>
    <t>08.06.04</t>
  </si>
  <si>
    <t xml:space="preserve">          Teléfonos Digitales Tekna T-540 Uno</t>
  </si>
  <si>
    <t>08.06.05</t>
  </si>
  <si>
    <t xml:space="preserve">          Teléfonos Digitales Tekna T-540 Uno AREAS COMUNES</t>
  </si>
  <si>
    <t>08.06.06</t>
  </si>
  <si>
    <t xml:space="preserve">          Chapa o pestillo eléctrico</t>
  </si>
  <si>
    <t>08.06.07</t>
  </si>
  <si>
    <t xml:space="preserve">          Cableado e instalación de todos los equipos cotizados</t>
  </si>
  <si>
    <t>08.07</t>
  </si>
  <si>
    <t xml:space="preserve">   CCTV SISTEMA</t>
  </si>
  <si>
    <t>08.07.01</t>
  </si>
  <si>
    <t xml:space="preserve">          CAMARAS TUBO MARCA DAHUA FULL HD 1080</t>
  </si>
  <si>
    <t>08.07.02</t>
  </si>
  <si>
    <t>CAMARA OJO DE PEZ</t>
  </si>
  <si>
    <t>08.07.03</t>
  </si>
  <si>
    <t>BALUNS</t>
  </si>
  <si>
    <t>08.07.04</t>
  </si>
  <si>
    <t>FUENTES</t>
  </si>
  <si>
    <t>08.07.05</t>
  </si>
  <si>
    <t>MONITORES HD A COLOR de 21"</t>
  </si>
  <si>
    <t>08.07.06</t>
  </si>
  <si>
    <t>XVR 8 CANALES MARCA DAHUA MODELO XVR5108HS FULL HD 1080</t>
  </si>
  <si>
    <t>08.07.07</t>
  </si>
  <si>
    <t>DISCO DURO 1TB PARA ALMACENAMIENTO DE LAS IMÁGENES</t>
  </si>
  <si>
    <t>08.07.08</t>
  </si>
  <si>
    <t>CABLEADO E INSTALACIÓN DE TODOS LOS EQUIPOS COTIZADOS</t>
  </si>
  <si>
    <t>08.08</t>
  </si>
  <si>
    <t>EQUIPAMIENTO DE PISCINA</t>
  </si>
  <si>
    <t>08.10.01</t>
  </si>
  <si>
    <t>INSTALACION DE EQUIPOS DE PISCINA</t>
  </si>
  <si>
    <t>08.10.02</t>
  </si>
  <si>
    <t>EQUIPOS DE RECIRCULACIÓN Y FILTRADO</t>
  </si>
  <si>
    <t>08.10.03</t>
  </si>
  <si>
    <t>ACCESORIOS A EMPOTRAR</t>
  </si>
  <si>
    <t>08.10.04</t>
  </si>
  <si>
    <t>SITEMA DE ILUMINACIÓN</t>
  </si>
  <si>
    <t>08.10.05</t>
  </si>
  <si>
    <t>ESCALERA</t>
  </si>
  <si>
    <t>08.10.06</t>
  </si>
  <si>
    <t>EQUIPOS DE LIMPIEZA</t>
  </si>
  <si>
    <t>08.10.07</t>
  </si>
  <si>
    <t>REJILLA PERIMETRAL</t>
  </si>
  <si>
    <t>08.10.08</t>
  </si>
  <si>
    <t>MANTENIMIENTO 1ER TRIMESTRE</t>
  </si>
  <si>
    <t>Trabajos provicionales - baños</t>
  </si>
  <si>
    <t>Pintura y recubrimiento</t>
  </si>
  <si>
    <t>pintura exterior</t>
  </si>
  <si>
    <t>picado con rotomartillo</t>
  </si>
  <si>
    <t>colocado pases manparas y duchas</t>
  </si>
  <si>
    <t>pases para manparay duchas</t>
  </si>
  <si>
    <t xml:space="preserve">  m          </t>
  </si>
  <si>
    <t>Capataz de acabados</t>
  </si>
  <si>
    <t>Gastos de personal</t>
  </si>
  <si>
    <t>Trabajos provicionales - oficina staff - Almacen</t>
  </si>
  <si>
    <t>picado de ductoascensor</t>
  </si>
  <si>
    <t>picado ducto ascensor</t>
  </si>
  <si>
    <t>picado</t>
  </si>
  <si>
    <t>anclaje en ductos</t>
  </si>
  <si>
    <t xml:space="preserve">     </t>
  </si>
  <si>
    <t>Instalacion de drywall en departamentos</t>
  </si>
  <si>
    <t>Instalacion de drywall en areas comunes</t>
  </si>
  <si>
    <t>Correccion de centros dicroicos</t>
  </si>
  <si>
    <t>JORGE ANDRES</t>
  </si>
  <si>
    <t>Colocacion de topes de puerta</t>
  </si>
  <si>
    <t>Solaqueos en montantes iiee iiss  gas</t>
  </si>
  <si>
    <t>Copado resanes y limpieza de vigas y columnas de fachada</t>
  </si>
  <si>
    <t xml:space="preserve">SANCHEZ BUSTAMANTE </t>
  </si>
  <si>
    <t>Bimastil</t>
  </si>
  <si>
    <t>Vidrios y cristales</t>
  </si>
  <si>
    <t>Varios - Obras Provisionales</t>
  </si>
  <si>
    <t>Siliconeado de muebles de melamine - cocinas, closet</t>
  </si>
  <si>
    <t>Forrado de enchape de baños</t>
  </si>
  <si>
    <t>Trazo en fachada para ventanas</t>
  </si>
  <si>
    <t>Corte de fierro con instalacion de ventanas</t>
  </si>
  <si>
    <t>Picado y forjado de canaletas para mamparas y duchas</t>
  </si>
  <si>
    <t>Forrado de  manparas y ventana</t>
  </si>
  <si>
    <t>Eliminacion de desmonte y escombros</t>
  </si>
  <si>
    <t>armado de andamio</t>
  </si>
  <si>
    <t>Resane en sotanos  pisos y muros</t>
  </si>
  <si>
    <t>apoyo a fabreko tarrajeo f interior</t>
  </si>
  <si>
    <t xml:space="preserve">Limpieza de rebabas de piso para enchape </t>
  </si>
  <si>
    <t>Encofradoy concreto en ductos en montantes</t>
  </si>
  <si>
    <t>Encofrado y concreto  lobby</t>
  </si>
  <si>
    <t>Tarrajeos de derrames y resanes en dpts</t>
  </si>
  <si>
    <t>Llavero</t>
  </si>
  <si>
    <t>Tarrajeos derrames  solaqueo techo tecnico</t>
  </si>
  <si>
    <t>Tarrajeo muros y derrames piso  1</t>
  </si>
  <si>
    <t>Enchapes fachada</t>
  </si>
  <si>
    <t>Concreto jardinera y sardineles  exteriores</t>
  </si>
  <si>
    <t>Forrado de cerraduras</t>
  </si>
  <si>
    <t>Forrado de inodoros</t>
  </si>
  <si>
    <t>Retoque de pintura piloto ventas</t>
  </si>
  <si>
    <t>Encofrado y concreto muro y meza pet sotano 2</t>
  </si>
  <si>
    <t>Limpieza en zona de piscina</t>
  </si>
  <si>
    <t>Solaqueo de pasosy contrapasos de escalera de evacuacion</t>
  </si>
  <si>
    <t>Remate de pintura en departamentos</t>
  </si>
  <si>
    <t>Remate de pintura en areas comunes</t>
  </si>
  <si>
    <t>Sellado de junta en muros con espuma cortafuego</t>
  </si>
  <si>
    <t>Impermeabilizado de retiros de fachada</t>
  </si>
  <si>
    <t>Colocacion de topellantas en sotanos</t>
  </si>
  <si>
    <t>Limpieza y  acarreo de escombros de departamentos</t>
  </si>
  <si>
    <t>COCRETO RANPA BUÑADO</t>
  </si>
  <si>
    <t>concreto rampa buñado exteriores</t>
  </si>
  <si>
    <t>otros obras exteriores</t>
  </si>
  <si>
    <t>nicho para control de riego piso 16</t>
  </si>
  <si>
    <t>varios arquitectura</t>
  </si>
  <si>
    <t>dado de concreto acelografo</t>
  </si>
  <si>
    <t>Tarrajeo de banco de medidores</t>
  </si>
  <si>
    <t>forrado de pisos spc</t>
  </si>
  <si>
    <t>nivelacion de piso gimnacio</t>
  </si>
  <si>
    <t>Asentado de ladrillo remates sotanos</t>
  </si>
  <si>
    <t>resanes piso 16</t>
  </si>
  <si>
    <t>resanes en casa vecinas</t>
  </si>
  <si>
    <t>armado y desarmado de andamios</t>
  </si>
  <si>
    <t>colocacion bordes pvc  en escaleras</t>
  </si>
  <si>
    <t>fragua en enchapesy sellado  fachada</t>
  </si>
  <si>
    <t>Acentado ladrillo  blanco piso 1</t>
  </si>
  <si>
    <t xml:space="preserve">Colocacion de señaletias </t>
  </si>
  <si>
    <t>Colocacion ladrillo adoquines</t>
  </si>
  <si>
    <t>CONCRETO ESTACIONAMIENTOS</t>
  </si>
  <si>
    <t>CONCRETO MUROS ANCLADOS</t>
  </si>
  <si>
    <t>Trabajos provisionales almacen</t>
  </si>
  <si>
    <t>Obras provosionales</t>
  </si>
  <si>
    <t>cerco  perimetrico provicional</t>
  </si>
  <si>
    <t>SANDOVAL CONDORI</t>
  </si>
  <si>
    <t>VICTOR ANGEL</t>
  </si>
  <si>
    <t>SINDICATO</t>
  </si>
  <si>
    <t xml:space="preserve">ELME MORAN </t>
  </si>
  <si>
    <t>JOHN JORGE</t>
  </si>
  <si>
    <t>OPERARIO</t>
  </si>
  <si>
    <t>TOPOGRAFIA</t>
  </si>
  <si>
    <t>ELME CURIPACO</t>
  </si>
  <si>
    <t>DIETRICH RODRIGO</t>
  </si>
  <si>
    <t>SNDICATO</t>
  </si>
  <si>
    <t>vigia exterior</t>
  </si>
  <si>
    <t xml:space="preserve">vigia </t>
  </si>
  <si>
    <t>CHUQUILIN ANGULO</t>
  </si>
  <si>
    <t>OSCAR JUNIOR</t>
  </si>
  <si>
    <t>MONITOR</t>
  </si>
  <si>
    <t>monitor</t>
  </si>
  <si>
    <t>umedecer terreno</t>
  </si>
  <si>
    <t>movimientos de tierra</t>
  </si>
  <si>
    <t>vigia</t>
  </si>
  <si>
    <t>FECHA</t>
  </si>
  <si>
    <t>SEMANA</t>
  </si>
  <si>
    <t>APELLIDOS Y NOMBRES</t>
  </si>
  <si>
    <t>HORAS</t>
  </si>
  <si>
    <t>PEREZ GALLEGOS  JORGE ANDRES</t>
  </si>
  <si>
    <t>SANCHEZ BUSTAMANTE  DAVID GONZALO</t>
  </si>
  <si>
    <t>SANDOVAL CONDORI VICTOR ANGEL</t>
  </si>
  <si>
    <t>ELME MORAN  JOHN JORGE</t>
  </si>
  <si>
    <t>ELME CURIPACO DIETRICH RODRIGO</t>
  </si>
  <si>
    <t>CHUQUILIN ANGULO OSCAR JUNIOR</t>
  </si>
  <si>
    <t>Oficinas provisionales</t>
  </si>
  <si>
    <t>Caseta vestuarios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</si>
</sst>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quot;S/&quot;\ * #,##0.00_-;\-&quot;S/&quot;\ * #,##0.00_-;_-&quot;S/&quot;\ * &quot;-&quot;??_-;_-@_-"/>
    <numFmt numFmtId="165" formatCode="0.0"/>
    <numFmt numFmtId="166" formatCode="_-* #,##0.0_-;\-* #,##0.0_-;_-* &quot;-&quot;??_-;_-@"/>
    <numFmt numFmtId="167" formatCode="_-* #,##0.00_-;\-* #,##0.00_-;_-* &quot;-&quot;??_-;_-@"/>
    <numFmt numFmtId="168" formatCode="dd\ &quot;de&quot;\ mmmm"/>
    <numFmt numFmtId="169" formatCode="&quot;SEMANA N°&quot;\ 0"/>
    <numFmt numFmtId="170" formatCode="###,###,###,##0.00"/>
    <numFmt numFmtId="171" formatCode="###,###,###,##0"/>
    <numFmt numFmtId="172" formatCode="_-* #,##0_-;\-* #,##0_-;_-* &quot;-&quot;??_-;_-@_-"/>
    <numFmt numFmtId="173" formatCode="_ * #,##0.00_ ;_ * \-#,##0.00_ ;_ * &quot;-&quot;??_ ;_ @_ "/>
    <numFmt numFmtId="174" formatCode="_-* #,##0.00\ &quot;€&quot;_-;\-* #,##0.00\ &quot;€&quot;_-;_-* &quot;-&quot;??\ &quot;€&quot;_-;_-@_-"/>
    <numFmt numFmtId="175" formatCode="_-* #,##0.00\ _€_-;\-* #,##0.00\ _€_-;_-* &quot;-&quot;??\ _€_-;_-@_-"/>
    <numFmt numFmtId="176" formatCode="_([$€-2]\ * #,##0.00_);_([$€-2]\ * \(#,##0.00\);_([$€-2]\ * &quot;-&quot;??_)"/>
    <numFmt numFmtId="177" formatCode="#,##0.00\ &quot;m3&quot;"/>
  </numFmts>
  <fonts count="93">
    <font>
      <sz val="11"/>
      <color theme="1"/>
      <name val="Calibri"/>
      <family val="2"/>
      <scheme val="minor"/>
    </font>
    <font>
      <b/>
      <sz val="10"/>
      <color rgb="FF000000"/>
      <name val="Arial"/>
      <family val="2"/>
    </font>
    <font>
      <sz val="11"/>
      <name val="Calibri"/>
      <family val="2"/>
    </font>
    <font>
      <sz val="10"/>
      <color theme="1"/>
      <name val="Arial"/>
      <family val="2"/>
    </font>
    <font>
      <b/>
      <sz val="10"/>
      <color theme="1"/>
      <name val="Arial"/>
      <family val="2"/>
    </font>
    <font>
      <b/>
      <u/>
      <sz val="10"/>
      <color rgb="FF000000"/>
      <name val="Arial"/>
      <family val="2"/>
    </font>
    <font>
      <sz val="10"/>
      <color theme="1"/>
      <name val="Arial Narrow"/>
      <family val="2"/>
    </font>
    <font>
      <u/>
      <sz val="10"/>
      <color rgb="FF000000"/>
      <name val="Arial"/>
      <family val="2"/>
    </font>
    <font>
      <b/>
      <u/>
      <sz val="10"/>
      <color theme="1"/>
      <name val="Arial"/>
      <family val="2"/>
    </font>
    <font>
      <u/>
      <sz val="10"/>
      <color theme="1"/>
      <name val="Arial"/>
      <family val="2"/>
    </font>
    <font>
      <sz val="10"/>
      <name val="Arial"/>
      <family val="2"/>
    </font>
    <font>
      <sz val="9"/>
      <color rgb="FF3F4254"/>
      <name val="Arial"/>
      <family val="2"/>
    </font>
    <font>
      <sz val="10"/>
      <color rgb="FF000000"/>
      <name val="Calibri"/>
      <family val="2"/>
    </font>
    <font>
      <b/>
      <sz val="10"/>
      <color rgb="FFFF0000"/>
      <name val="Arial"/>
      <family val="2"/>
    </font>
    <font>
      <b/>
      <sz val="11"/>
      <color theme="1"/>
      <name val="Arial"/>
      <family val="2"/>
    </font>
    <font>
      <sz val="11"/>
      <color rgb="FF5F6062"/>
      <name val="Arial"/>
      <family val="2"/>
    </font>
    <font>
      <sz val="8"/>
      <color theme="1"/>
      <name val="Arial Narrow"/>
      <family val="2"/>
    </font>
    <font>
      <b/>
      <sz val="10"/>
      <color theme="0"/>
      <name val="Arial"/>
      <family val="2"/>
    </font>
    <font>
      <sz val="11"/>
      <color theme="0"/>
      <name val="Calibri"/>
      <family val="2"/>
    </font>
    <font>
      <b/>
      <sz val="11"/>
      <color theme="0"/>
      <name val="Calibri"/>
      <family val="2"/>
    </font>
    <font>
      <b/>
      <sz val="10"/>
      <color theme="1"/>
      <name val="Arial Narrow"/>
      <family val="2"/>
    </font>
    <font>
      <b/>
      <sz val="8"/>
      <color theme="1"/>
      <name val="Arial Narrow"/>
      <family val="2"/>
    </font>
    <font>
      <sz val="8"/>
      <name val="Arial Narrow"/>
      <family val="2"/>
    </font>
    <font>
      <b/>
      <sz val="12"/>
      <color rgb="FF000000"/>
      <name val="Arial"/>
      <family val="2"/>
    </font>
    <font>
      <b/>
      <sz val="12"/>
      <color theme="1"/>
      <name val="Arial Narrow"/>
      <family val="2"/>
    </font>
    <font>
      <sz val="10"/>
      <color theme="9" tint="-0.249977111117893"/>
      <name val="Arial"/>
      <family val="2"/>
    </font>
    <font>
      <sz val="8"/>
      <color rgb="FFFF0000"/>
      <name val="Arial Narrow"/>
      <family val="2"/>
    </font>
    <font>
      <sz val="11"/>
      <name val="Arial"/>
      <family val="2"/>
    </font>
    <font>
      <sz val="11"/>
      <color theme="1"/>
      <name val="Calibri"/>
      <family val="2"/>
      <scheme val="minor"/>
    </font>
    <font>
      <sz val="11"/>
      <color rgb="FFFF0000"/>
      <name val="Calibri"/>
      <family val="2"/>
      <scheme val="minor"/>
    </font>
    <font>
      <sz val="8"/>
      <color rgb="FF000000"/>
      <name val="Calibri"/>
      <family val="2"/>
      <scheme val="minor"/>
    </font>
    <font>
      <b/>
      <sz val="8"/>
      <color rgb="FF000000"/>
      <name val="Calibri"/>
      <family val="2"/>
      <scheme val="minor"/>
    </font>
    <font>
      <sz val="8"/>
      <color theme="1"/>
      <name val="Calibri"/>
      <family val="2"/>
      <scheme val="minor"/>
    </font>
    <font>
      <sz val="8"/>
      <color rgb="FFFF0000"/>
      <name val="Arial"/>
      <family val="2"/>
    </font>
    <font>
      <sz val="8"/>
      <color rgb="FF0000FF"/>
      <name val="Arial"/>
      <family val="2"/>
    </font>
    <font>
      <sz val="8"/>
      <color rgb="FFFF8000"/>
      <name val="Arial"/>
      <family val="2"/>
    </font>
    <font>
      <sz val="8"/>
      <color rgb="FF080000"/>
      <name val="Arial"/>
      <family val="2"/>
    </font>
    <font>
      <sz val="8"/>
      <name val="Calibri"/>
      <family val="2"/>
      <scheme val="minor"/>
    </font>
    <font>
      <sz val="8"/>
      <name val="Arial"/>
      <family val="2"/>
    </font>
    <font>
      <sz val="8"/>
      <color rgb="FFFF0000"/>
      <name val="Calibri"/>
      <family val="2"/>
      <scheme val="minor"/>
    </font>
    <font>
      <sz val="8"/>
      <color rgb="FF0070C0"/>
      <name val="Calibri"/>
      <family val="2"/>
      <scheme val="minor"/>
    </font>
    <font>
      <sz val="8"/>
      <color rgb="FF0070C0"/>
      <name val="Arial"/>
      <family val="2"/>
    </font>
    <font>
      <sz val="11"/>
      <color rgb="FF0070C0"/>
      <name val="Calibri"/>
      <family val="2"/>
      <scheme val="minor"/>
    </font>
    <font>
      <sz val="8"/>
      <color rgb="FF800000"/>
      <name val="Arial"/>
      <family val="2"/>
    </font>
    <font>
      <sz val="8"/>
      <color rgb="FFFF00FF"/>
      <name val="Arial"/>
      <family val="2"/>
    </font>
    <font>
      <b/>
      <sz val="8"/>
      <color theme="1"/>
      <name val="Calibri"/>
      <family val="2"/>
      <scheme val="minor"/>
    </font>
    <font>
      <b/>
      <sz val="8"/>
      <color rgb="FF080000"/>
      <name val="Arial"/>
      <family val="2"/>
    </font>
    <font>
      <b/>
      <sz val="8"/>
      <color rgb="FFFF0000"/>
      <name val="Arial"/>
      <family val="2"/>
    </font>
    <font>
      <b/>
      <sz val="8"/>
      <color rgb="FF0070C0"/>
      <name val="Calibri"/>
      <family val="2"/>
      <scheme val="minor"/>
    </font>
    <font>
      <sz val="8"/>
      <color theme="1"/>
      <name val="Arial"/>
      <family val="2"/>
    </font>
    <font>
      <sz val="8"/>
      <color theme="4" tint="-0.249977111117893"/>
      <name val="Calibri"/>
      <family val="2"/>
      <scheme val="minor"/>
    </font>
    <font>
      <sz val="8"/>
      <color theme="4" tint="-0.249977111117893"/>
      <name val="Arial"/>
      <family val="2"/>
    </font>
    <font>
      <b/>
      <sz val="8"/>
      <color theme="4" tint="-0.249977111117893"/>
      <name val="Calibri"/>
      <family val="2"/>
      <scheme val="minor"/>
    </font>
    <font>
      <sz val="11"/>
      <color theme="4" tint="-0.249977111117893"/>
      <name val="Calibri"/>
      <family val="2"/>
      <scheme val="minor"/>
    </font>
    <font>
      <sz val="11"/>
      <color theme="4"/>
      <name val="Calibri"/>
      <family val="2"/>
      <scheme val="minor"/>
    </font>
    <font>
      <b/>
      <sz val="8"/>
      <color rgb="FFFF0000"/>
      <name val="Calibri"/>
      <family val="2"/>
      <scheme val="minor"/>
    </font>
    <font>
      <b/>
      <sz val="8"/>
      <name val="Calibri"/>
      <family val="2"/>
      <scheme val="minor"/>
    </font>
    <font>
      <sz val="11"/>
      <name val="Calibri"/>
      <family val="2"/>
      <scheme val="minor"/>
    </font>
    <font>
      <sz val="8"/>
      <color theme="8" tint="-0.249977111117893"/>
      <name val="Calibri"/>
      <family val="2"/>
      <scheme val="minor"/>
    </font>
    <font>
      <sz val="8"/>
      <color theme="8" tint="-0.249977111117893"/>
      <name val="Arial"/>
      <family val="2"/>
    </font>
    <font>
      <b/>
      <sz val="8"/>
      <color theme="8" tint="-0.249977111117893"/>
      <name val="Calibri"/>
      <family val="2"/>
      <scheme val="minor"/>
    </font>
    <font>
      <sz val="11"/>
      <color theme="8" tint="-0.249977111117893"/>
      <name val="Calibri"/>
      <family val="2"/>
      <scheme val="minor"/>
    </font>
    <font>
      <sz val="8"/>
      <color theme="4"/>
      <name val="Calibri"/>
      <family val="2"/>
      <scheme val="minor"/>
    </font>
    <font>
      <sz val="8"/>
      <color theme="4"/>
      <name val="Arial"/>
      <family val="2"/>
    </font>
    <font>
      <b/>
      <sz val="8"/>
      <color theme="4"/>
      <name val="Calibri"/>
      <family val="2"/>
      <scheme val="minor"/>
    </font>
    <font>
      <b/>
      <sz val="9"/>
      <color rgb="FFFF0000"/>
      <name val="Calibri"/>
      <family val="2"/>
      <scheme val="minor"/>
    </font>
    <font>
      <sz val="9"/>
      <color theme="1"/>
      <name val="Calibri"/>
      <family val="2"/>
      <scheme val="minor"/>
    </font>
    <font>
      <b/>
      <sz val="9"/>
      <color indexed="81"/>
      <name val="Tahoma"/>
      <family val="2"/>
    </font>
    <font>
      <sz val="9"/>
      <color indexed="81"/>
      <name val="Tahoma"/>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9"/>
      <color indexed="10"/>
      <name val="Geneva"/>
    </font>
    <font>
      <sz val="1"/>
      <color indexed="8"/>
      <name val="Courier"/>
      <family val="3"/>
    </font>
    <font>
      <sz val="11"/>
      <color indexed="20"/>
      <name val="Calibri"/>
      <family val="2"/>
    </font>
    <font>
      <sz val="11"/>
      <color indexed="60"/>
      <name val="Calibri"/>
      <family val="2"/>
    </font>
    <font>
      <sz val="10"/>
      <color indexed="8"/>
      <name val="MS Sans Serif"/>
      <family val="2"/>
    </font>
    <font>
      <sz val="10"/>
      <color indexed="8"/>
      <name val="Arial"/>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theme="1"/>
      <name val="Arial"/>
      <family val="2"/>
    </font>
    <font>
      <b/>
      <sz val="11"/>
      <name val="Arial"/>
      <family val="2"/>
    </font>
    <font>
      <b/>
      <sz val="11"/>
      <color theme="1"/>
      <name val="Calibri"/>
      <family val="2"/>
      <scheme val="minor"/>
    </font>
  </fonts>
  <fills count="66">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tint="-0.14999847407452621"/>
        <bgColor rgb="FFF2F2F2"/>
      </patternFill>
    </fill>
    <fill>
      <patternFill patternType="solid">
        <fgColor rgb="FFFFC000"/>
        <bgColor rgb="FFFFC000"/>
      </patternFill>
    </fill>
    <fill>
      <patternFill patternType="solid">
        <fgColor rgb="FFFFFFFF"/>
        <bgColor rgb="FFFFFFFF"/>
      </patternFill>
    </fill>
    <fill>
      <patternFill patternType="solid">
        <fgColor rgb="FF00FFFF"/>
        <bgColor rgb="FF00FFFF"/>
      </patternFill>
    </fill>
    <fill>
      <patternFill patternType="solid">
        <fgColor rgb="FF3E6228"/>
        <bgColor rgb="FF385623"/>
      </patternFill>
    </fill>
    <fill>
      <patternFill patternType="solid">
        <fgColor rgb="FFFF0000"/>
        <bgColor rgb="FFFF0000"/>
      </patternFill>
    </fill>
    <fill>
      <patternFill patternType="solid">
        <fgColor rgb="FFB0C3E6"/>
        <bgColor rgb="FFDEEAF6"/>
      </patternFill>
    </fill>
    <fill>
      <patternFill patternType="solid">
        <fgColor theme="1"/>
        <bgColor theme="1"/>
      </patternFill>
    </fill>
    <fill>
      <patternFill patternType="solid">
        <fgColor theme="4" tint="-0.499984740745262"/>
        <bgColor rgb="FFC5E0B3"/>
      </patternFill>
    </fill>
    <fill>
      <patternFill patternType="solid">
        <fgColor theme="4" tint="-0.499984740745262"/>
        <bgColor indexed="64"/>
      </patternFill>
    </fill>
    <fill>
      <patternFill patternType="solid">
        <fgColor theme="4" tint="-0.499984740745262"/>
        <bgColor theme="0"/>
      </patternFill>
    </fill>
    <fill>
      <patternFill patternType="solid">
        <fgColor rgb="FFFFC000"/>
        <bgColor rgb="FFFFFF00"/>
      </patternFill>
    </fill>
    <fill>
      <patternFill patternType="solid">
        <fgColor rgb="FFFFC000"/>
        <bgColor indexed="64"/>
      </patternFill>
    </fill>
    <fill>
      <patternFill patternType="solid">
        <fgColor rgb="FFFFC000"/>
        <bgColor rgb="FFF2F2F2"/>
      </patternFill>
    </fill>
    <fill>
      <patternFill patternType="solid">
        <fgColor rgb="FF92D050"/>
        <bgColor rgb="FFC5E0B3"/>
      </patternFill>
    </fill>
    <fill>
      <patternFill patternType="solid">
        <fgColor rgb="FF92D050"/>
        <bgColor indexed="64"/>
      </patternFill>
    </fill>
    <fill>
      <patternFill patternType="solid">
        <fgColor theme="4" tint="-0.499984740745262"/>
        <bgColor rgb="FFF4B083"/>
      </patternFill>
    </fill>
    <fill>
      <patternFill patternType="solid">
        <fgColor theme="0" tint="-0.249977111117893"/>
        <bgColor indexed="64"/>
      </patternFill>
    </fill>
    <fill>
      <patternFill patternType="solid">
        <fgColor theme="2"/>
        <bgColor indexed="64"/>
      </patternFill>
    </fill>
    <fill>
      <patternFill patternType="solid">
        <fgColor theme="0" tint="-0.14999847407452621"/>
        <bgColor theme="0"/>
      </patternFill>
    </fill>
    <fill>
      <patternFill patternType="solid">
        <fgColor theme="0" tint="-0.14999847407452621"/>
        <bgColor indexed="64"/>
      </patternFill>
    </fill>
    <fill>
      <patternFill patternType="solid">
        <fgColor rgb="FFFFFF00"/>
        <bgColor rgb="FFF4B083"/>
      </patternFill>
    </fill>
    <fill>
      <patternFill patternType="solid">
        <fgColor rgb="FFFFFF00"/>
        <bgColor indexed="64"/>
      </patternFill>
    </fill>
    <fill>
      <patternFill patternType="solid">
        <fgColor theme="0"/>
        <bgColor rgb="FFFFFFFF"/>
      </patternFill>
    </fill>
    <fill>
      <patternFill patternType="solid">
        <fgColor theme="8" tint="-0.249977111117893"/>
        <bgColor theme="0"/>
      </patternFill>
    </fill>
    <fill>
      <patternFill patternType="solid">
        <fgColor rgb="FFEB9191"/>
        <bgColor rgb="FFFFFF00"/>
      </patternFill>
    </fill>
    <fill>
      <patternFill patternType="solid">
        <fgColor rgb="FF92D050"/>
        <bgColor theme="0"/>
      </patternFill>
    </fill>
    <fill>
      <patternFill patternType="solid">
        <fgColor theme="8" tint="0.59999389629810485"/>
        <bgColor theme="0"/>
      </patternFill>
    </fill>
    <fill>
      <patternFill patternType="solid">
        <fgColor theme="5" tint="0.39997558519241921"/>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00FFFF"/>
        <bgColor indexed="64"/>
      </patternFill>
    </fill>
    <fill>
      <patternFill patternType="solid">
        <fgColor rgb="FFFF66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rgb="FFFF0000"/>
        <bgColor indexed="64"/>
      </patternFill>
    </fill>
    <fill>
      <patternFill patternType="solid">
        <fgColor rgb="FFFFC000"/>
        <bgColor theme="0"/>
      </patternFill>
    </fill>
  </fills>
  <borders count="8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hair">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hair">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hair">
        <color rgb="FF000000"/>
      </bottom>
      <diagonal/>
    </border>
    <border>
      <left style="thin">
        <color rgb="FF000000"/>
      </left>
      <right style="medium">
        <color indexed="64"/>
      </right>
      <top style="medium">
        <color indexed="64"/>
      </top>
      <bottom style="hair">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hair">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indexed="64"/>
      </top>
      <bottom style="hair">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theme="0" tint="-0.499984740745262"/>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rgb="FF000000"/>
      </left>
      <right/>
      <top/>
      <bottom style="thin">
        <color rgb="FF000000"/>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rgb="FF000000"/>
      </bottom>
      <diagonal/>
    </border>
    <border>
      <left/>
      <right style="thin">
        <color indexed="64"/>
      </right>
      <top style="thin">
        <color indexed="64"/>
      </top>
      <bottom/>
      <diagonal/>
    </border>
  </borders>
  <cellStyleXfs count="125">
    <xf numFmtId="0" fontId="0" fillId="0" borderId="0"/>
    <xf numFmtId="43" fontId="28" fillId="0" borderId="0" applyFont="0" applyFill="0" applyBorder="0" applyAlignment="0" applyProtection="0"/>
    <xf numFmtId="164" fontId="28" fillId="0" borderId="0" applyFont="0" applyFill="0" applyBorder="0" applyAlignment="0" applyProtection="0"/>
    <xf numFmtId="173" fontId="28" fillId="0" borderId="0" applyFont="0" applyFill="0" applyBorder="0" applyAlignment="0" applyProtection="0"/>
    <xf numFmtId="0" fontId="10" fillId="0" borderId="0"/>
    <xf numFmtId="0" fontId="69" fillId="41" borderId="0" applyNumberFormat="0" applyBorder="0" applyAlignment="0" applyProtection="0"/>
    <xf numFmtId="0" fontId="69" fillId="41" borderId="0" applyNumberFormat="0" applyBorder="0" applyAlignment="0" applyProtection="0"/>
    <xf numFmtId="0" fontId="69" fillId="42" borderId="0" applyNumberFormat="0" applyBorder="0" applyAlignment="0" applyProtection="0"/>
    <xf numFmtId="0" fontId="69" fillId="42" borderId="0" applyNumberFormat="0" applyBorder="0" applyAlignment="0" applyProtection="0"/>
    <xf numFmtId="0" fontId="69" fillId="43" borderId="0" applyNumberFormat="0" applyBorder="0" applyAlignment="0" applyProtection="0"/>
    <xf numFmtId="0" fontId="69" fillId="43"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5" borderId="0" applyNumberFormat="0" applyBorder="0" applyAlignment="0" applyProtection="0"/>
    <xf numFmtId="0" fontId="69" fillId="45"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48" borderId="0" applyNumberFormat="0" applyBorder="0" applyAlignment="0" applyProtection="0"/>
    <xf numFmtId="0" fontId="70" fillId="48" borderId="0" applyNumberFormat="0" applyBorder="0" applyAlignment="0" applyProtection="0"/>
    <xf numFmtId="0" fontId="70" fillId="49" borderId="0" applyNumberFormat="0" applyBorder="0" applyAlignment="0" applyProtection="0"/>
    <xf numFmtId="0" fontId="70" fillId="4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2" fillId="55" borderId="71" applyNumberFormat="0" applyAlignment="0" applyProtection="0"/>
    <xf numFmtId="0" fontId="72" fillId="55" borderId="71" applyNumberFormat="0" applyAlignment="0" applyProtection="0"/>
    <xf numFmtId="0" fontId="10" fillId="0" borderId="0"/>
    <xf numFmtId="0" fontId="73" fillId="56" borderId="72" applyNumberFormat="0" applyAlignment="0" applyProtection="0"/>
    <xf numFmtId="0" fontId="73" fillId="56" borderId="72" applyNumberFormat="0" applyAlignment="0" applyProtection="0"/>
    <xf numFmtId="0" fontId="74" fillId="0" borderId="73" applyNumberFormat="0" applyFill="0" applyAlignment="0" applyProtection="0"/>
    <xf numFmtId="0" fontId="74" fillId="0" borderId="73"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0" fillId="57" borderId="0" applyNumberFormat="0" applyBorder="0" applyAlignment="0" applyProtection="0"/>
    <xf numFmtId="0" fontId="70" fillId="57" borderId="0" applyNumberFormat="0" applyBorder="0" applyAlignment="0" applyProtection="0"/>
    <xf numFmtId="0" fontId="70" fillId="58" borderId="0" applyNumberFormat="0" applyBorder="0" applyAlignment="0" applyProtection="0"/>
    <xf numFmtId="0" fontId="70" fillId="58"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60" borderId="0" applyNumberFormat="0" applyBorder="0" applyAlignment="0" applyProtection="0"/>
    <xf numFmtId="0" fontId="70" fillId="60" borderId="0" applyNumberFormat="0" applyBorder="0" applyAlignment="0" applyProtection="0"/>
    <xf numFmtId="0" fontId="76" fillId="46" borderId="71" applyNumberFormat="0" applyAlignment="0" applyProtection="0"/>
    <xf numFmtId="0" fontId="76" fillId="46" borderId="71" applyNumberFormat="0" applyAlignment="0" applyProtection="0"/>
    <xf numFmtId="0" fontId="77" fillId="0" borderId="0"/>
    <xf numFmtId="176" fontId="10" fillId="0" borderId="0" applyFont="0" applyFill="0" applyBorder="0" applyAlignment="0" applyProtection="0"/>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9" fillId="42" borderId="0" applyNumberFormat="0" applyBorder="0" applyAlignment="0" applyProtection="0"/>
    <xf numFmtId="0" fontId="79" fillId="42" borderId="0" applyNumberFormat="0" applyBorder="0" applyAlignment="0" applyProtection="0"/>
    <xf numFmtId="175" fontId="69" fillId="0" borderId="0" applyFont="0" applyFill="0" applyBorder="0" applyAlignment="0" applyProtection="0"/>
    <xf numFmtId="173" fontId="10" fillId="0" borderId="0" applyFont="0" applyFill="0" applyBorder="0" applyAlignment="0" applyProtection="0"/>
    <xf numFmtId="173" fontId="28" fillId="0" borderId="0" applyFont="0" applyFill="0" applyBorder="0" applyAlignment="0" applyProtection="0"/>
    <xf numFmtId="175" fontId="10" fillId="0" borderId="0" applyFont="0" applyFill="0" applyBorder="0" applyAlignment="0" applyProtection="0"/>
    <xf numFmtId="43" fontId="10" fillId="0" borderId="0" applyFont="0" applyFill="0" applyBorder="0" applyAlignment="0" applyProtection="0"/>
    <xf numFmtId="173" fontId="28" fillId="0" borderId="0" applyFont="0" applyFill="0" applyBorder="0" applyAlignment="0" applyProtection="0"/>
    <xf numFmtId="173" fontId="28" fillId="0" borderId="0" applyFont="0" applyFill="0" applyBorder="0" applyAlignment="0" applyProtection="0"/>
    <xf numFmtId="43" fontId="10" fillId="0" borderId="0" applyFont="0" applyFill="0" applyBorder="0" applyAlignment="0" applyProtection="0"/>
    <xf numFmtId="177" fontId="28" fillId="0" borderId="0" applyFont="0" applyFill="0" applyBorder="0" applyAlignment="0" applyProtection="0"/>
    <xf numFmtId="174" fontId="69" fillId="0" borderId="0" applyFont="0" applyFill="0" applyBorder="0" applyAlignment="0" applyProtection="0"/>
    <xf numFmtId="0" fontId="80" fillId="61" borderId="0" applyNumberFormat="0" applyBorder="0" applyAlignment="0" applyProtection="0"/>
    <xf numFmtId="0" fontId="80" fillId="61" borderId="0" applyNumberFormat="0" applyBorder="0" applyAlignment="0" applyProtection="0"/>
    <xf numFmtId="0" fontId="10" fillId="0" borderId="0"/>
    <xf numFmtId="0" fontId="10" fillId="0" borderId="0"/>
    <xf numFmtId="0" fontId="81" fillId="0" borderId="0"/>
    <xf numFmtId="0" fontId="10" fillId="0" borderId="0"/>
    <xf numFmtId="0" fontId="28" fillId="0" borderId="0"/>
    <xf numFmtId="0" fontId="81" fillId="0" borderId="0"/>
    <xf numFmtId="0" fontId="10" fillId="0" borderId="0"/>
    <xf numFmtId="0" fontId="10" fillId="0" borderId="0"/>
    <xf numFmtId="0" fontId="82" fillId="0" borderId="0">
      <alignment vertical="top"/>
    </xf>
    <xf numFmtId="0" fontId="10" fillId="0" borderId="0"/>
    <xf numFmtId="0" fontId="10" fillId="0" borderId="0"/>
    <xf numFmtId="0" fontId="81" fillId="0" borderId="0"/>
    <xf numFmtId="0" fontId="10" fillId="62" borderId="74" applyNumberFormat="0" applyFont="0" applyAlignment="0" applyProtection="0"/>
    <xf numFmtId="0" fontId="10" fillId="62" borderId="74" applyNumberFormat="0" applyFont="0" applyAlignment="0" applyProtection="0"/>
    <xf numFmtId="9" fontId="69" fillId="0" borderId="0" applyFont="0" applyFill="0" applyBorder="0" applyAlignment="0" applyProtection="0"/>
    <xf numFmtId="9" fontId="10" fillId="0" borderId="0" applyFont="0" applyFill="0" applyBorder="0" applyAlignment="0" applyProtection="0"/>
    <xf numFmtId="0" fontId="83" fillId="55" borderId="75" applyNumberFormat="0" applyAlignment="0" applyProtection="0"/>
    <xf numFmtId="0" fontId="83" fillId="55" borderId="75" applyNumberFormat="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6" fillId="0" borderId="76" applyNumberFormat="0" applyFill="0" applyAlignment="0" applyProtection="0"/>
    <xf numFmtId="0" fontId="86" fillId="0" borderId="76" applyNumberFormat="0" applyFill="0" applyAlignment="0" applyProtection="0"/>
    <xf numFmtId="0" fontId="87" fillId="0" borderId="77" applyNumberFormat="0" applyFill="0" applyAlignment="0" applyProtection="0"/>
    <xf numFmtId="0" fontId="87" fillId="0" borderId="77" applyNumberFormat="0" applyFill="0" applyAlignment="0" applyProtection="0"/>
    <xf numFmtId="0" fontId="75" fillId="0" borderId="78" applyNumberFormat="0" applyFill="0" applyAlignment="0" applyProtection="0"/>
    <xf numFmtId="0" fontId="75" fillId="0" borderId="78"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9" fillId="0" borderId="79" applyNumberFormat="0" applyFill="0" applyAlignment="0" applyProtection="0"/>
    <xf numFmtId="0" fontId="89" fillId="0" borderId="79"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cellStyleXfs>
  <cellXfs count="640">
    <xf numFmtId="0" fontId="0" fillId="0" borderId="0" xfId="0"/>
    <xf numFmtId="0" fontId="1" fillId="2" borderId="0" xfId="0" applyFont="1" applyFill="1" applyAlignment="1">
      <alignment horizontal="center" vertical="center"/>
    </xf>
    <xf numFmtId="0" fontId="3" fillId="2" borderId="0" xfId="0" applyFont="1" applyFill="1" applyAlignment="1">
      <alignment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3" fillId="2" borderId="0" xfId="0" applyFont="1" applyFill="1" applyAlignment="1">
      <alignment vertical="center" wrapText="1"/>
    </xf>
    <xf numFmtId="2" fontId="3" fillId="2" borderId="0" xfId="0" applyNumberFormat="1" applyFont="1" applyFill="1" applyAlignment="1">
      <alignment horizontal="center" vertical="center"/>
    </xf>
    <xf numFmtId="0" fontId="11" fillId="6" borderId="0" xfId="0" applyFont="1" applyFill="1" applyAlignment="1">
      <alignment horizontal="center" vertical="center" wrapText="1"/>
    </xf>
    <xf numFmtId="0" fontId="11" fillId="6" borderId="0" xfId="0" applyFont="1" applyFill="1" applyAlignment="1">
      <alignment horizontal="left" vertical="center" wrapText="1"/>
    </xf>
    <xf numFmtId="166" fontId="4" fillId="2" borderId="0" xfId="0" applyNumberFormat="1" applyFont="1" applyFill="1" applyAlignment="1">
      <alignment horizontal="center" vertical="center"/>
    </xf>
    <xf numFmtId="166" fontId="3" fillId="2" borderId="0" xfId="0" applyNumberFormat="1" applyFont="1" applyFill="1" applyAlignment="1">
      <alignment horizontal="center" vertical="center" wrapText="1"/>
    </xf>
    <xf numFmtId="166" fontId="4" fillId="2" borderId="0" xfId="0" applyNumberFormat="1" applyFont="1" applyFill="1" applyAlignment="1">
      <alignment horizontal="center"/>
    </xf>
    <xf numFmtId="166" fontId="3" fillId="2" borderId="0" xfId="0" applyNumberFormat="1" applyFont="1" applyFill="1" applyAlignment="1">
      <alignment horizontal="center"/>
    </xf>
    <xf numFmtId="0" fontId="13" fillId="2"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11" borderId="0" xfId="0" applyFont="1" applyFill="1" applyAlignment="1">
      <alignment vertical="center"/>
    </xf>
    <xf numFmtId="0" fontId="3" fillId="5" borderId="0" xfId="0" applyFont="1" applyFill="1" applyAlignment="1">
      <alignment horizontal="center" vertical="center" wrapText="1"/>
    </xf>
    <xf numFmtId="2" fontId="4" fillId="17" borderId="6" xfId="0" applyNumberFormat="1" applyFont="1" applyFill="1" applyBorder="1" applyAlignment="1">
      <alignment horizontal="center" vertical="center"/>
    </xf>
    <xf numFmtId="0" fontId="3" fillId="18" borderId="11" xfId="0" applyFont="1" applyFill="1" applyBorder="1" applyAlignment="1">
      <alignment horizontal="center" vertical="center" wrapText="1"/>
    </xf>
    <xf numFmtId="0" fontId="16" fillId="0" borderId="0" xfId="0" applyFont="1" applyAlignment="1">
      <alignment horizontal="center"/>
    </xf>
    <xf numFmtId="0" fontId="21" fillId="22" borderId="18" xfId="0" applyFont="1" applyFill="1" applyBorder="1" applyAlignment="1">
      <alignment horizontal="center" vertical="center"/>
    </xf>
    <xf numFmtId="0" fontId="21" fillId="22" borderId="16" xfId="0" applyFont="1" applyFill="1" applyBorder="1" applyAlignment="1">
      <alignment horizontal="center" vertical="center"/>
    </xf>
    <xf numFmtId="0" fontId="21" fillId="22" borderId="19" xfId="0" applyFont="1" applyFill="1" applyBorder="1" applyAlignment="1">
      <alignment horizontal="center" vertical="center"/>
    </xf>
    <xf numFmtId="0" fontId="21" fillId="22" borderId="20" xfId="0" applyFont="1" applyFill="1" applyBorder="1" applyAlignment="1">
      <alignment horizontal="center" vertical="center"/>
    </xf>
    <xf numFmtId="0" fontId="21" fillId="22" borderId="21" xfId="0" applyFont="1" applyFill="1" applyBorder="1" applyAlignment="1">
      <alignment horizontal="center" vertical="center"/>
    </xf>
    <xf numFmtId="0" fontId="16" fillId="22" borderId="22" xfId="0" applyFont="1" applyFill="1" applyBorder="1" applyAlignment="1">
      <alignment horizontal="center" vertical="center"/>
    </xf>
    <xf numFmtId="0" fontId="16" fillId="22" borderId="28" xfId="0" applyFont="1" applyFill="1" applyBorder="1" applyAlignment="1">
      <alignment horizontal="center" vertical="center"/>
    </xf>
    <xf numFmtId="49" fontId="16" fillId="0" borderId="34" xfId="0" applyNumberFormat="1" applyFont="1" applyBorder="1" applyAlignment="1">
      <alignment horizontal="left" vertical="center" wrapText="1"/>
    </xf>
    <xf numFmtId="0" fontId="4" fillId="4" borderId="45" xfId="0" applyFont="1" applyFill="1" applyBorder="1" applyAlignment="1">
      <alignment horizontal="center" vertical="center"/>
    </xf>
    <xf numFmtId="9" fontId="3" fillId="23" borderId="45" xfId="0" applyNumberFormat="1" applyFont="1" applyFill="1" applyBorder="1" applyAlignment="1">
      <alignment horizontal="center" vertical="center"/>
    </xf>
    <xf numFmtId="9" fontId="3" fillId="24" borderId="45" xfId="0" applyNumberFormat="1" applyFont="1" applyFill="1" applyBorder="1" applyAlignment="1">
      <alignment horizontal="center" vertical="center"/>
    </xf>
    <xf numFmtId="9" fontId="3" fillId="24" borderId="55" xfId="0" applyNumberFormat="1" applyFont="1" applyFill="1" applyBorder="1" applyAlignment="1">
      <alignment horizontal="center" vertical="center"/>
    </xf>
    <xf numFmtId="0" fontId="4" fillId="5" borderId="6" xfId="0" applyFont="1" applyFill="1" applyBorder="1" applyAlignment="1">
      <alignment horizontal="center" vertical="center" wrapText="1"/>
    </xf>
    <xf numFmtId="0" fontId="4" fillId="18" borderId="7" xfId="0" applyFont="1" applyFill="1" applyBorder="1" applyAlignment="1">
      <alignment horizontal="center" vertical="center" wrapText="1"/>
    </xf>
    <xf numFmtId="14" fontId="16" fillId="0" borderId="0" xfId="0" applyNumberFormat="1" applyFont="1" applyAlignment="1">
      <alignment horizontal="center"/>
    </xf>
    <xf numFmtId="0" fontId="3" fillId="25" borderId="0" xfId="0" applyFont="1" applyFill="1" applyAlignment="1">
      <alignment vertical="center"/>
    </xf>
    <xf numFmtId="0" fontId="21" fillId="22" borderId="22" xfId="0" applyFont="1" applyFill="1" applyBorder="1" applyAlignment="1">
      <alignment horizontal="center" vertical="center"/>
    </xf>
    <xf numFmtId="0" fontId="21" fillId="22" borderId="23" xfId="0" applyFont="1" applyFill="1" applyBorder="1" applyAlignment="1">
      <alignment horizontal="center" vertical="center"/>
    </xf>
    <xf numFmtId="0" fontId="21" fillId="22" borderId="22" xfId="0" applyFont="1" applyFill="1" applyBorder="1" applyAlignment="1">
      <alignment horizontal="center" vertical="center" textRotation="90" wrapText="1"/>
    </xf>
    <xf numFmtId="0" fontId="21" fillId="22" borderId="23" xfId="0" applyFont="1" applyFill="1" applyBorder="1" applyAlignment="1">
      <alignment horizontal="center" vertical="center" textRotation="90" wrapText="1"/>
    </xf>
    <xf numFmtId="14" fontId="20" fillId="22" borderId="16" xfId="0" applyNumberFormat="1" applyFont="1" applyFill="1" applyBorder="1" applyAlignment="1">
      <alignment vertical="center"/>
    </xf>
    <xf numFmtId="0" fontId="16" fillId="0" borderId="22" xfId="0" applyFont="1" applyBorder="1" applyAlignment="1">
      <alignment horizontal="center"/>
    </xf>
    <xf numFmtId="0" fontId="16" fillId="0" borderId="28" xfId="0" applyFont="1" applyBorder="1" applyAlignment="1">
      <alignment horizontal="center"/>
    </xf>
    <xf numFmtId="0" fontId="16" fillId="0" borderId="23" xfId="0" applyFont="1" applyBorder="1" applyAlignment="1">
      <alignment horizontal="center"/>
    </xf>
    <xf numFmtId="0" fontId="21" fillId="0" borderId="28" xfId="0" applyFont="1" applyBorder="1" applyAlignment="1">
      <alignment horizontal="center"/>
    </xf>
    <xf numFmtId="0" fontId="1" fillId="2" borderId="0" xfId="0" applyFont="1" applyFill="1" applyAlignment="1">
      <alignment vertical="center"/>
    </xf>
    <xf numFmtId="0" fontId="16" fillId="0" borderId="18" xfId="0" applyFont="1" applyBorder="1" applyAlignment="1">
      <alignment horizontal="center" vertical="center" textRotation="90" wrapText="1"/>
    </xf>
    <xf numFmtId="0" fontId="16" fillId="19" borderId="0" xfId="0" applyFont="1" applyFill="1" applyAlignment="1">
      <alignment horizontal="center"/>
    </xf>
    <xf numFmtId="0" fontId="21" fillId="26" borderId="18" xfId="0" applyFont="1" applyFill="1" applyBorder="1" applyAlignment="1">
      <alignment horizontal="center" vertical="center"/>
    </xf>
    <xf numFmtId="0" fontId="21" fillId="22" borderId="0" xfId="0" applyFont="1" applyFill="1" applyAlignment="1">
      <alignment horizontal="center" vertical="center"/>
    </xf>
    <xf numFmtId="0" fontId="21" fillId="22" borderId="56" xfId="0" applyFont="1" applyFill="1" applyBorder="1" applyAlignment="1">
      <alignment horizontal="center" vertical="center"/>
    </xf>
    <xf numFmtId="0" fontId="16" fillId="0" borderId="21" xfId="0" applyFont="1" applyBorder="1" applyAlignment="1">
      <alignment horizontal="center"/>
    </xf>
    <xf numFmtId="0" fontId="11" fillId="3" borderId="0" xfId="0" applyFont="1" applyFill="1" applyAlignment="1">
      <alignment horizontal="center" vertical="center" wrapText="1"/>
    </xf>
    <xf numFmtId="0" fontId="11" fillId="3" borderId="0" xfId="0" applyFont="1" applyFill="1" applyAlignment="1">
      <alignment horizontal="left" vertical="center" wrapText="1"/>
    </xf>
    <xf numFmtId="49" fontId="12" fillId="3" borderId="0" xfId="0" applyNumberFormat="1" applyFont="1" applyFill="1" applyAlignment="1">
      <alignment horizontal="center" vertical="center"/>
    </xf>
    <xf numFmtId="166" fontId="4" fillId="3" borderId="0" xfId="0" applyNumberFormat="1" applyFont="1" applyFill="1" applyAlignment="1">
      <alignment horizontal="center" vertical="center"/>
    </xf>
    <xf numFmtId="166" fontId="3" fillId="3" borderId="0" xfId="0" applyNumberFormat="1" applyFont="1" applyFill="1" applyAlignment="1">
      <alignment horizontal="center" vertical="center"/>
    </xf>
    <xf numFmtId="166" fontId="3" fillId="3" borderId="0" xfId="0" applyNumberFormat="1" applyFont="1" applyFill="1" applyAlignment="1">
      <alignment horizontal="center" vertical="center" wrapText="1"/>
    </xf>
    <xf numFmtId="166" fontId="4" fillId="3" borderId="0" xfId="0" applyNumberFormat="1" applyFont="1" applyFill="1" applyAlignment="1">
      <alignment horizontal="center"/>
    </xf>
    <xf numFmtId="166" fontId="3" fillId="3" borderId="0" xfId="0" applyNumberFormat="1" applyFont="1" applyFill="1" applyAlignment="1">
      <alignment horizontal="center"/>
    </xf>
    <xf numFmtId="0" fontId="3" fillId="3" borderId="0" xfId="0" applyFont="1" applyFill="1" applyAlignment="1">
      <alignment horizontal="center" vertical="center"/>
    </xf>
    <xf numFmtId="2" fontId="3" fillId="3" borderId="0" xfId="0" applyNumberFormat="1" applyFont="1" applyFill="1" applyAlignment="1">
      <alignment horizontal="center" vertical="center"/>
    </xf>
    <xf numFmtId="0" fontId="3" fillId="3" borderId="0" xfId="0" applyFont="1" applyFill="1" applyAlignment="1">
      <alignment vertical="center"/>
    </xf>
    <xf numFmtId="0" fontId="0" fillId="3" borderId="0" xfId="0" applyFill="1"/>
    <xf numFmtId="0" fontId="13" fillId="3" borderId="0" xfId="0" applyFont="1" applyFill="1" applyAlignment="1">
      <alignment vertical="center"/>
    </xf>
    <xf numFmtId="0" fontId="4" fillId="3" borderId="0" xfId="0" applyFont="1" applyFill="1" applyAlignment="1">
      <alignment horizontal="center" vertical="center"/>
    </xf>
    <xf numFmtId="167" fontId="3" fillId="3" borderId="0" xfId="0" applyNumberFormat="1" applyFont="1" applyFill="1" applyAlignment="1">
      <alignment vertical="center"/>
    </xf>
    <xf numFmtId="0" fontId="4" fillId="3" borderId="0" xfId="0" applyFont="1" applyFill="1" applyAlignment="1">
      <alignment vertical="center"/>
    </xf>
    <xf numFmtId="0" fontId="14" fillId="3" borderId="0" xfId="0" applyFont="1" applyFill="1" applyAlignment="1">
      <alignment horizontal="center" vertical="center"/>
    </xf>
    <xf numFmtId="0" fontId="15" fillId="3" borderId="0" xfId="0" applyFont="1" applyFill="1" applyAlignment="1">
      <alignment horizontal="center"/>
    </xf>
    <xf numFmtId="0" fontId="3" fillId="3" borderId="0" xfId="0" applyFont="1" applyFill="1"/>
    <xf numFmtId="0" fontId="3" fillId="3" borderId="0" xfId="0" applyFont="1" applyFill="1" applyAlignment="1">
      <alignment horizontal="center"/>
    </xf>
    <xf numFmtId="0" fontId="11" fillId="27" borderId="0" xfId="0" applyFont="1" applyFill="1" applyAlignment="1">
      <alignment horizontal="center" vertical="center" wrapText="1"/>
    </xf>
    <xf numFmtId="0" fontId="2" fillId="3" borderId="0" xfId="0" applyFont="1" applyFill="1"/>
    <xf numFmtId="0" fontId="6" fillId="3" borderId="0" xfId="0" applyFont="1" applyFill="1" applyAlignment="1">
      <alignment vertical="center"/>
    </xf>
    <xf numFmtId="0" fontId="5"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0" fontId="25" fillId="28" borderId="0" xfId="0" applyFont="1" applyFill="1" applyAlignment="1">
      <alignment vertical="center"/>
    </xf>
    <xf numFmtId="0" fontId="3" fillId="29" borderId="0" xfId="0" applyFont="1" applyFill="1" applyAlignment="1">
      <alignment vertical="center"/>
    </xf>
    <xf numFmtId="0" fontId="5" fillId="2" borderId="0" xfId="0" applyFont="1" applyFill="1" applyAlignment="1">
      <alignment vertical="center"/>
    </xf>
    <xf numFmtId="0" fontId="3" fillId="30" borderId="0" xfId="0" applyFont="1" applyFill="1" applyAlignment="1">
      <alignment vertical="center"/>
    </xf>
    <xf numFmtId="0" fontId="3" fillId="31" borderId="0" xfId="0" applyFont="1" applyFill="1" applyAlignment="1">
      <alignment vertical="center"/>
    </xf>
    <xf numFmtId="168" fontId="1" fillId="2" borderId="24" xfId="0" applyNumberFormat="1" applyFont="1" applyFill="1" applyBorder="1" applyAlignment="1">
      <alignment horizontal="center" vertical="center"/>
    </xf>
    <xf numFmtId="0" fontId="1" fillId="2" borderId="24" xfId="0" applyFont="1" applyFill="1" applyBorder="1" applyAlignment="1">
      <alignment horizontal="right" vertical="center"/>
    </xf>
    <xf numFmtId="0" fontId="26" fillId="0" borderId="0" xfId="0" applyFont="1" applyAlignment="1">
      <alignment horizontal="center"/>
    </xf>
    <xf numFmtId="0" fontId="3" fillId="0" borderId="0" xfId="0" applyFont="1"/>
    <xf numFmtId="2" fontId="22" fillId="0" borderId="26" xfId="0" applyNumberFormat="1" applyFont="1" applyBorder="1" applyAlignment="1">
      <alignment horizontal="center" vertical="center"/>
    </xf>
    <xf numFmtId="2" fontId="22" fillId="0" borderId="27"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31" xfId="0" applyNumberFormat="1" applyFont="1" applyBorder="1" applyAlignment="1">
      <alignment horizontal="center" vertical="center"/>
    </xf>
    <xf numFmtId="9" fontId="4" fillId="23" borderId="45" xfId="0" applyNumberFormat="1" applyFont="1" applyFill="1" applyBorder="1" applyAlignment="1">
      <alignment horizontal="center" vertical="center"/>
    </xf>
    <xf numFmtId="2" fontId="22" fillId="0" borderId="26"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16" fillId="22" borderId="57" xfId="0" applyFont="1" applyFill="1" applyBorder="1" applyAlignment="1">
      <alignment horizontal="center" vertical="center"/>
    </xf>
    <xf numFmtId="0" fontId="16" fillId="22" borderId="62" xfId="0" applyFont="1" applyFill="1" applyBorder="1" applyAlignment="1">
      <alignment horizontal="center" vertical="center"/>
    </xf>
    <xf numFmtId="0" fontId="21" fillId="22" borderId="63" xfId="0" applyFont="1" applyFill="1" applyBorder="1" applyAlignment="1">
      <alignment vertical="center"/>
    </xf>
    <xf numFmtId="0" fontId="21" fillId="26" borderId="63" xfId="0" applyFont="1" applyFill="1" applyBorder="1" applyAlignment="1">
      <alignment vertical="center"/>
    </xf>
    <xf numFmtId="2" fontId="16" fillId="0" borderId="0" xfId="0" applyNumberFormat="1" applyFont="1" applyAlignment="1">
      <alignment horizontal="center"/>
    </xf>
    <xf numFmtId="49" fontId="30" fillId="0" borderId="21" xfId="0" applyNumberFormat="1" applyFont="1" applyBorder="1" applyAlignment="1">
      <alignment vertical="center" wrapText="1"/>
    </xf>
    <xf numFmtId="49" fontId="31" fillId="0" borderId="21" xfId="0" applyNumberFormat="1" applyFont="1" applyBorder="1" applyAlignment="1">
      <alignment vertical="center" wrapText="1"/>
    </xf>
    <xf numFmtId="49" fontId="31" fillId="0" borderId="15" xfId="0" applyNumberFormat="1" applyFont="1" applyBorder="1" applyAlignment="1">
      <alignment vertical="center" wrapText="1"/>
    </xf>
    <xf numFmtId="49" fontId="31" fillId="0" borderId="21" xfId="0" applyNumberFormat="1" applyFont="1" applyBorder="1" applyAlignment="1">
      <alignment horizontal="center" vertical="center" wrapText="1"/>
    </xf>
    <xf numFmtId="43" fontId="31" fillId="0" borderId="21" xfId="1" applyFont="1" applyFill="1" applyBorder="1" applyAlignment="1">
      <alignment horizontal="center" vertical="center" wrapText="1"/>
    </xf>
    <xf numFmtId="3" fontId="31" fillId="0" borderId="21" xfId="0" applyNumberFormat="1" applyFont="1" applyBorder="1" applyAlignment="1">
      <alignment horizontal="center" vertical="center" wrapText="1"/>
    </xf>
    <xf numFmtId="0" fontId="32" fillId="0" borderId="64" xfId="0" applyFont="1" applyBorder="1"/>
    <xf numFmtId="49" fontId="33" fillId="0" borderId="0" xfId="0" applyNumberFormat="1" applyFont="1"/>
    <xf numFmtId="0" fontId="32" fillId="0" borderId="0" xfId="0" applyFont="1"/>
    <xf numFmtId="164" fontId="33" fillId="0" borderId="0" xfId="2" applyFont="1" applyFill="1" applyBorder="1"/>
    <xf numFmtId="43" fontId="32" fillId="0" borderId="0" xfId="1" applyFont="1" applyFill="1" applyBorder="1"/>
    <xf numFmtId="3" fontId="32" fillId="0" borderId="0" xfId="0" applyNumberFormat="1" applyFont="1"/>
    <xf numFmtId="3" fontId="33" fillId="0" borderId="65" xfId="2" applyNumberFormat="1" applyFont="1" applyFill="1" applyBorder="1"/>
    <xf numFmtId="49" fontId="34" fillId="0" borderId="0" xfId="0" applyNumberFormat="1" applyFont="1"/>
    <xf numFmtId="164" fontId="34" fillId="0" borderId="0" xfId="2" applyFont="1" applyFill="1" applyBorder="1"/>
    <xf numFmtId="3" fontId="34" fillId="0" borderId="65" xfId="2" applyNumberFormat="1" applyFont="1" applyFill="1" applyBorder="1"/>
    <xf numFmtId="49" fontId="35" fillId="0" borderId="0" xfId="0" applyNumberFormat="1" applyFont="1"/>
    <xf numFmtId="164" fontId="35" fillId="0" borderId="0" xfId="2" applyFont="1" applyFill="1" applyBorder="1"/>
    <xf numFmtId="3" fontId="35" fillId="0" borderId="65" xfId="2" applyNumberFormat="1" applyFont="1" applyFill="1" applyBorder="1"/>
    <xf numFmtId="49" fontId="36" fillId="0" borderId="0" xfId="0" applyNumberFormat="1" applyFont="1"/>
    <xf numFmtId="164" fontId="32" fillId="0" borderId="0" xfId="2" applyFont="1" applyFill="1" applyBorder="1"/>
    <xf numFmtId="170" fontId="36" fillId="0" borderId="64" xfId="0" applyNumberFormat="1" applyFont="1" applyBorder="1"/>
    <xf numFmtId="43" fontId="36" fillId="0" borderId="0" xfId="1" applyFont="1" applyFill="1" applyBorder="1"/>
    <xf numFmtId="3" fontId="32" fillId="0" borderId="0" xfId="1" applyNumberFormat="1" applyFont="1" applyFill="1" applyBorder="1"/>
    <xf numFmtId="3" fontId="32" fillId="0" borderId="65" xfId="2" applyNumberFormat="1" applyFont="1" applyFill="1" applyBorder="1"/>
    <xf numFmtId="164" fontId="37" fillId="0" borderId="0" xfId="2" applyFont="1" applyFill="1" applyBorder="1"/>
    <xf numFmtId="170" fontId="38" fillId="0" borderId="64" xfId="0" applyNumberFormat="1" applyFont="1" applyBorder="1"/>
    <xf numFmtId="0" fontId="37" fillId="0" borderId="0" xfId="0" applyFont="1"/>
    <xf numFmtId="43" fontId="37" fillId="0" borderId="0" xfId="1" applyFont="1" applyFill="1" applyBorder="1"/>
    <xf numFmtId="3" fontId="37" fillId="0" borderId="0" xfId="1" applyNumberFormat="1" applyFont="1" applyFill="1" applyBorder="1"/>
    <xf numFmtId="3" fontId="37" fillId="0" borderId="65" xfId="2" applyNumberFormat="1" applyFont="1" applyFill="1" applyBorder="1"/>
    <xf numFmtId="49" fontId="36" fillId="0" borderId="0" xfId="0" applyNumberFormat="1" applyFont="1" applyAlignment="1">
      <alignment horizontal="left" indent="4"/>
    </xf>
    <xf numFmtId="164" fontId="39" fillId="0" borderId="0" xfId="2" applyFont="1" applyFill="1" applyBorder="1"/>
    <xf numFmtId="3" fontId="39" fillId="0" borderId="65" xfId="2" applyNumberFormat="1" applyFont="1" applyFill="1" applyBorder="1"/>
    <xf numFmtId="0" fontId="40" fillId="0" borderId="64" xfId="0" applyFont="1" applyBorder="1"/>
    <xf numFmtId="49" fontId="41" fillId="0" borderId="0" xfId="0" applyNumberFormat="1" applyFont="1"/>
    <xf numFmtId="49" fontId="41" fillId="0" borderId="0" xfId="0" applyNumberFormat="1" applyFont="1" applyAlignment="1">
      <alignment horizontal="left" indent="3"/>
    </xf>
    <xf numFmtId="164" fontId="40" fillId="0" borderId="0" xfId="2" applyFont="1" applyFill="1" applyBorder="1"/>
    <xf numFmtId="170" fontId="41" fillId="0" borderId="64" xfId="0" applyNumberFormat="1" applyFont="1" applyBorder="1"/>
    <xf numFmtId="0" fontId="40" fillId="0" borderId="0" xfId="0" applyFont="1"/>
    <xf numFmtId="43" fontId="40" fillId="0" borderId="0" xfId="1" applyFont="1" applyFill="1" applyBorder="1"/>
    <xf numFmtId="3" fontId="40" fillId="0" borderId="0" xfId="1" applyNumberFormat="1" applyFont="1" applyFill="1" applyBorder="1"/>
    <xf numFmtId="3" fontId="40" fillId="0" borderId="65" xfId="2" applyNumberFormat="1" applyFont="1" applyFill="1" applyBorder="1"/>
    <xf numFmtId="0" fontId="42" fillId="0" borderId="0" xfId="0" applyFont="1"/>
    <xf numFmtId="49" fontId="36" fillId="0" borderId="0" xfId="0" applyNumberFormat="1" applyFont="1" applyAlignment="1">
      <alignment horizontal="left" indent="3"/>
    </xf>
    <xf numFmtId="49" fontId="36" fillId="0" borderId="0" xfId="0" applyNumberFormat="1" applyFont="1" applyAlignment="1">
      <alignment wrapText="1"/>
    </xf>
    <xf numFmtId="49" fontId="41" fillId="0" borderId="0" xfId="0" applyNumberFormat="1" applyFont="1" applyAlignment="1">
      <alignment horizontal="left" indent="4"/>
    </xf>
    <xf numFmtId="12" fontId="32" fillId="0" borderId="0" xfId="1" applyNumberFormat="1" applyFont="1" applyFill="1" applyBorder="1"/>
    <xf numFmtId="49" fontId="43" fillId="0" borderId="0" xfId="0" applyNumberFormat="1" applyFont="1"/>
    <xf numFmtId="164" fontId="43" fillId="0" borderId="0" xfId="2" applyFont="1" applyFill="1" applyBorder="1"/>
    <xf numFmtId="3" fontId="43" fillId="0" borderId="65" xfId="2" applyNumberFormat="1" applyFont="1" applyFill="1" applyBorder="1"/>
    <xf numFmtId="43" fontId="35" fillId="0" borderId="0" xfId="1" applyFont="1" applyFill="1" applyBorder="1"/>
    <xf numFmtId="49" fontId="44" fillId="0" borderId="0" xfId="0" applyNumberFormat="1" applyFont="1"/>
    <xf numFmtId="164" fontId="44" fillId="0" borderId="0" xfId="2" applyFont="1" applyFill="1" applyBorder="1"/>
    <xf numFmtId="3" fontId="44" fillId="0" borderId="65" xfId="2" applyNumberFormat="1" applyFont="1" applyFill="1" applyBorder="1"/>
    <xf numFmtId="49" fontId="36" fillId="0" borderId="0" xfId="0" applyNumberFormat="1" applyFont="1" applyAlignment="1">
      <alignment horizontal="left" indent="10"/>
    </xf>
    <xf numFmtId="0" fontId="39" fillId="0" borderId="64" xfId="0" applyFont="1" applyBorder="1"/>
    <xf numFmtId="170" fontId="33" fillId="0" borderId="64" xfId="0" applyNumberFormat="1" applyFont="1" applyBorder="1"/>
    <xf numFmtId="0" fontId="39" fillId="0" borderId="0" xfId="0" applyFont="1"/>
    <xf numFmtId="43" fontId="39" fillId="0" borderId="0" xfId="1" applyFont="1" applyFill="1" applyBorder="1"/>
    <xf numFmtId="3" fontId="39" fillId="0" borderId="0" xfId="1" applyNumberFormat="1" applyFont="1" applyFill="1" applyBorder="1"/>
    <xf numFmtId="0" fontId="29" fillId="0" borderId="0" xfId="0" applyFont="1"/>
    <xf numFmtId="49" fontId="41" fillId="0" borderId="0" xfId="0" applyNumberFormat="1" applyFont="1" applyAlignment="1">
      <alignment horizontal="left" indent="6"/>
    </xf>
    <xf numFmtId="3" fontId="42" fillId="0" borderId="0" xfId="0" applyNumberFormat="1" applyFont="1"/>
    <xf numFmtId="0" fontId="0" fillId="26" borderId="0" xfId="0" applyFill="1"/>
    <xf numFmtId="0" fontId="0" fillId="0" borderId="64" xfId="0" applyBorder="1"/>
    <xf numFmtId="3" fontId="0" fillId="0" borderId="0" xfId="0" applyNumberFormat="1"/>
    <xf numFmtId="3" fontId="0" fillId="0" borderId="65" xfId="0" applyNumberFormat="1" applyBorder="1"/>
    <xf numFmtId="3" fontId="45" fillId="0" borderId="0" xfId="0" applyNumberFormat="1" applyFont="1"/>
    <xf numFmtId="3" fontId="46" fillId="0" borderId="0" xfId="1" applyNumberFormat="1" applyFont="1" applyFill="1" applyBorder="1"/>
    <xf numFmtId="49" fontId="36" fillId="0" borderId="0" xfId="0" applyNumberFormat="1" applyFont="1" applyAlignment="1">
      <alignment horizontal="left" wrapText="1"/>
    </xf>
    <xf numFmtId="49" fontId="36" fillId="0" borderId="0" xfId="0" applyNumberFormat="1" applyFont="1" applyAlignment="1">
      <alignment horizontal="left" indent="5"/>
    </xf>
    <xf numFmtId="3" fontId="47" fillId="0" borderId="0" xfId="1" applyNumberFormat="1" applyFont="1" applyFill="1" applyBorder="1"/>
    <xf numFmtId="4" fontId="32" fillId="0" borderId="0" xfId="0" applyNumberFormat="1" applyFont="1"/>
    <xf numFmtId="3" fontId="46" fillId="0" borderId="0" xfId="0" applyNumberFormat="1" applyFont="1"/>
    <xf numFmtId="4" fontId="40" fillId="0" borderId="0" xfId="0" applyNumberFormat="1" applyFont="1"/>
    <xf numFmtId="3" fontId="48" fillId="0" borderId="0" xfId="1" applyNumberFormat="1" applyFont="1" applyFill="1" applyBorder="1"/>
    <xf numFmtId="3" fontId="45" fillId="0" borderId="0" xfId="1" applyNumberFormat="1" applyFont="1" applyFill="1" applyBorder="1"/>
    <xf numFmtId="0" fontId="32" fillId="0" borderId="0" xfId="0" applyFont="1" applyAlignment="1">
      <alignment horizontal="center"/>
    </xf>
    <xf numFmtId="49" fontId="36" fillId="0" borderId="0" xfId="0" applyNumberFormat="1" applyFont="1" applyAlignment="1">
      <alignment horizontal="center"/>
    </xf>
    <xf numFmtId="49" fontId="49" fillId="0" borderId="0" xfId="0" applyNumberFormat="1" applyFont="1"/>
    <xf numFmtId="49" fontId="49" fillId="0" borderId="0" xfId="0" applyNumberFormat="1" applyFont="1" applyAlignment="1">
      <alignment horizontal="center"/>
    </xf>
    <xf numFmtId="170" fontId="49" fillId="0" borderId="64" xfId="0" applyNumberFormat="1" applyFont="1" applyBorder="1"/>
    <xf numFmtId="4" fontId="45" fillId="0" borderId="0" xfId="1" applyNumberFormat="1" applyFont="1" applyFill="1" applyBorder="1"/>
    <xf numFmtId="171" fontId="49" fillId="0" borderId="64" xfId="0" applyNumberFormat="1" applyFont="1" applyBorder="1"/>
    <xf numFmtId="49" fontId="38" fillId="0" borderId="0" xfId="0" applyNumberFormat="1" applyFont="1"/>
    <xf numFmtId="49" fontId="38" fillId="0" borderId="0" xfId="0" applyNumberFormat="1" applyFont="1" applyAlignment="1">
      <alignment horizontal="center"/>
    </xf>
    <xf numFmtId="0" fontId="50" fillId="0" borderId="64" xfId="0" applyFont="1" applyBorder="1"/>
    <xf numFmtId="49" fontId="51" fillId="0" borderId="0" xfId="0" applyNumberFormat="1" applyFont="1"/>
    <xf numFmtId="49" fontId="51" fillId="0" borderId="0" xfId="0" applyNumberFormat="1" applyFont="1" applyAlignment="1">
      <alignment horizontal="center"/>
    </xf>
    <xf numFmtId="164" fontId="50" fillId="0" borderId="0" xfId="2" applyFont="1" applyFill="1" applyBorder="1"/>
    <xf numFmtId="4" fontId="52" fillId="0" borderId="0" xfId="1" applyNumberFormat="1" applyFont="1" applyFill="1" applyBorder="1"/>
    <xf numFmtId="3" fontId="50" fillId="0" borderId="65" xfId="2" applyNumberFormat="1" applyFont="1" applyFill="1" applyBorder="1"/>
    <xf numFmtId="0" fontId="53" fillId="0" borderId="0" xfId="0" applyFont="1"/>
    <xf numFmtId="171" fontId="51" fillId="0" borderId="64" xfId="0" applyNumberFormat="1" applyFont="1" applyBorder="1"/>
    <xf numFmtId="0" fontId="50" fillId="0" borderId="0" xfId="0" applyFont="1"/>
    <xf numFmtId="4" fontId="50" fillId="0" borderId="0" xfId="0" applyNumberFormat="1" applyFont="1"/>
    <xf numFmtId="43" fontId="50" fillId="0" borderId="0" xfId="1" applyFont="1" applyFill="1" applyBorder="1"/>
    <xf numFmtId="0" fontId="54" fillId="0" borderId="0" xfId="0" applyFont="1"/>
    <xf numFmtId="171" fontId="36" fillId="0" borderId="64" xfId="0" applyNumberFormat="1" applyFont="1" applyBorder="1"/>
    <xf numFmtId="49" fontId="36" fillId="0" borderId="0" xfId="0" applyNumberFormat="1" applyFont="1" applyAlignment="1">
      <alignment horizontal="left" indent="6"/>
    </xf>
    <xf numFmtId="49" fontId="33" fillId="0" borderId="0" xfId="0" applyNumberFormat="1" applyFont="1" applyAlignment="1">
      <alignment horizontal="center"/>
    </xf>
    <xf numFmtId="4" fontId="39" fillId="0" borderId="0" xfId="0" applyNumberFormat="1" applyFont="1"/>
    <xf numFmtId="3" fontId="55" fillId="0" borderId="0" xfId="1" applyNumberFormat="1" applyFont="1" applyFill="1" applyBorder="1"/>
    <xf numFmtId="0" fontId="37" fillId="0" borderId="64" xfId="0" applyFont="1" applyBorder="1"/>
    <xf numFmtId="4" fontId="37" fillId="0" borderId="0" xfId="0" applyNumberFormat="1" applyFont="1"/>
    <xf numFmtId="3" fontId="56" fillId="0" borderId="0" xfId="1" applyNumberFormat="1" applyFont="1" applyFill="1" applyBorder="1"/>
    <xf numFmtId="0" fontId="57" fillId="0" borderId="0" xfId="0" applyFont="1"/>
    <xf numFmtId="49" fontId="36" fillId="0" borderId="0" xfId="0" applyNumberFormat="1" applyFont="1" applyAlignment="1">
      <alignment horizontal="left" indent="8"/>
    </xf>
    <xf numFmtId="2" fontId="32" fillId="0" borderId="0" xfId="0" applyNumberFormat="1" applyFont="1"/>
    <xf numFmtId="49" fontId="33" fillId="0" borderId="0" xfId="0" applyNumberFormat="1" applyFont="1" applyAlignment="1">
      <alignment horizontal="left" indent="6"/>
    </xf>
    <xf numFmtId="0" fontId="58" fillId="0" borderId="64" xfId="0" applyFont="1" applyBorder="1"/>
    <xf numFmtId="49" fontId="59" fillId="0" borderId="0" xfId="0" applyNumberFormat="1" applyFont="1"/>
    <xf numFmtId="49" fontId="59" fillId="0" borderId="0" xfId="0" applyNumberFormat="1" applyFont="1" applyAlignment="1">
      <alignment horizontal="center"/>
    </xf>
    <xf numFmtId="164" fontId="58" fillId="0" borderId="0" xfId="2" applyFont="1" applyFill="1" applyBorder="1"/>
    <xf numFmtId="170" fontId="59" fillId="0" borderId="64" xfId="0" applyNumberFormat="1" applyFont="1" applyBorder="1"/>
    <xf numFmtId="4" fontId="60" fillId="0" borderId="0" xfId="1" applyNumberFormat="1" applyFont="1" applyFill="1" applyBorder="1"/>
    <xf numFmtId="3" fontId="58" fillId="0" borderId="65" xfId="2" applyNumberFormat="1" applyFont="1" applyFill="1" applyBorder="1"/>
    <xf numFmtId="0" fontId="61" fillId="0" borderId="0" xfId="0" applyFont="1"/>
    <xf numFmtId="171" fontId="59" fillId="0" borderId="64" xfId="0" applyNumberFormat="1" applyFont="1" applyBorder="1"/>
    <xf numFmtId="0" fontId="58" fillId="0" borderId="0" xfId="0" applyFont="1"/>
    <xf numFmtId="4" fontId="58" fillId="0" borderId="0" xfId="0" applyNumberFormat="1" applyFont="1"/>
    <xf numFmtId="49" fontId="38" fillId="0" borderId="0" xfId="0" applyNumberFormat="1" applyFont="1" applyAlignment="1">
      <alignment horizontal="left" indent="4"/>
    </xf>
    <xf numFmtId="0" fontId="62" fillId="0" borderId="64" xfId="0" applyFont="1" applyBorder="1"/>
    <xf numFmtId="49" fontId="63" fillId="0" borderId="0" xfId="0" applyNumberFormat="1" applyFont="1"/>
    <xf numFmtId="49" fontId="63" fillId="0" borderId="0" xfId="0" applyNumberFormat="1" applyFont="1" applyAlignment="1">
      <alignment horizontal="center"/>
    </xf>
    <xf numFmtId="164" fontId="62" fillId="0" borderId="0" xfId="2" applyFont="1" applyFill="1" applyBorder="1"/>
    <xf numFmtId="170" fontId="63" fillId="0" borderId="64" xfId="0" applyNumberFormat="1" applyFont="1" applyBorder="1"/>
    <xf numFmtId="0" fontId="62" fillId="0" borderId="0" xfId="0" applyFont="1"/>
    <xf numFmtId="4" fontId="62" fillId="0" borderId="0" xfId="0" applyNumberFormat="1" applyFont="1"/>
    <xf numFmtId="43" fontId="62" fillId="0" borderId="0" xfId="1" applyFont="1" applyFill="1" applyBorder="1"/>
    <xf numFmtId="3" fontId="64" fillId="0" borderId="0" xfId="1" applyNumberFormat="1" applyFont="1" applyFill="1" applyBorder="1"/>
    <xf numFmtId="3" fontId="62" fillId="0" borderId="65" xfId="2" applyNumberFormat="1" applyFont="1" applyFill="1" applyBorder="1"/>
    <xf numFmtId="0" fontId="62" fillId="26" borderId="64" xfId="0" applyFont="1" applyFill="1" applyBorder="1"/>
    <xf numFmtId="49" fontId="36" fillId="26" borderId="0" xfId="0" applyNumberFormat="1" applyFont="1" applyFill="1"/>
    <xf numFmtId="49" fontId="63" fillId="26" borderId="0" xfId="0" applyNumberFormat="1" applyFont="1" applyFill="1"/>
    <xf numFmtId="49" fontId="63" fillId="26" borderId="0" xfId="0" applyNumberFormat="1" applyFont="1" applyFill="1" applyAlignment="1">
      <alignment horizontal="center"/>
    </xf>
    <xf numFmtId="164" fontId="62" fillId="26" borderId="0" xfId="2" applyFont="1" applyFill="1" applyBorder="1"/>
    <xf numFmtId="4" fontId="64" fillId="26" borderId="0" xfId="1" applyNumberFormat="1" applyFont="1" applyFill="1" applyBorder="1"/>
    <xf numFmtId="3" fontId="62" fillId="26" borderId="65" xfId="2" applyNumberFormat="1" applyFont="1" applyFill="1" applyBorder="1"/>
    <xf numFmtId="0" fontId="54" fillId="26" borderId="0" xfId="0" applyFont="1" applyFill="1"/>
    <xf numFmtId="171" fontId="63" fillId="26" borderId="64" xfId="0" applyNumberFormat="1" applyFont="1" applyFill="1" applyBorder="1"/>
    <xf numFmtId="0" fontId="62" fillId="26" borderId="0" xfId="0" applyFont="1" applyFill="1"/>
    <xf numFmtId="4" fontId="58" fillId="26" borderId="0" xfId="0" applyNumberFormat="1" applyFont="1" applyFill="1"/>
    <xf numFmtId="170" fontId="36" fillId="26" borderId="64" xfId="0" applyNumberFormat="1" applyFont="1" applyFill="1" applyBorder="1"/>
    <xf numFmtId="0" fontId="32" fillId="26" borderId="0" xfId="0" applyFont="1" applyFill="1"/>
    <xf numFmtId="43" fontId="32" fillId="26" borderId="0" xfId="1" applyFont="1" applyFill="1" applyBorder="1"/>
    <xf numFmtId="3" fontId="45" fillId="26" borderId="0" xfId="1" applyNumberFormat="1" applyFont="1" applyFill="1" applyBorder="1"/>
    <xf numFmtId="3" fontId="32" fillId="26" borderId="65" xfId="2" applyNumberFormat="1" applyFont="1" applyFill="1" applyBorder="1"/>
    <xf numFmtId="43" fontId="58" fillId="0" borderId="0" xfId="1" applyFont="1" applyFill="1" applyBorder="1"/>
    <xf numFmtId="49" fontId="35" fillId="0" borderId="0" xfId="0" applyNumberFormat="1" applyFont="1" applyAlignment="1">
      <alignment horizontal="left" indent="2"/>
    </xf>
    <xf numFmtId="43" fontId="32" fillId="0" borderId="0" xfId="0" applyNumberFormat="1" applyFont="1"/>
    <xf numFmtId="43" fontId="34" fillId="0" borderId="0" xfId="1" applyFont="1" applyFill="1" applyBorder="1"/>
    <xf numFmtId="3" fontId="34" fillId="0" borderId="65" xfId="1" applyNumberFormat="1" applyFont="1" applyFill="1" applyBorder="1"/>
    <xf numFmtId="3" fontId="35" fillId="0" borderId="65" xfId="1" applyNumberFormat="1" applyFont="1" applyFill="1" applyBorder="1"/>
    <xf numFmtId="3" fontId="35" fillId="0" borderId="56" xfId="1" applyNumberFormat="1" applyFont="1" applyFill="1" applyBorder="1"/>
    <xf numFmtId="43" fontId="43" fillId="0" borderId="0" xfId="1" applyFont="1" applyFill="1" applyBorder="1"/>
    <xf numFmtId="3" fontId="43" fillId="0" borderId="65" xfId="1" applyNumberFormat="1" applyFont="1" applyFill="1" applyBorder="1"/>
    <xf numFmtId="3" fontId="43" fillId="0" borderId="56" xfId="1" applyNumberFormat="1" applyFont="1" applyFill="1" applyBorder="1"/>
    <xf numFmtId="0" fontId="32" fillId="26" borderId="64" xfId="0" applyFont="1" applyFill="1" applyBorder="1"/>
    <xf numFmtId="3" fontId="36" fillId="0" borderId="0" xfId="1" applyNumberFormat="1" applyFont="1" applyFill="1" applyBorder="1"/>
    <xf numFmtId="164" fontId="32" fillId="26" borderId="0" xfId="2" applyFont="1" applyFill="1" applyBorder="1"/>
    <xf numFmtId="3" fontId="36" fillId="26" borderId="0" xfId="1" applyNumberFormat="1" applyFont="1" applyFill="1" applyBorder="1"/>
    <xf numFmtId="3" fontId="33" fillId="0" borderId="0" xfId="1" applyNumberFormat="1" applyFont="1" applyFill="1" applyBorder="1"/>
    <xf numFmtId="49" fontId="36" fillId="26" borderId="0" xfId="0" applyNumberFormat="1" applyFont="1" applyFill="1" applyAlignment="1">
      <alignment horizontal="left" indent="5"/>
    </xf>
    <xf numFmtId="49" fontId="59" fillId="0" borderId="0" xfId="0" applyNumberFormat="1" applyFont="1" applyAlignment="1">
      <alignment horizontal="left"/>
    </xf>
    <xf numFmtId="3" fontId="59" fillId="0" borderId="0" xfId="1" applyNumberFormat="1" applyFont="1" applyFill="1" applyBorder="1"/>
    <xf numFmtId="49" fontId="59" fillId="0" borderId="0" xfId="0" applyNumberFormat="1" applyFont="1" applyAlignment="1">
      <alignment horizontal="left" indent="6"/>
    </xf>
    <xf numFmtId="49" fontId="36" fillId="26" borderId="0" xfId="0" applyNumberFormat="1" applyFont="1" applyFill="1" applyAlignment="1">
      <alignment horizontal="left" indent="6"/>
    </xf>
    <xf numFmtId="170" fontId="36" fillId="32" borderId="64" xfId="0" applyNumberFormat="1" applyFont="1" applyFill="1" applyBorder="1"/>
    <xf numFmtId="0" fontId="32" fillId="32" borderId="0" xfId="0" applyFont="1" applyFill="1"/>
    <xf numFmtId="43" fontId="32" fillId="32" borderId="0" xfId="1" applyFont="1" applyFill="1" applyBorder="1"/>
    <xf numFmtId="3" fontId="36" fillId="32" borderId="0" xfId="1" applyNumberFormat="1" applyFont="1" applyFill="1" applyBorder="1"/>
    <xf numFmtId="3" fontId="32" fillId="32" borderId="65" xfId="2" applyNumberFormat="1" applyFont="1" applyFill="1" applyBorder="1"/>
    <xf numFmtId="49" fontId="36" fillId="26" borderId="0" xfId="0" applyNumberFormat="1" applyFont="1" applyFill="1" applyAlignment="1">
      <alignment horizontal="left" wrapText="1" indent="6"/>
    </xf>
    <xf numFmtId="49" fontId="36" fillId="26" borderId="0" xfId="0" applyNumberFormat="1" applyFont="1" applyFill="1" applyAlignment="1">
      <alignment horizontal="left" wrapText="1" indent="5"/>
    </xf>
    <xf numFmtId="49" fontId="35" fillId="0" borderId="0" xfId="0" applyNumberFormat="1" applyFont="1" applyAlignment="1">
      <alignment wrapText="1"/>
    </xf>
    <xf numFmtId="0" fontId="32" fillId="33" borderId="0" xfId="0" applyFont="1" applyFill="1"/>
    <xf numFmtId="0" fontId="32" fillId="33" borderId="64" xfId="0" applyFont="1" applyFill="1" applyBorder="1"/>
    <xf numFmtId="49" fontId="36" fillId="33" borderId="0" xfId="0" applyNumberFormat="1" applyFont="1" applyFill="1"/>
    <xf numFmtId="49" fontId="36" fillId="33" borderId="0" xfId="0" applyNumberFormat="1" applyFont="1" applyFill="1" applyAlignment="1">
      <alignment wrapText="1"/>
    </xf>
    <xf numFmtId="164" fontId="32" fillId="33" borderId="0" xfId="2" applyFont="1" applyFill="1" applyBorder="1"/>
    <xf numFmtId="170" fontId="36" fillId="33" borderId="64" xfId="0" applyNumberFormat="1" applyFont="1" applyFill="1" applyBorder="1"/>
    <xf numFmtId="43" fontId="32" fillId="33" borderId="0" xfId="1" applyFont="1" applyFill="1" applyBorder="1"/>
    <xf numFmtId="3" fontId="36" fillId="33" borderId="0" xfId="1" applyNumberFormat="1" applyFont="1" applyFill="1" applyBorder="1"/>
    <xf numFmtId="3" fontId="32" fillId="33" borderId="65" xfId="2" applyNumberFormat="1" applyFont="1" applyFill="1" applyBorder="1"/>
    <xf numFmtId="49" fontId="36" fillId="26" borderId="0" xfId="0" applyNumberFormat="1" applyFont="1" applyFill="1" applyAlignment="1">
      <alignment wrapText="1"/>
    </xf>
    <xf numFmtId="0" fontId="32" fillId="19" borderId="0" xfId="0" applyFont="1" applyFill="1"/>
    <xf numFmtId="0" fontId="32" fillId="19" borderId="64" xfId="0" applyFont="1" applyFill="1" applyBorder="1"/>
    <xf numFmtId="49" fontId="36" fillId="19" borderId="0" xfId="0" applyNumberFormat="1" applyFont="1" applyFill="1"/>
    <xf numFmtId="49" fontId="36" fillId="19" borderId="0" xfId="0" applyNumberFormat="1" applyFont="1" applyFill="1" applyAlignment="1">
      <alignment horizontal="left" wrapText="1" indent="5"/>
    </xf>
    <xf numFmtId="164" fontId="32" fillId="19" borderId="0" xfId="2" applyFont="1" applyFill="1" applyBorder="1"/>
    <xf numFmtId="170" fontId="36" fillId="19" borderId="64" xfId="0" applyNumberFormat="1" applyFont="1" applyFill="1" applyBorder="1"/>
    <xf numFmtId="43" fontId="32" fillId="19" borderId="0" xfId="1" applyFont="1" applyFill="1" applyBorder="1"/>
    <xf numFmtId="3" fontId="36" fillId="19" borderId="0" xfId="1" applyNumberFormat="1" applyFont="1" applyFill="1" applyBorder="1"/>
    <xf numFmtId="3" fontId="32" fillId="19" borderId="65" xfId="2" applyNumberFormat="1" applyFont="1" applyFill="1" applyBorder="1"/>
    <xf numFmtId="49" fontId="36" fillId="19" borderId="0" xfId="0" applyNumberFormat="1" applyFont="1" applyFill="1" applyAlignment="1">
      <alignment wrapText="1"/>
    </xf>
    <xf numFmtId="49" fontId="38" fillId="0" borderId="0" xfId="0" applyNumberFormat="1" applyFont="1" applyAlignment="1">
      <alignment horizontal="left" indent="8"/>
    </xf>
    <xf numFmtId="3" fontId="38" fillId="0" borderId="0" xfId="1" applyNumberFormat="1" applyFont="1" applyFill="1" applyBorder="1"/>
    <xf numFmtId="0" fontId="39" fillId="34" borderId="0" xfId="0" applyFont="1" applyFill="1"/>
    <xf numFmtId="0" fontId="39" fillId="34" borderId="64" xfId="0" applyFont="1" applyFill="1" applyBorder="1"/>
    <xf numFmtId="49" fontId="33" fillId="34" borderId="0" xfId="0" applyNumberFormat="1" applyFont="1" applyFill="1"/>
    <xf numFmtId="49" fontId="33" fillId="34" borderId="0" xfId="0" applyNumberFormat="1" applyFont="1" applyFill="1" applyAlignment="1">
      <alignment horizontal="left" indent="6"/>
    </xf>
    <xf numFmtId="164" fontId="39" fillId="34" borderId="0" xfId="2" applyFont="1" applyFill="1" applyBorder="1"/>
    <xf numFmtId="170" fontId="33" fillId="34" borderId="64" xfId="0" applyNumberFormat="1" applyFont="1" applyFill="1" applyBorder="1"/>
    <xf numFmtId="43" fontId="39" fillId="34" borderId="0" xfId="1" applyFont="1" applyFill="1" applyBorder="1"/>
    <xf numFmtId="3" fontId="33" fillId="34" borderId="0" xfId="1" applyNumberFormat="1" applyFont="1" applyFill="1" applyBorder="1"/>
    <xf numFmtId="3" fontId="39" fillId="34" borderId="65" xfId="2" applyNumberFormat="1" applyFont="1" applyFill="1" applyBorder="1"/>
    <xf numFmtId="0" fontId="32" fillId="34" borderId="0" xfId="0" applyFont="1" applyFill="1"/>
    <xf numFmtId="0" fontId="32" fillId="34" borderId="64" xfId="0" applyFont="1" applyFill="1" applyBorder="1"/>
    <xf numFmtId="49" fontId="36" fillId="34" borderId="0" xfId="0" applyNumberFormat="1" applyFont="1" applyFill="1"/>
    <xf numFmtId="164" fontId="32" fillId="34" borderId="0" xfId="2" applyFont="1" applyFill="1" applyBorder="1"/>
    <xf numFmtId="170" fontId="36" fillId="34" borderId="64" xfId="0" applyNumberFormat="1" applyFont="1" applyFill="1" applyBorder="1"/>
    <xf numFmtId="43" fontId="32" fillId="34" borderId="0" xfId="1" applyFont="1" applyFill="1" applyBorder="1"/>
    <xf numFmtId="3" fontId="36" fillId="34" borderId="0" xfId="1" applyNumberFormat="1" applyFont="1" applyFill="1" applyBorder="1"/>
    <xf numFmtId="3" fontId="32" fillId="34" borderId="65" xfId="2" applyNumberFormat="1" applyFont="1" applyFill="1" applyBorder="1"/>
    <xf numFmtId="49" fontId="36" fillId="34" borderId="0" xfId="0" applyNumberFormat="1" applyFont="1" applyFill="1" applyAlignment="1">
      <alignment horizontal="left" indent="5"/>
    </xf>
    <xf numFmtId="49" fontId="36" fillId="34" borderId="0" xfId="0" applyNumberFormat="1" applyFont="1" applyFill="1" applyAlignment="1">
      <alignment horizontal="left" indent="6"/>
    </xf>
    <xf numFmtId="0" fontId="32" fillId="35" borderId="0" xfId="0" applyFont="1" applyFill="1"/>
    <xf numFmtId="0" fontId="32" fillId="35" borderId="64" xfId="0" applyFont="1" applyFill="1" applyBorder="1"/>
    <xf numFmtId="49" fontId="36" fillId="35" borderId="0" xfId="0" applyNumberFormat="1" applyFont="1" applyFill="1"/>
    <xf numFmtId="49" fontId="43" fillId="35" borderId="0" xfId="0" applyNumberFormat="1" applyFont="1" applyFill="1" applyAlignment="1">
      <alignment horizontal="left" indent="3"/>
    </xf>
    <xf numFmtId="164" fontId="32" fillId="35" borderId="0" xfId="2" applyFont="1" applyFill="1" applyBorder="1"/>
    <xf numFmtId="170" fontId="36" fillId="35" borderId="64" xfId="0" applyNumberFormat="1" applyFont="1" applyFill="1" applyBorder="1"/>
    <xf numFmtId="43" fontId="32" fillId="35" borderId="0" xfId="1" applyFont="1" applyFill="1" applyBorder="1"/>
    <xf numFmtId="3" fontId="36" fillId="35" borderId="0" xfId="1" applyNumberFormat="1" applyFont="1" applyFill="1" applyBorder="1"/>
    <xf numFmtId="3" fontId="43" fillId="35" borderId="65" xfId="1" applyNumberFormat="1" applyFont="1" applyFill="1" applyBorder="1"/>
    <xf numFmtId="49" fontId="36" fillId="35" borderId="0" xfId="0" applyNumberFormat="1" applyFont="1" applyFill="1" applyAlignment="1">
      <alignment horizontal="left" wrapText="1"/>
    </xf>
    <xf numFmtId="3" fontId="32" fillId="35" borderId="65" xfId="2" applyNumberFormat="1" applyFont="1" applyFill="1" applyBorder="1"/>
    <xf numFmtId="3" fontId="36" fillId="0" borderId="65" xfId="1" applyNumberFormat="1" applyFont="1" applyFill="1" applyBorder="1"/>
    <xf numFmtId="0" fontId="37" fillId="26" borderId="64" xfId="0" applyFont="1" applyFill="1" applyBorder="1"/>
    <xf numFmtId="49" fontId="38" fillId="26" borderId="0" xfId="0" applyNumberFormat="1" applyFont="1" applyFill="1"/>
    <xf numFmtId="49" fontId="38" fillId="26" borderId="0" xfId="0" applyNumberFormat="1" applyFont="1" applyFill="1" applyAlignment="1">
      <alignment horizontal="left" indent="4"/>
    </xf>
    <xf numFmtId="164" fontId="37" fillId="26" borderId="0" xfId="2" applyFont="1" applyFill="1" applyBorder="1"/>
    <xf numFmtId="170" fontId="38" fillId="26" borderId="64" xfId="0" applyNumberFormat="1" applyFont="1" applyFill="1" applyBorder="1"/>
    <xf numFmtId="0" fontId="37" fillId="26" borderId="0" xfId="0" applyFont="1" applyFill="1"/>
    <xf numFmtId="43" fontId="37" fillId="26" borderId="0" xfId="1" applyFont="1" applyFill="1" applyBorder="1"/>
    <xf numFmtId="3" fontId="38" fillId="26" borderId="0" xfId="1" applyNumberFormat="1" applyFont="1" applyFill="1" applyBorder="1"/>
    <xf numFmtId="3" fontId="37" fillId="26" borderId="65" xfId="2" applyNumberFormat="1" applyFont="1" applyFill="1" applyBorder="1"/>
    <xf numFmtId="171" fontId="38" fillId="26" borderId="64" xfId="0" applyNumberFormat="1" applyFont="1" applyFill="1" applyBorder="1"/>
    <xf numFmtId="49" fontId="33" fillId="0" borderId="0" xfId="0" applyNumberFormat="1" applyFont="1" applyAlignment="1">
      <alignment horizontal="left" indent="8"/>
    </xf>
    <xf numFmtId="0" fontId="39" fillId="26" borderId="64" xfId="0" applyFont="1" applyFill="1" applyBorder="1"/>
    <xf numFmtId="49" fontId="41" fillId="0" borderId="0" xfId="0" applyNumberFormat="1" applyFont="1" applyAlignment="1">
      <alignment horizontal="left" wrapText="1" indent="5"/>
    </xf>
    <xf numFmtId="3" fontId="41" fillId="26" borderId="0" xfId="1" applyNumberFormat="1" applyFont="1" applyFill="1" applyBorder="1"/>
    <xf numFmtId="49" fontId="33" fillId="0" borderId="0" xfId="0" applyNumberFormat="1" applyFont="1" applyAlignment="1">
      <alignment wrapText="1"/>
    </xf>
    <xf numFmtId="49" fontId="49" fillId="0" borderId="0" xfId="0" applyNumberFormat="1" applyFont="1" applyAlignment="1">
      <alignment horizontal="left" wrapText="1" indent="5"/>
    </xf>
    <xf numFmtId="3" fontId="49" fillId="0" borderId="0" xfId="1" applyNumberFormat="1" applyFont="1" applyFill="1" applyBorder="1"/>
    <xf numFmtId="49" fontId="36" fillId="0" borderId="0" xfId="0" applyNumberFormat="1" applyFont="1" applyAlignment="1">
      <alignment horizontal="left" wrapText="1" indent="5"/>
    </xf>
    <xf numFmtId="49" fontId="33" fillId="0" borderId="0" xfId="0" applyNumberFormat="1" applyFont="1" applyAlignment="1">
      <alignment horizontal="left" wrapText="1" indent="5"/>
    </xf>
    <xf numFmtId="0" fontId="40" fillId="26" borderId="0" xfId="0" applyFont="1" applyFill="1"/>
    <xf numFmtId="0" fontId="40" fillId="26" borderId="64" xfId="0" applyFont="1" applyFill="1" applyBorder="1"/>
    <xf numFmtId="49" fontId="41" fillId="26" borderId="0" xfId="0" applyNumberFormat="1" applyFont="1" applyFill="1"/>
    <xf numFmtId="49" fontId="41" fillId="26" borderId="0" xfId="0" applyNumberFormat="1" applyFont="1" applyFill="1" applyAlignment="1">
      <alignment horizontal="left" wrapText="1" indent="5"/>
    </xf>
    <xf numFmtId="164" fontId="40" fillId="26" borderId="0" xfId="2" applyFont="1" applyFill="1" applyBorder="1"/>
    <xf numFmtId="170" fontId="41" fillId="26" borderId="64" xfId="0" applyNumberFormat="1" applyFont="1" applyFill="1" applyBorder="1"/>
    <xf numFmtId="43" fontId="40" fillId="26" borderId="0" xfId="1" applyFont="1" applyFill="1" applyBorder="1"/>
    <xf numFmtId="3" fontId="40" fillId="26" borderId="65" xfId="2" applyNumberFormat="1" applyFont="1" applyFill="1" applyBorder="1"/>
    <xf numFmtId="0" fontId="32" fillId="32" borderId="64" xfId="0" applyFont="1" applyFill="1" applyBorder="1"/>
    <xf numFmtId="49" fontId="36" fillId="32" borderId="0" xfId="0" applyNumberFormat="1" applyFont="1" applyFill="1"/>
    <xf numFmtId="49" fontId="36" fillId="32" borderId="0" xfId="0" applyNumberFormat="1" applyFont="1" applyFill="1" applyAlignment="1">
      <alignment horizontal="left" wrapText="1" indent="5"/>
    </xf>
    <xf numFmtId="164" fontId="32" fillId="32" borderId="0" xfId="2" applyFont="1" applyFill="1" applyBorder="1"/>
    <xf numFmtId="3" fontId="41" fillId="0" borderId="0" xfId="1" applyNumberFormat="1" applyFont="1" applyFill="1" applyBorder="1"/>
    <xf numFmtId="49" fontId="36" fillId="26" borderId="0" xfId="0" applyNumberFormat="1" applyFont="1" applyFill="1" applyAlignment="1">
      <alignment horizontal="left" indent="8"/>
    </xf>
    <xf numFmtId="170" fontId="38" fillId="32" borderId="64" xfId="0" applyNumberFormat="1" applyFont="1" applyFill="1" applyBorder="1"/>
    <xf numFmtId="49" fontId="43" fillId="0" borderId="0" xfId="0" applyNumberFormat="1" applyFont="1" applyAlignment="1">
      <alignment wrapText="1"/>
    </xf>
    <xf numFmtId="49" fontId="41" fillId="0" borderId="0" xfId="0" applyNumberFormat="1" applyFont="1" applyAlignment="1">
      <alignment horizontal="left" indent="8"/>
    </xf>
    <xf numFmtId="49" fontId="41" fillId="0" borderId="0" xfId="0" applyNumberFormat="1" applyFont="1" applyAlignment="1">
      <alignment horizontal="left" vertical="top" wrapText="1" indent="8"/>
    </xf>
    <xf numFmtId="49" fontId="43" fillId="0" borderId="0" xfId="0" applyNumberFormat="1" applyFont="1" applyAlignment="1">
      <alignment horizontal="left" indent="3"/>
    </xf>
    <xf numFmtId="49" fontId="36" fillId="0" borderId="0" xfId="0" applyNumberFormat="1" applyFont="1" applyAlignment="1">
      <alignment horizontal="left" wrapText="1" indent="6"/>
    </xf>
    <xf numFmtId="49" fontId="33" fillId="0" borderId="0" xfId="0" applyNumberFormat="1" applyFont="1" applyAlignment="1">
      <alignment horizontal="left" wrapText="1"/>
    </xf>
    <xf numFmtId="3" fontId="39" fillId="0" borderId="0" xfId="0" applyNumberFormat="1" applyFont="1"/>
    <xf numFmtId="49" fontId="36" fillId="19" borderId="0" xfId="0" applyNumberFormat="1" applyFont="1" applyFill="1" applyAlignment="1">
      <alignment horizontal="left" wrapText="1"/>
    </xf>
    <xf numFmtId="43" fontId="39" fillId="19" borderId="0" xfId="1" applyFont="1" applyFill="1" applyBorder="1"/>
    <xf numFmtId="0" fontId="32" fillId="16" borderId="0" xfId="0" applyFont="1" applyFill="1"/>
    <xf numFmtId="0" fontId="32" fillId="16" borderId="64" xfId="0" applyFont="1" applyFill="1" applyBorder="1"/>
    <xf numFmtId="49" fontId="36" fillId="16" borderId="0" xfId="0" applyNumberFormat="1" applyFont="1" applyFill="1"/>
    <xf numFmtId="49" fontId="36" fillId="16" borderId="0" xfId="0" applyNumberFormat="1" applyFont="1" applyFill="1" applyAlignment="1">
      <alignment horizontal="left" wrapText="1"/>
    </xf>
    <xf numFmtId="164" fontId="32" fillId="16" borderId="0" xfId="2" applyFont="1" applyFill="1" applyBorder="1"/>
    <xf numFmtId="170" fontId="36" fillId="16" borderId="64" xfId="0" applyNumberFormat="1" applyFont="1" applyFill="1" applyBorder="1"/>
    <xf numFmtId="43" fontId="32" fillId="16" borderId="0" xfId="1" applyFont="1" applyFill="1" applyBorder="1"/>
    <xf numFmtId="43" fontId="39" fillId="16" borderId="0" xfId="1" applyFont="1" applyFill="1" applyBorder="1"/>
    <xf numFmtId="3" fontId="36" fillId="16" borderId="0" xfId="1" applyNumberFormat="1" applyFont="1" applyFill="1" applyBorder="1"/>
    <xf numFmtId="3" fontId="32" fillId="16" borderId="65" xfId="2" applyNumberFormat="1" applyFont="1" applyFill="1" applyBorder="1"/>
    <xf numFmtId="0" fontId="32" fillId="36" borderId="0" xfId="0" applyFont="1" applyFill="1"/>
    <xf numFmtId="0" fontId="32" fillId="36" borderId="64" xfId="0" applyFont="1" applyFill="1" applyBorder="1"/>
    <xf numFmtId="49" fontId="36" fillId="36" borderId="0" xfId="0" applyNumberFormat="1" applyFont="1" applyFill="1"/>
    <xf numFmtId="49" fontId="36" fillId="36" borderId="0" xfId="0" applyNumberFormat="1" applyFont="1" applyFill="1" applyAlignment="1">
      <alignment horizontal="left" wrapText="1"/>
    </xf>
    <xf numFmtId="164" fontId="32" fillId="36" borderId="0" xfId="2" applyFont="1" applyFill="1" applyBorder="1"/>
    <xf numFmtId="170" fontId="36" fillId="36" borderId="64" xfId="0" applyNumberFormat="1" applyFont="1" applyFill="1" applyBorder="1"/>
    <xf numFmtId="43" fontId="32" fillId="36" borderId="0" xfId="1" applyFont="1" applyFill="1" applyBorder="1"/>
    <xf numFmtId="3" fontId="36" fillId="36" borderId="0" xfId="1" applyNumberFormat="1" applyFont="1" applyFill="1" applyBorder="1"/>
    <xf numFmtId="3" fontId="32" fillId="36" borderId="65" xfId="2" applyNumberFormat="1" applyFont="1" applyFill="1" applyBorder="1"/>
    <xf numFmtId="49" fontId="43" fillId="0" borderId="0" xfId="0" applyNumberFormat="1" applyFont="1" applyAlignment="1">
      <alignment horizontal="left" indent="5"/>
    </xf>
    <xf numFmtId="49" fontId="36" fillId="0" borderId="0" xfId="0" applyNumberFormat="1" applyFont="1" applyAlignment="1">
      <alignment horizontal="left" vertical="top" wrapText="1" indent="3"/>
    </xf>
    <xf numFmtId="172" fontId="32" fillId="0" borderId="0" xfId="1" applyNumberFormat="1" applyFont="1" applyFill="1" applyBorder="1"/>
    <xf numFmtId="49" fontId="38" fillId="0" borderId="0" xfId="0" applyNumberFormat="1" applyFont="1" applyAlignment="1">
      <alignment horizontal="left" vertical="top" wrapText="1" indent="3"/>
    </xf>
    <xf numFmtId="49" fontId="36" fillId="26" borderId="0" xfId="0" applyNumberFormat="1" applyFont="1" applyFill="1" applyAlignment="1">
      <alignment horizontal="left" vertical="top" wrapText="1" indent="3"/>
    </xf>
    <xf numFmtId="49" fontId="46" fillId="0" borderId="0" xfId="0" applyNumberFormat="1" applyFont="1" applyAlignment="1">
      <alignment horizontal="left" wrapText="1" indent="1"/>
    </xf>
    <xf numFmtId="49" fontId="46" fillId="0" borderId="0" xfId="0" applyNumberFormat="1" applyFont="1" applyAlignment="1">
      <alignment horizontal="left" vertical="top" wrapText="1" indent="1"/>
    </xf>
    <xf numFmtId="49" fontId="46" fillId="0" borderId="0" xfId="0" applyNumberFormat="1" applyFont="1" applyAlignment="1">
      <alignment horizontal="left" vertical="top" wrapText="1" indent="2"/>
    </xf>
    <xf numFmtId="49" fontId="33" fillId="0" borderId="0" xfId="0" applyNumberFormat="1" applyFont="1" applyAlignment="1">
      <alignment horizontal="left" vertical="top" wrapText="1" indent="3"/>
    </xf>
    <xf numFmtId="49" fontId="36" fillId="36" borderId="0" xfId="0" applyNumberFormat="1" applyFont="1" applyFill="1" applyAlignment="1">
      <alignment horizontal="left" indent="8"/>
    </xf>
    <xf numFmtId="170" fontId="49" fillId="19" borderId="64" xfId="0" applyNumberFormat="1" applyFont="1" applyFill="1" applyBorder="1"/>
    <xf numFmtId="49" fontId="36" fillId="34" borderId="0" xfId="0" applyNumberFormat="1" applyFont="1" applyFill="1" applyAlignment="1">
      <alignment horizontal="left" wrapText="1" indent="6"/>
    </xf>
    <xf numFmtId="49" fontId="33" fillId="0" borderId="0" xfId="0" applyNumberFormat="1" applyFont="1" applyAlignment="1">
      <alignment horizontal="left" wrapText="1" indent="6"/>
    </xf>
    <xf numFmtId="49" fontId="36" fillId="0" borderId="0" xfId="0" applyNumberFormat="1" applyFont="1" applyAlignment="1">
      <alignment horizontal="left" vertical="top" wrapText="1" indent="6"/>
    </xf>
    <xf numFmtId="3" fontId="43" fillId="37" borderId="65" xfId="1" applyNumberFormat="1" applyFont="1" applyFill="1" applyBorder="1"/>
    <xf numFmtId="0" fontId="32" fillId="38" borderId="64" xfId="0" applyFont="1" applyFill="1" applyBorder="1"/>
    <xf numFmtId="49" fontId="36" fillId="38" borderId="0" xfId="0" applyNumberFormat="1" applyFont="1" applyFill="1"/>
    <xf numFmtId="49" fontId="36" fillId="38" borderId="0" xfId="0" applyNumberFormat="1" applyFont="1" applyFill="1" applyAlignment="1">
      <alignment horizontal="left" indent="6"/>
    </xf>
    <xf numFmtId="164" fontId="32" fillId="38" borderId="0" xfId="2" applyFont="1" applyFill="1" applyBorder="1"/>
    <xf numFmtId="170" fontId="36" fillId="38" borderId="64" xfId="0" applyNumberFormat="1" applyFont="1" applyFill="1" applyBorder="1"/>
    <xf numFmtId="0" fontId="32" fillId="38" borderId="0" xfId="0" applyFont="1" applyFill="1"/>
    <xf numFmtId="43" fontId="32" fillId="38" borderId="0" xfId="1" applyFont="1" applyFill="1" applyBorder="1"/>
    <xf numFmtId="3" fontId="36" fillId="38" borderId="0" xfId="1" applyNumberFormat="1" applyFont="1" applyFill="1" applyBorder="1"/>
    <xf numFmtId="3" fontId="32" fillId="38" borderId="65" xfId="2" applyNumberFormat="1" applyFont="1" applyFill="1" applyBorder="1"/>
    <xf numFmtId="49" fontId="43" fillId="0" borderId="0" xfId="0" applyNumberFormat="1" applyFont="1" applyAlignment="1">
      <alignment horizontal="left" indent="8"/>
    </xf>
    <xf numFmtId="49" fontId="46" fillId="0" borderId="0" xfId="0" applyNumberFormat="1" applyFont="1" applyAlignment="1">
      <alignment horizontal="left" indent="5"/>
    </xf>
    <xf numFmtId="49" fontId="36" fillId="34" borderId="0" xfId="0" applyNumberFormat="1" applyFont="1" applyFill="1" applyAlignment="1">
      <alignment horizontal="left" wrapText="1"/>
    </xf>
    <xf numFmtId="49" fontId="36" fillId="26" borderId="0" xfId="0" applyNumberFormat="1" applyFont="1" applyFill="1" applyAlignment="1">
      <alignment horizontal="left" wrapText="1"/>
    </xf>
    <xf numFmtId="49" fontId="36" fillId="37" borderId="0" xfId="0" applyNumberFormat="1" applyFont="1" applyFill="1" applyAlignment="1">
      <alignment horizontal="left" wrapText="1"/>
    </xf>
    <xf numFmtId="49" fontId="46" fillId="35" borderId="0" xfId="0" applyNumberFormat="1" applyFont="1" applyFill="1" applyAlignment="1">
      <alignment horizontal="left" wrapText="1" indent="5"/>
    </xf>
    <xf numFmtId="49" fontId="46" fillId="0" borderId="0" xfId="0" applyNumberFormat="1" applyFont="1" applyAlignment="1">
      <alignment horizontal="left" wrapText="1" indent="5"/>
    </xf>
    <xf numFmtId="49" fontId="36" fillId="32" borderId="0" xfId="0" applyNumberFormat="1" applyFont="1" applyFill="1" applyAlignment="1">
      <alignment horizontal="left" wrapText="1"/>
    </xf>
    <xf numFmtId="49" fontId="46" fillId="0" borderId="0" xfId="0" applyNumberFormat="1" applyFont="1" applyAlignment="1">
      <alignment horizontal="left" indent="7"/>
    </xf>
    <xf numFmtId="49" fontId="46" fillId="35" borderId="0" xfId="0" applyNumberFormat="1" applyFont="1" applyFill="1" applyAlignment="1">
      <alignment horizontal="left" indent="7"/>
    </xf>
    <xf numFmtId="49" fontId="36" fillId="35" borderId="0" xfId="0" applyNumberFormat="1" applyFont="1" applyFill="1" applyAlignment="1">
      <alignment horizontal="left" vertical="top" wrapText="1"/>
    </xf>
    <xf numFmtId="49" fontId="35" fillId="0" borderId="0" xfId="0" applyNumberFormat="1" applyFont="1" applyAlignment="1">
      <alignment horizontal="left" indent="3"/>
    </xf>
    <xf numFmtId="3" fontId="32" fillId="38" borderId="0" xfId="1" applyNumberFormat="1" applyFont="1" applyFill="1" applyBorder="1"/>
    <xf numFmtId="49" fontId="36" fillId="38" borderId="0" xfId="0" applyNumberFormat="1" applyFont="1" applyFill="1" applyAlignment="1">
      <alignment horizontal="left" wrapText="1"/>
    </xf>
    <xf numFmtId="49" fontId="36" fillId="38" borderId="0" xfId="0" applyNumberFormat="1" applyFont="1" applyFill="1" applyAlignment="1">
      <alignment wrapText="1"/>
    </xf>
    <xf numFmtId="43" fontId="39" fillId="38" borderId="0" xfId="1" applyFont="1" applyFill="1" applyBorder="1"/>
    <xf numFmtId="49" fontId="36" fillId="32" borderId="0" xfId="0" applyNumberFormat="1" applyFont="1" applyFill="1" applyAlignment="1">
      <alignment horizontal="left" vertical="top" wrapText="1"/>
    </xf>
    <xf numFmtId="49" fontId="36" fillId="38" borderId="0" xfId="0" applyNumberFormat="1" applyFont="1" applyFill="1" applyAlignment="1">
      <alignment horizontal="left" vertical="top" wrapText="1"/>
    </xf>
    <xf numFmtId="170" fontId="33" fillId="38" borderId="64" xfId="0" applyNumberFormat="1" applyFont="1" applyFill="1" applyBorder="1"/>
    <xf numFmtId="49" fontId="46" fillId="35" borderId="0" xfId="0" applyNumberFormat="1" applyFont="1" applyFill="1" applyAlignment="1">
      <alignment horizontal="left" indent="6"/>
    </xf>
    <xf numFmtId="0" fontId="0" fillId="38" borderId="0" xfId="0" applyFill="1"/>
    <xf numFmtId="0" fontId="0" fillId="35" borderId="0" xfId="0" applyFill="1"/>
    <xf numFmtId="49" fontId="36" fillId="35" borderId="0" xfId="0" applyNumberFormat="1" applyFont="1" applyFill="1" applyAlignment="1">
      <alignment horizontal="left" indent="6"/>
    </xf>
    <xf numFmtId="49" fontId="34" fillId="0" borderId="0" xfId="0" applyNumberFormat="1" applyFont="1" applyAlignment="1">
      <alignment horizontal="left" indent="1"/>
    </xf>
    <xf numFmtId="3" fontId="36" fillId="0" borderId="0" xfId="0" applyNumberFormat="1" applyFont="1"/>
    <xf numFmtId="49" fontId="33" fillId="0" borderId="0" xfId="0" applyNumberFormat="1" applyFont="1" applyAlignment="1">
      <alignment horizontal="left" indent="3"/>
    </xf>
    <xf numFmtId="3" fontId="33" fillId="0" borderId="0" xfId="0" applyNumberFormat="1" applyFont="1"/>
    <xf numFmtId="49" fontId="46" fillId="0" borderId="0" xfId="0" applyNumberFormat="1" applyFont="1" applyAlignment="1">
      <alignment horizontal="left" indent="2"/>
    </xf>
    <xf numFmtId="49" fontId="36" fillId="26" borderId="0" xfId="0" applyNumberFormat="1" applyFont="1" applyFill="1" applyAlignment="1">
      <alignment horizontal="left" indent="3"/>
    </xf>
    <xf numFmtId="3" fontId="36" fillId="26" borderId="0" xfId="0" applyNumberFormat="1" applyFont="1" applyFill="1"/>
    <xf numFmtId="170" fontId="32" fillId="0" borderId="64" xfId="0" applyNumberFormat="1" applyFont="1" applyBorder="1"/>
    <xf numFmtId="49" fontId="46" fillId="0" borderId="0" xfId="0" applyNumberFormat="1" applyFont="1" applyAlignment="1">
      <alignment horizontal="left" indent="3"/>
    </xf>
    <xf numFmtId="3" fontId="41" fillId="0" borderId="0" xfId="0" applyNumberFormat="1" applyFont="1"/>
    <xf numFmtId="3" fontId="32" fillId="26" borderId="0" xfId="1" applyNumberFormat="1" applyFont="1" applyFill="1" applyBorder="1"/>
    <xf numFmtId="49" fontId="36" fillId="0" borderId="0" xfId="0" applyNumberFormat="1" applyFont="1" applyAlignment="1">
      <alignment horizontal="left" indent="1"/>
    </xf>
    <xf numFmtId="49" fontId="49" fillId="0" borderId="0" xfId="0" applyNumberFormat="1" applyFont="1" applyAlignment="1">
      <alignment horizontal="left" indent="3"/>
    </xf>
    <xf numFmtId="49" fontId="36" fillId="0" borderId="0" xfId="0" applyNumberFormat="1" applyFont="1" applyAlignment="1">
      <alignment horizontal="left"/>
    </xf>
    <xf numFmtId="0" fontId="39" fillId="0" borderId="59" xfId="0" applyFont="1" applyBorder="1"/>
    <xf numFmtId="49" fontId="33" fillId="0" borderId="60" xfId="0" applyNumberFormat="1" applyFont="1" applyBorder="1"/>
    <xf numFmtId="0" fontId="32" fillId="0" borderId="60" xfId="0" applyFont="1" applyBorder="1"/>
    <xf numFmtId="0" fontId="0" fillId="0" borderId="59" xfId="0" applyBorder="1"/>
    <xf numFmtId="0" fontId="0" fillId="0" borderId="60" xfId="0" applyBorder="1"/>
    <xf numFmtId="3" fontId="0" fillId="0" borderId="60" xfId="0" applyNumberFormat="1" applyBorder="1"/>
    <xf numFmtId="3" fontId="0" fillId="0" borderId="61" xfId="0" applyNumberFormat="1" applyBorder="1"/>
    <xf numFmtId="164" fontId="65" fillId="0" borderId="0" xfId="0" applyNumberFormat="1" applyFont="1"/>
    <xf numFmtId="3" fontId="65" fillId="0" borderId="0" xfId="0" applyNumberFormat="1" applyFont="1"/>
    <xf numFmtId="164" fontId="66" fillId="0" borderId="0" xfId="2" applyFont="1"/>
    <xf numFmtId="3" fontId="66" fillId="0" borderId="0" xfId="2" applyNumberFormat="1" applyFont="1"/>
    <xf numFmtId="49" fontId="32" fillId="0" borderId="0" xfId="0" applyNumberFormat="1" applyFont="1"/>
    <xf numFmtId="49" fontId="32" fillId="0" borderId="0" xfId="0" applyNumberFormat="1" applyFont="1" applyAlignment="1">
      <alignment horizontal="left"/>
    </xf>
    <xf numFmtId="4" fontId="0" fillId="0" borderId="0" xfId="0" applyNumberFormat="1"/>
    <xf numFmtId="0" fontId="16" fillId="26" borderId="0" xfId="0" applyFont="1" applyFill="1" applyAlignment="1">
      <alignment horizontal="center"/>
    </xf>
    <xf numFmtId="49" fontId="16" fillId="3" borderId="29" xfId="0" applyNumberFormat="1" applyFont="1" applyFill="1" applyBorder="1" applyAlignment="1">
      <alignment horizontal="left" vertical="center" wrapText="1"/>
    </xf>
    <xf numFmtId="49" fontId="16" fillId="3" borderId="34" xfId="0" applyNumberFormat="1" applyFont="1" applyFill="1" applyBorder="1" applyAlignment="1">
      <alignment horizontal="left" vertical="center" wrapText="1"/>
    </xf>
    <xf numFmtId="2" fontId="16" fillId="3" borderId="22" xfId="0" applyNumberFormat="1" applyFont="1" applyFill="1" applyBorder="1" applyAlignment="1">
      <alignment horizontal="center" vertical="center"/>
    </xf>
    <xf numFmtId="49" fontId="16" fillId="0" borderId="25" xfId="0" applyNumberFormat="1" applyFont="1" applyBorder="1" applyAlignment="1">
      <alignment horizontal="left" vertical="center"/>
    </xf>
    <xf numFmtId="49" fontId="16" fillId="0" borderId="30" xfId="0" applyNumberFormat="1" applyFont="1" applyBorder="1" applyAlignment="1">
      <alignment horizontal="left" vertical="center"/>
    </xf>
    <xf numFmtId="0" fontId="16" fillId="3" borderId="62" xfId="0" applyFont="1" applyFill="1" applyBorder="1" applyAlignment="1">
      <alignment horizontal="left" vertical="center"/>
    </xf>
    <xf numFmtId="0" fontId="16" fillId="0" borderId="62" xfId="0" applyFont="1" applyBorder="1" applyAlignment="1">
      <alignment horizontal="left" vertical="center"/>
    </xf>
    <xf numFmtId="2" fontId="16" fillId="22" borderId="58" xfId="0" applyNumberFormat="1" applyFont="1" applyFill="1" applyBorder="1" applyAlignment="1">
      <alignment horizontal="center" vertical="center"/>
    </xf>
    <xf numFmtId="2" fontId="16" fillId="3" borderId="28" xfId="0" applyNumberFormat="1" applyFont="1" applyFill="1" applyBorder="1" applyAlignment="1">
      <alignment horizontal="center" vertical="center"/>
    </xf>
    <xf numFmtId="2" fontId="16" fillId="3" borderId="23" xfId="0" applyNumberFormat="1" applyFont="1" applyFill="1" applyBorder="1" applyAlignment="1">
      <alignment horizontal="center" vertical="center"/>
    </xf>
    <xf numFmtId="0" fontId="8" fillId="2" borderId="0" xfId="0" applyFont="1" applyFill="1" applyAlignment="1">
      <alignment vertical="center"/>
    </xf>
    <xf numFmtId="2" fontId="22" fillId="3" borderId="26" xfId="0" applyNumberFormat="1" applyFont="1" applyFill="1" applyBorder="1" applyAlignment="1">
      <alignment horizontal="center" vertical="center"/>
    </xf>
    <xf numFmtId="2" fontId="22" fillId="3" borderId="1" xfId="0" applyNumberFormat="1" applyFont="1" applyFill="1" applyBorder="1" applyAlignment="1">
      <alignment horizontal="center" vertical="center"/>
    </xf>
    <xf numFmtId="0" fontId="16" fillId="0" borderId="63" xfId="0" applyFont="1" applyBorder="1" applyAlignment="1">
      <alignment horizontal="center" vertical="center" textRotation="90" wrapText="1"/>
    </xf>
    <xf numFmtId="2" fontId="22" fillId="0" borderId="25" xfId="0" applyNumberFormat="1" applyFont="1" applyBorder="1" applyAlignment="1">
      <alignment horizontal="center" vertical="center"/>
    </xf>
    <xf numFmtId="2" fontId="22" fillId="0" borderId="30" xfId="0" applyNumberFormat="1" applyFont="1" applyBorder="1" applyAlignment="1">
      <alignment horizontal="center" vertical="center"/>
    </xf>
    <xf numFmtId="2" fontId="22" fillId="0" borderId="66" xfId="0" applyNumberFormat="1" applyFont="1" applyBorder="1" applyAlignment="1">
      <alignment horizontal="center" vertical="center"/>
    </xf>
    <xf numFmtId="2" fontId="22" fillId="0" borderId="45" xfId="0" applyNumberFormat="1" applyFont="1" applyBorder="1" applyAlignment="1">
      <alignment horizontal="center" vertical="center"/>
    </xf>
    <xf numFmtId="2" fontId="22" fillId="0" borderId="45" xfId="0" applyNumberFormat="1" applyFont="1" applyBorder="1" applyAlignment="1">
      <alignment horizontal="center" vertical="center" wrapText="1"/>
    </xf>
    <xf numFmtId="2" fontId="22" fillId="3" borderId="45" xfId="0" applyNumberFormat="1" applyFont="1" applyFill="1" applyBorder="1" applyAlignment="1">
      <alignment horizontal="center" vertical="center"/>
    </xf>
    <xf numFmtId="2" fontId="22" fillId="0" borderId="55" xfId="0" applyNumberFormat="1" applyFont="1" applyBorder="1" applyAlignment="1">
      <alignment horizontal="center" vertical="center"/>
    </xf>
    <xf numFmtId="0" fontId="16" fillId="0" borderId="13" xfId="0" applyFont="1" applyBorder="1" applyAlignment="1">
      <alignment horizontal="left" vertical="center"/>
    </xf>
    <xf numFmtId="0" fontId="5" fillId="3" borderId="0" xfId="0" applyFont="1" applyFill="1" applyAlignment="1">
      <alignment vertical="center"/>
    </xf>
    <xf numFmtId="0" fontId="1" fillId="3" borderId="0" xfId="0" applyFont="1" applyFill="1" applyAlignment="1">
      <alignment horizontal="center" vertical="center"/>
    </xf>
    <xf numFmtId="0" fontId="16" fillId="40" borderId="18" xfId="0" applyFont="1" applyFill="1" applyBorder="1" applyAlignment="1">
      <alignment horizontal="center" vertical="center" textRotation="90" wrapText="1"/>
    </xf>
    <xf numFmtId="49" fontId="16" fillId="0" borderId="10" xfId="0" applyNumberFormat="1" applyFont="1" applyBorder="1" applyAlignment="1">
      <alignment horizontal="left" vertical="center" wrapText="1"/>
    </xf>
    <xf numFmtId="0" fontId="16" fillId="0" borderId="69" xfId="0" applyFont="1" applyBorder="1" applyAlignment="1">
      <alignment horizontal="left" vertical="center"/>
    </xf>
    <xf numFmtId="1" fontId="90" fillId="0" borderId="46" xfId="0" applyNumberFormat="1" applyFont="1" applyBorder="1" applyAlignment="1">
      <alignment horizontal="center" vertical="top"/>
    </xf>
    <xf numFmtId="0" fontId="27" fillId="3" borderId="6" xfId="0" applyFont="1" applyFill="1" applyBorder="1" applyAlignment="1">
      <alignment vertical="top"/>
    </xf>
    <xf numFmtId="2" fontId="90" fillId="0" borderId="25" xfId="0" applyNumberFormat="1" applyFont="1" applyBorder="1" applyAlignment="1">
      <alignment horizontal="center" vertical="top"/>
    </xf>
    <xf numFmtId="2" fontId="90" fillId="0" borderId="47" xfId="0" applyNumberFormat="1" applyFont="1" applyBorder="1" applyAlignment="1">
      <alignment horizontal="center" vertical="top"/>
    </xf>
    <xf numFmtId="2" fontId="90" fillId="0" borderId="48" xfId="0" applyNumberFormat="1" applyFont="1" applyBorder="1" applyAlignment="1">
      <alignment horizontal="center" vertical="top"/>
    </xf>
    <xf numFmtId="1" fontId="90" fillId="0" borderId="49" xfId="0" applyNumberFormat="1" applyFont="1" applyBorder="1" applyAlignment="1">
      <alignment horizontal="center" vertical="top"/>
    </xf>
    <xf numFmtId="0" fontId="90" fillId="2" borderId="8" xfId="0" applyFont="1" applyFill="1" applyBorder="1" applyAlignment="1">
      <alignment horizontal="center" vertical="top"/>
    </xf>
    <xf numFmtId="0" fontId="90" fillId="0" borderId="13" xfId="0" applyFont="1" applyBorder="1" applyAlignment="1">
      <alignment horizontal="center" vertical="top" wrapText="1"/>
    </xf>
    <xf numFmtId="2" fontId="90" fillId="0" borderId="30" xfId="0" applyNumberFormat="1" applyFont="1" applyBorder="1" applyAlignment="1">
      <alignment horizontal="center" vertical="top"/>
    </xf>
    <xf numFmtId="2" fontId="90" fillId="0" borderId="9" xfId="0" applyNumberFormat="1" applyFont="1" applyBorder="1" applyAlignment="1">
      <alignment horizontal="center" vertical="top"/>
    </xf>
    <xf numFmtId="2" fontId="90" fillId="0" borderId="50" xfId="0" applyNumberFormat="1" applyFont="1" applyBorder="1" applyAlignment="1">
      <alignment horizontal="center" vertical="top"/>
    </xf>
    <xf numFmtId="0" fontId="90" fillId="2" borderId="10" xfId="0" applyFont="1" applyFill="1" applyBorder="1" applyAlignment="1">
      <alignment horizontal="center" vertical="top"/>
    </xf>
    <xf numFmtId="2" fontId="90" fillId="0" borderId="2" xfId="0" applyNumberFormat="1" applyFont="1" applyBorder="1" applyAlignment="1">
      <alignment horizontal="center" vertical="top"/>
    </xf>
    <xf numFmtId="2" fontId="90" fillId="0" borderId="51" xfId="0" applyNumberFormat="1" applyFont="1" applyBorder="1" applyAlignment="1">
      <alignment horizontal="center" vertical="top"/>
    </xf>
    <xf numFmtId="0" fontId="27" fillId="3" borderId="1" xfId="0" applyFont="1" applyFill="1" applyBorder="1" applyAlignment="1">
      <alignment vertical="top" wrapText="1"/>
    </xf>
    <xf numFmtId="0" fontId="90" fillId="2" borderId="1" xfId="0" applyFont="1" applyFill="1" applyBorder="1" applyAlignment="1">
      <alignment horizontal="center" vertical="top"/>
    </xf>
    <xf numFmtId="2" fontId="90" fillId="0" borderId="14" xfId="0" applyNumberFormat="1" applyFont="1" applyBorder="1" applyAlignment="1">
      <alignment horizontal="center" vertical="top"/>
    </xf>
    <xf numFmtId="2" fontId="90" fillId="0" borderId="52" xfId="0" applyNumberFormat="1" applyFont="1" applyBorder="1" applyAlignment="1">
      <alignment horizontal="center" vertical="top"/>
    </xf>
    <xf numFmtId="0" fontId="27" fillId="3" borderId="12" xfId="0" applyFont="1" applyFill="1" applyBorder="1" applyAlignment="1">
      <alignment vertical="top" wrapText="1"/>
    </xf>
    <xf numFmtId="0" fontId="90" fillId="2" borderId="12" xfId="0" applyFont="1" applyFill="1" applyBorder="1" applyAlignment="1">
      <alignment horizontal="center" vertical="top"/>
    </xf>
    <xf numFmtId="0" fontId="27" fillId="0" borderId="12" xfId="0" applyFont="1" applyBorder="1" applyAlignment="1">
      <alignment vertical="top" wrapText="1"/>
    </xf>
    <xf numFmtId="0" fontId="90" fillId="3" borderId="12" xfId="0" applyFont="1" applyFill="1" applyBorder="1" applyAlignment="1">
      <alignment vertical="top" wrapText="1"/>
    </xf>
    <xf numFmtId="0" fontId="90" fillId="3" borderId="45" xfId="0" applyFont="1" applyFill="1" applyBorder="1" applyAlignment="1">
      <alignment vertical="top" wrapText="1"/>
    </xf>
    <xf numFmtId="0" fontId="90" fillId="2" borderId="45" xfId="0" applyFont="1" applyFill="1" applyBorder="1" applyAlignment="1">
      <alignment horizontal="center" vertical="top"/>
    </xf>
    <xf numFmtId="0" fontId="20" fillId="21" borderId="15" xfId="0" applyFont="1" applyFill="1" applyBorder="1" applyAlignment="1">
      <alignment vertical="center"/>
    </xf>
    <xf numFmtId="0" fontId="20" fillId="21" borderId="16" xfId="0" applyFont="1" applyFill="1" applyBorder="1" applyAlignment="1">
      <alignment vertical="center"/>
    </xf>
    <xf numFmtId="0" fontId="20" fillId="21" borderId="17" xfId="0" applyFont="1" applyFill="1" applyBorder="1" applyAlignment="1">
      <alignment vertical="center"/>
    </xf>
    <xf numFmtId="14" fontId="20" fillId="22" borderId="17" xfId="0" applyNumberFormat="1" applyFont="1" applyFill="1" applyBorder="1" applyAlignment="1">
      <alignment vertical="center"/>
    </xf>
    <xf numFmtId="2" fontId="22" fillId="22" borderId="21" xfId="0" applyNumberFormat="1" applyFont="1" applyFill="1" applyBorder="1" applyAlignment="1">
      <alignment horizontal="center" vertical="center"/>
    </xf>
    <xf numFmtId="2" fontId="22" fillId="22" borderId="23" xfId="0" applyNumberFormat="1" applyFont="1" applyFill="1" applyBorder="1" applyAlignment="1">
      <alignment horizontal="center" vertical="center"/>
    </xf>
    <xf numFmtId="2" fontId="16" fillId="21" borderId="58" xfId="0" applyNumberFormat="1" applyFont="1" applyFill="1" applyBorder="1" applyAlignment="1">
      <alignment horizontal="center"/>
    </xf>
    <xf numFmtId="0" fontId="16" fillId="22" borderId="67" xfId="0" applyFont="1" applyFill="1" applyBorder="1" applyAlignment="1">
      <alignment horizontal="center" vertical="center"/>
    </xf>
    <xf numFmtId="0" fontId="21" fillId="22" borderId="18" xfId="0" applyFont="1" applyFill="1" applyBorder="1"/>
    <xf numFmtId="0" fontId="21" fillId="22" borderId="56" xfId="0" applyFont="1" applyFill="1" applyBorder="1"/>
    <xf numFmtId="0" fontId="16" fillId="63" borderId="18" xfId="0" applyFont="1" applyFill="1" applyBorder="1" applyAlignment="1">
      <alignment horizontal="center" vertical="center" textRotation="90" wrapText="1"/>
    </xf>
    <xf numFmtId="0" fontId="16" fillId="39" borderId="18" xfId="0" applyFont="1" applyFill="1" applyBorder="1" applyAlignment="1">
      <alignment horizontal="center" vertical="center" textRotation="90" wrapText="1"/>
    </xf>
    <xf numFmtId="49" fontId="16" fillId="0" borderId="0" xfId="0" applyNumberFormat="1" applyFont="1" applyAlignment="1">
      <alignment horizontal="left" vertical="center" wrapText="1"/>
    </xf>
    <xf numFmtId="0" fontId="16" fillId="0" borderId="80" xfId="0" applyFont="1" applyBorder="1" applyAlignment="1">
      <alignment horizontal="left" vertical="center"/>
    </xf>
    <xf numFmtId="49" fontId="16" fillId="0" borderId="81" xfId="0" applyNumberFormat="1" applyFont="1" applyBorder="1" applyAlignment="1">
      <alignment horizontal="left" vertical="center" wrapText="1"/>
    </xf>
    <xf numFmtId="0" fontId="27" fillId="3" borderId="82" xfId="0" applyFont="1" applyFill="1" applyBorder="1" applyAlignment="1">
      <alignment vertical="top" wrapText="1"/>
    </xf>
    <xf numFmtId="0" fontId="90" fillId="3" borderId="0" xfId="0" applyFont="1" applyFill="1" applyAlignment="1">
      <alignment horizontal="center" vertical="top"/>
    </xf>
    <xf numFmtId="0" fontId="90" fillId="0" borderId="0" xfId="0" applyFont="1" applyAlignment="1">
      <alignment horizontal="center" vertical="top"/>
    </xf>
    <xf numFmtId="0" fontId="14" fillId="0" borderId="1" xfId="0" applyFont="1" applyBorder="1" applyAlignment="1">
      <alignment horizontal="center" vertical="top" wrapText="1"/>
    </xf>
    <xf numFmtId="0" fontId="14" fillId="0" borderId="12" xfId="0" applyFont="1" applyBorder="1" applyAlignment="1">
      <alignment horizontal="center" vertical="top" wrapText="1"/>
    </xf>
    <xf numFmtId="0" fontId="90" fillId="0" borderId="68" xfId="0" applyFont="1" applyBorder="1" applyAlignment="1">
      <alignment horizontal="center" vertical="top" wrapText="1"/>
    </xf>
    <xf numFmtId="0" fontId="90" fillId="0" borderId="12" xfId="0" applyFont="1" applyBorder="1" applyAlignment="1">
      <alignment horizontal="center" vertical="top" wrapText="1"/>
    </xf>
    <xf numFmtId="0" fontId="90" fillId="0" borderId="45" xfId="0" applyFont="1" applyBorder="1" applyAlignment="1">
      <alignment horizontal="center" vertical="top" wrapText="1"/>
    </xf>
    <xf numFmtId="0" fontId="4" fillId="4" borderId="66" xfId="0" applyFont="1" applyFill="1" applyBorder="1" applyAlignment="1">
      <alignment horizontal="center" vertical="center"/>
    </xf>
    <xf numFmtId="0" fontId="7" fillId="0" borderId="0" xfId="0" applyFont="1" applyAlignment="1">
      <alignment horizontal="center" vertical="center"/>
    </xf>
    <xf numFmtId="0" fontId="16" fillId="39" borderId="53" xfId="0" applyFont="1" applyFill="1" applyBorder="1" applyAlignment="1">
      <alignment horizontal="left" vertical="center"/>
    </xf>
    <xf numFmtId="0" fontId="22" fillId="64" borderId="18" xfId="0" applyFont="1" applyFill="1" applyBorder="1" applyAlignment="1">
      <alignment horizontal="center" vertical="center" textRotation="90" wrapText="1"/>
    </xf>
    <xf numFmtId="0" fontId="16" fillId="33" borderId="18" xfId="0" applyFont="1" applyFill="1" applyBorder="1" applyAlignment="1">
      <alignment horizontal="center" vertical="center" textRotation="90" wrapText="1"/>
    </xf>
    <xf numFmtId="169" fontId="1" fillId="65" borderId="24" xfId="0" applyNumberFormat="1" applyFont="1" applyFill="1" applyBorder="1" applyAlignment="1">
      <alignment horizontal="center" vertical="center"/>
    </xf>
    <xf numFmtId="0" fontId="90" fillId="3" borderId="68" xfId="0" applyFont="1" applyFill="1" applyBorder="1" applyAlignment="1">
      <alignment horizontal="center" vertical="top" wrapText="1"/>
    </xf>
    <xf numFmtId="0" fontId="27" fillId="0" borderId="6" xfId="0" applyFont="1" applyBorder="1" applyAlignment="1">
      <alignment vertical="top"/>
    </xf>
    <xf numFmtId="0" fontId="90" fillId="0" borderId="54" xfId="0" applyFont="1" applyBorder="1" applyAlignment="1">
      <alignment horizontal="center" vertical="top" wrapText="1"/>
    </xf>
    <xf numFmtId="2" fontId="16" fillId="0" borderId="58" xfId="0" applyNumberFormat="1" applyFont="1" applyBorder="1" applyAlignment="1">
      <alignment horizontal="center" vertical="center"/>
    </xf>
    <xf numFmtId="165" fontId="91" fillId="0" borderId="25" xfId="0" applyNumberFormat="1" applyFont="1" applyBorder="1" applyAlignment="1">
      <alignment horizontal="center" vertical="top"/>
    </xf>
    <xf numFmtId="0" fontId="27" fillId="0" borderId="53" xfId="0" applyFont="1" applyBorder="1" applyAlignment="1">
      <alignment horizontal="center" vertical="top"/>
    </xf>
    <xf numFmtId="165" fontId="91" fillId="0" borderId="26" xfId="0" applyNumberFormat="1" applyFont="1" applyBorder="1" applyAlignment="1">
      <alignment horizontal="center" vertical="top"/>
    </xf>
    <xf numFmtId="0" fontId="27" fillId="0" borderId="26" xfId="0" applyFont="1" applyBorder="1" applyAlignment="1">
      <alignment horizontal="center" vertical="top"/>
    </xf>
    <xf numFmtId="0" fontId="27" fillId="0" borderId="27" xfId="0" applyFont="1" applyBorder="1" applyAlignment="1">
      <alignment horizontal="center" vertical="top"/>
    </xf>
    <xf numFmtId="165" fontId="91" fillId="0" borderId="30" xfId="0" applyNumberFormat="1" applyFont="1" applyBorder="1" applyAlignment="1">
      <alignment horizontal="center" vertical="top"/>
    </xf>
    <xf numFmtId="0" fontId="27" fillId="0" borderId="13" xfId="0" applyFont="1" applyBorder="1" applyAlignment="1">
      <alignment horizontal="center" vertical="top"/>
    </xf>
    <xf numFmtId="165" fontId="91" fillId="0" borderId="1" xfId="0" applyNumberFormat="1" applyFont="1" applyBorder="1" applyAlignment="1">
      <alignment horizontal="center" vertical="top"/>
    </xf>
    <xf numFmtId="0" fontId="27" fillId="0" borderId="1" xfId="0" applyFont="1" applyBorder="1" applyAlignment="1">
      <alignment horizontal="center" vertical="top"/>
    </xf>
    <xf numFmtId="0" fontId="27" fillId="0" borderId="31" xfId="0" applyFont="1" applyBorder="1" applyAlignment="1">
      <alignment horizontal="center" vertical="top"/>
    </xf>
    <xf numFmtId="0" fontId="27" fillId="3" borderId="83" xfId="0" applyFont="1" applyFill="1" applyBorder="1" applyAlignment="1">
      <alignment vertical="top"/>
    </xf>
    <xf numFmtId="0" fontId="90" fillId="2" borderId="84" xfId="0" applyFont="1" applyFill="1" applyBorder="1" applyAlignment="1">
      <alignment horizontal="center" vertical="top"/>
    </xf>
    <xf numFmtId="0" fontId="27" fillId="3" borderId="1" xfId="0" applyFont="1" applyFill="1" applyBorder="1" applyAlignment="1">
      <alignment vertical="top"/>
    </xf>
    <xf numFmtId="0" fontId="92" fillId="0" borderId="0" xfId="0" applyFont="1" applyAlignment="1">
      <alignment horizontal="center" vertical="center"/>
    </xf>
    <xf numFmtId="0" fontId="92" fillId="0" borderId="0" xfId="0" applyFont="1" applyAlignment="1">
      <alignment vertical="center"/>
    </xf>
    <xf numFmtId="1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left"/>
    </xf>
    <xf numFmtId="165" fontId="0" fillId="0" borderId="0" xfId="0" applyNumberFormat="1"/>
    <xf numFmtId="0" fontId="0" fillId="0" borderId="0" xfId="0" applyAlignment="1">
      <alignment horizontal="center"/>
    </xf>
    <xf numFmtId="166" fontId="4" fillId="15" borderId="70" xfId="0" applyNumberFormat="1" applyFont="1" applyFill="1" applyBorder="1" applyAlignment="1">
      <alignment horizontal="right" vertical="center"/>
    </xf>
    <xf numFmtId="0" fontId="2" fillId="16" borderId="70" xfId="0" applyFont="1" applyFill="1" applyBorder="1" applyAlignment="1">
      <alignment horizontal="right"/>
    </xf>
    <xf numFmtId="0" fontId="3" fillId="3" borderId="10" xfId="0" applyFont="1" applyFill="1" applyBorder="1" applyAlignment="1">
      <alignment horizontal="center" vertical="center"/>
    </xf>
    <xf numFmtId="0" fontId="2" fillId="3" borderId="10" xfId="0" applyFont="1" applyFill="1" applyBorder="1"/>
    <xf numFmtId="166" fontId="4" fillId="19" borderId="1" xfId="0" applyNumberFormat="1" applyFont="1" applyFill="1" applyBorder="1" applyAlignment="1">
      <alignment horizontal="right" vertical="center"/>
    </xf>
    <xf numFmtId="0" fontId="23" fillId="3" borderId="0" xfId="0" applyFont="1" applyFill="1" applyAlignment="1">
      <alignment horizontal="center" vertical="center"/>
    </xf>
    <xf numFmtId="0" fontId="17" fillId="12" borderId="12" xfId="0" applyFont="1" applyFill="1" applyBorder="1" applyAlignment="1">
      <alignment horizontal="center" vertical="center"/>
    </xf>
    <xf numFmtId="0" fontId="18" fillId="13" borderId="33" xfId="0" applyFont="1" applyFill="1" applyBorder="1"/>
    <xf numFmtId="0" fontId="3" fillId="23" borderId="36" xfId="0" applyFont="1" applyFill="1" applyBorder="1" applyAlignment="1">
      <alignment horizontal="center" vertical="center" wrapText="1"/>
    </xf>
    <xf numFmtId="0" fontId="2" fillId="24" borderId="3" xfId="0" applyFont="1" applyFill="1" applyBorder="1"/>
    <xf numFmtId="0" fontId="17" fillId="20" borderId="39" xfId="0" applyFont="1" applyFill="1" applyBorder="1" applyAlignment="1">
      <alignment horizontal="center" vertical="center" wrapText="1"/>
    </xf>
    <xf numFmtId="0" fontId="19" fillId="13" borderId="41" xfId="0" applyFont="1" applyFill="1" applyBorder="1"/>
    <xf numFmtId="168" fontId="4" fillId="16" borderId="24" xfId="0" applyNumberFormat="1" applyFont="1" applyFill="1" applyBorder="1" applyAlignment="1">
      <alignment horizontal="left"/>
    </xf>
    <xf numFmtId="168" fontId="1" fillId="2" borderId="24" xfId="0" applyNumberFormat="1" applyFont="1" applyFill="1" applyBorder="1" applyAlignment="1">
      <alignment horizontal="left" vertical="center"/>
    </xf>
    <xf numFmtId="16" fontId="27" fillId="24" borderId="26" xfId="0" applyNumberFormat="1" applyFont="1" applyFill="1" applyBorder="1" applyAlignment="1">
      <alignment horizontal="center"/>
    </xf>
    <xf numFmtId="16" fontId="27" fillId="24" borderId="27" xfId="0" applyNumberFormat="1" applyFont="1" applyFill="1" applyBorder="1" applyAlignment="1">
      <alignment horizontal="center"/>
    </xf>
    <xf numFmtId="0" fontId="18" fillId="13" borderId="12" xfId="0" applyFont="1" applyFill="1" applyBorder="1"/>
    <xf numFmtId="0" fontId="3" fillId="23" borderId="38" xfId="0" applyFont="1" applyFill="1" applyBorder="1" applyAlignment="1">
      <alignment horizontal="center" vertical="center" wrapText="1"/>
    </xf>
    <xf numFmtId="0" fontId="2" fillId="24" borderId="5" xfId="0" applyFont="1" applyFill="1" applyBorder="1"/>
    <xf numFmtId="0" fontId="4" fillId="23" borderId="35" xfId="0" applyFont="1" applyFill="1" applyBorder="1" applyAlignment="1">
      <alignment horizontal="center" vertical="center"/>
    </xf>
    <xf numFmtId="0" fontId="2" fillId="24" borderId="40" xfId="0" applyFont="1" applyFill="1" applyBorder="1"/>
    <xf numFmtId="0" fontId="2" fillId="24" borderId="42" xfId="0" applyFont="1" applyFill="1" applyBorder="1"/>
    <xf numFmtId="0" fontId="4" fillId="23" borderId="36" xfId="0" applyFont="1" applyFill="1" applyBorder="1" applyAlignment="1">
      <alignment horizontal="center" vertical="center"/>
    </xf>
    <xf numFmtId="0" fontId="2" fillId="24" borderId="43" xfId="0" applyFont="1" applyFill="1" applyBorder="1"/>
    <xf numFmtId="0" fontId="4" fillId="23" borderId="37" xfId="0" applyFont="1" applyFill="1" applyBorder="1" applyAlignment="1">
      <alignment horizontal="center" vertical="center"/>
    </xf>
    <xf numFmtId="0" fontId="2" fillId="24" borderId="4" xfId="0" applyFont="1" applyFill="1" applyBorder="1"/>
    <xf numFmtId="0" fontId="2" fillId="24" borderId="44" xfId="0" applyFont="1" applyFill="1" applyBorder="1"/>
    <xf numFmtId="169" fontId="17" fillId="14" borderId="25" xfId="0" applyNumberFormat="1" applyFont="1" applyFill="1" applyBorder="1" applyAlignment="1">
      <alignment horizontal="center" vertical="center"/>
    </xf>
    <xf numFmtId="0" fontId="17" fillId="14" borderId="26" xfId="0" applyFont="1" applyFill="1" applyBorder="1" applyAlignment="1">
      <alignment horizontal="center" vertical="center"/>
    </xf>
    <xf numFmtId="0" fontId="17" fillId="14" borderId="27" xfId="0" applyFont="1" applyFill="1" applyBorder="1" applyAlignment="1">
      <alignment horizontal="center" vertical="center"/>
    </xf>
    <xf numFmtId="0" fontId="17" fillId="12" borderId="32" xfId="0" applyFont="1" applyFill="1" applyBorder="1" applyAlignment="1">
      <alignment horizontal="center" vertical="center"/>
    </xf>
    <xf numFmtId="16" fontId="27" fillId="24" borderId="25" xfId="0" applyNumberFormat="1" applyFont="1" applyFill="1" applyBorder="1" applyAlignment="1">
      <alignment horizontal="center"/>
    </xf>
    <xf numFmtId="0" fontId="21" fillId="22" borderId="15" xfId="0" applyFont="1" applyFill="1" applyBorder="1" applyAlignment="1">
      <alignment horizontal="center" vertical="center"/>
    </xf>
    <xf numFmtId="0" fontId="21" fillId="22" borderId="17" xfId="0" applyFont="1" applyFill="1" applyBorder="1" applyAlignment="1">
      <alignment horizontal="center" vertical="center"/>
    </xf>
    <xf numFmtId="0" fontId="21" fillId="22" borderId="18" xfId="0" applyFont="1" applyFill="1" applyBorder="1" applyAlignment="1">
      <alignment horizontal="center" vertical="center"/>
    </xf>
    <xf numFmtId="0" fontId="21" fillId="22" borderId="58" xfId="0" applyFont="1" applyFill="1" applyBorder="1" applyAlignment="1">
      <alignment horizontal="center" vertical="center"/>
    </xf>
    <xf numFmtId="169" fontId="21" fillId="22" borderId="15" xfId="0" applyNumberFormat="1" applyFont="1" applyFill="1" applyBorder="1" applyAlignment="1">
      <alignment horizontal="center" vertical="center"/>
    </xf>
    <xf numFmtId="169" fontId="21" fillId="22" borderId="16" xfId="0" applyNumberFormat="1" applyFont="1" applyFill="1" applyBorder="1" applyAlignment="1">
      <alignment horizontal="center" vertical="center"/>
    </xf>
    <xf numFmtId="169" fontId="21" fillId="22" borderId="17" xfId="0" applyNumberFormat="1" applyFont="1" applyFill="1" applyBorder="1" applyAlignment="1">
      <alignment horizontal="center" vertical="center"/>
    </xf>
    <xf numFmtId="0" fontId="21" fillId="22" borderId="16" xfId="0" applyFont="1" applyFill="1" applyBorder="1" applyAlignment="1">
      <alignment horizontal="center" vertical="center"/>
    </xf>
    <xf numFmtId="0" fontId="24" fillId="21" borderId="15" xfId="0" applyFont="1" applyFill="1" applyBorder="1" applyAlignment="1">
      <alignment horizontal="center" vertical="center"/>
    </xf>
    <xf numFmtId="0" fontId="24" fillId="21" borderId="16" xfId="0" applyFont="1" applyFill="1" applyBorder="1" applyAlignment="1">
      <alignment horizontal="center" vertical="center"/>
    </xf>
    <xf numFmtId="0" fontId="24" fillId="21" borderId="17" xfId="0" applyFont="1" applyFill="1" applyBorder="1" applyAlignment="1">
      <alignment horizontal="center" vertical="center"/>
    </xf>
    <xf numFmtId="0" fontId="21" fillId="26" borderId="18" xfId="0" applyFont="1" applyFill="1" applyBorder="1" applyAlignment="1">
      <alignment horizontal="center" vertical="center"/>
    </xf>
    <xf numFmtId="0" fontId="21" fillId="26" borderId="58" xfId="0" applyFont="1" applyFill="1" applyBorder="1" applyAlignment="1">
      <alignment horizontal="center" vertical="center"/>
    </xf>
    <xf numFmtId="0" fontId="16" fillId="0" borderId="18" xfId="0" applyFont="1" applyBorder="1" applyAlignment="1">
      <alignment horizontal="center" vertical="center" wrapText="1"/>
    </xf>
    <xf numFmtId="0" fontId="16" fillId="0" borderId="56" xfId="0" applyFont="1" applyBorder="1" applyAlignment="1">
      <alignment horizontal="center" vertical="center" wrapText="1"/>
    </xf>
    <xf numFmtId="0" fontId="20" fillId="21" borderId="15" xfId="0" applyFont="1" applyFill="1" applyBorder="1" applyAlignment="1">
      <alignment horizontal="center" vertical="center"/>
    </xf>
    <xf numFmtId="0" fontId="20" fillId="21" borderId="16" xfId="0" applyFont="1" applyFill="1" applyBorder="1" applyAlignment="1">
      <alignment horizontal="center" vertical="center"/>
    </xf>
    <xf numFmtId="14" fontId="20" fillId="22" borderId="15" xfId="0" applyNumberFormat="1" applyFont="1" applyFill="1" applyBorder="1" applyAlignment="1">
      <alignment horizontal="left" vertical="center"/>
    </xf>
    <xf numFmtId="14" fontId="20" fillId="22" borderId="16" xfId="0" applyNumberFormat="1" applyFont="1" applyFill="1" applyBorder="1" applyAlignment="1">
      <alignment horizontal="left" vertical="center"/>
    </xf>
    <xf numFmtId="14" fontId="20" fillId="22" borderId="17" xfId="0" applyNumberFormat="1" applyFont="1" applyFill="1" applyBorder="1" applyAlignment="1">
      <alignment horizontal="left" vertical="center"/>
    </xf>
    <xf numFmtId="0" fontId="21" fillId="21" borderId="15" xfId="0" applyFont="1" applyFill="1" applyBorder="1" applyAlignment="1">
      <alignment horizontal="center" vertical="center"/>
    </xf>
    <xf numFmtId="0" fontId="21" fillId="21" borderId="16" xfId="0" applyFont="1" applyFill="1" applyBorder="1" applyAlignment="1">
      <alignment horizontal="center" vertical="center"/>
    </xf>
    <xf numFmtId="0" fontId="21" fillId="21" borderId="17" xfId="0" applyFont="1" applyFill="1" applyBorder="1" applyAlignment="1">
      <alignment horizontal="center" vertical="center"/>
    </xf>
    <xf numFmtId="0" fontId="21" fillId="22" borderId="18" xfId="0" applyFont="1" applyFill="1" applyBorder="1" applyAlignment="1">
      <alignment horizontal="center"/>
    </xf>
    <xf numFmtId="0" fontId="21" fillId="22" borderId="56" xfId="0" applyFont="1" applyFill="1" applyBorder="1" applyAlignment="1">
      <alignment horizontal="center"/>
    </xf>
    <xf numFmtId="0" fontId="20" fillId="21" borderId="17" xfId="0" applyFont="1" applyFill="1" applyBorder="1" applyAlignment="1">
      <alignment horizontal="center" vertical="center"/>
    </xf>
  </cellXfs>
  <cellStyles count="125">
    <cellStyle name="20% - Énfasis1 2" xfId="5" xr:uid="{54FF34C3-D4C9-44E6-A2EA-0288DDF9216B}"/>
    <cellStyle name="20% - Énfasis1 3" xfId="6" xr:uid="{C7D5C033-81FB-44C9-90BA-1104DA5A5BA8}"/>
    <cellStyle name="20% - Énfasis2 2" xfId="7" xr:uid="{AF5D5F97-FBB3-4CF7-A2A5-BB115B9CEBD9}"/>
    <cellStyle name="20% - Énfasis2 3" xfId="8" xr:uid="{2584D26E-67A1-421E-B5B1-0B2FF72FE681}"/>
    <cellStyle name="20% - Énfasis3 2" xfId="9" xr:uid="{F15EB3FD-77D1-4431-B629-C0B06FB93362}"/>
    <cellStyle name="20% - Énfasis3 3" xfId="10" xr:uid="{EEB42BCA-C7FD-412D-8240-0D1E743FD8B8}"/>
    <cellStyle name="20% - Énfasis4 2" xfId="11" xr:uid="{72703AEA-3313-4F07-B700-E9AC6D428BCD}"/>
    <cellStyle name="20% - Énfasis4 3" xfId="12" xr:uid="{BB8F930C-8246-4921-8412-27F980F7A83C}"/>
    <cellStyle name="20% - Énfasis5 2" xfId="13" xr:uid="{21FEFCDC-2F79-4B93-AFB8-D60300F08E6F}"/>
    <cellStyle name="20% - Énfasis5 3" xfId="14" xr:uid="{E9EBFC00-186B-4AEA-B67E-A6FB6BD72C20}"/>
    <cellStyle name="20% - Énfasis6 2" xfId="15" xr:uid="{5D60437B-4CB5-4C7A-BEDA-424AB1FFE930}"/>
    <cellStyle name="20% - Énfasis6 3" xfId="16" xr:uid="{9B49AC60-C4D6-44CA-99A8-9D785CBF955E}"/>
    <cellStyle name="40% - Énfasis1 2" xfId="17" xr:uid="{7C435D84-A777-47DE-8EF7-09CC01001C96}"/>
    <cellStyle name="40% - Énfasis1 3" xfId="18" xr:uid="{089327B9-2AB6-4448-B9A7-546C9F33B017}"/>
    <cellStyle name="40% - Énfasis2 2" xfId="19" xr:uid="{A97F22DE-2630-42B0-8811-748355BFEE4D}"/>
    <cellStyle name="40% - Énfasis2 3" xfId="20" xr:uid="{EEE1AD6A-C8B1-4013-9ECF-5B693E0C76A9}"/>
    <cellStyle name="40% - Énfasis3 2" xfId="21" xr:uid="{57F3CB44-0353-456A-85D4-08712548C94F}"/>
    <cellStyle name="40% - Énfasis3 3" xfId="22" xr:uid="{AD9FBA3F-D0CE-4E7B-AF0A-D0095F73815E}"/>
    <cellStyle name="40% - Énfasis4 2" xfId="23" xr:uid="{C6A79172-9A69-41E8-B95B-155A07DEBA56}"/>
    <cellStyle name="40% - Énfasis4 3" xfId="24" xr:uid="{A0CDA473-7BFF-45BD-B79E-6859998A7A9E}"/>
    <cellStyle name="40% - Énfasis5 2" xfId="25" xr:uid="{9169CDAD-56DB-4A9B-830A-3200ED1B9E7D}"/>
    <cellStyle name="40% - Énfasis5 3" xfId="26" xr:uid="{88034FAF-6F12-4178-9206-CB25D61EB5FB}"/>
    <cellStyle name="40% - Énfasis6 2" xfId="27" xr:uid="{E70D5B43-A30E-4290-827D-5F05E20A42D9}"/>
    <cellStyle name="40% - Énfasis6 3" xfId="28" xr:uid="{916F9D16-E18B-48FE-8595-562287788C56}"/>
    <cellStyle name="60% - Énfasis1 2" xfId="29" xr:uid="{9808A95D-1F24-4A14-A893-7722A33EB745}"/>
    <cellStyle name="60% - Énfasis1 3" xfId="30" xr:uid="{333DFE22-0118-4781-B533-727B33282222}"/>
    <cellStyle name="60% - Énfasis2 2" xfId="31" xr:uid="{E8BE39B4-E904-477B-A2DC-41285168E22F}"/>
    <cellStyle name="60% - Énfasis2 3" xfId="32" xr:uid="{E07D2623-49FC-4500-A48D-F716DAF10FFC}"/>
    <cellStyle name="60% - Énfasis3 2" xfId="33" xr:uid="{DBA1DF12-B74A-4958-AC9F-389D0D6ED2DE}"/>
    <cellStyle name="60% - Énfasis3 3" xfId="34" xr:uid="{015C9E2B-880E-4BCD-A99E-DC43E87D08FA}"/>
    <cellStyle name="60% - Énfasis4 2" xfId="35" xr:uid="{BCB8EBC0-24D8-44A6-A564-6F7C8723D4AE}"/>
    <cellStyle name="60% - Énfasis4 3" xfId="36" xr:uid="{4C683885-4731-48C2-B373-601B36675F17}"/>
    <cellStyle name="60% - Énfasis5 2" xfId="37" xr:uid="{F576AAD6-5952-4996-8742-1DFA33777503}"/>
    <cellStyle name="60% - Énfasis5 3" xfId="38" xr:uid="{F55918D7-B328-438A-A04F-A6D59ED81460}"/>
    <cellStyle name="60% - Énfasis6 2" xfId="39" xr:uid="{95F38BF5-69AD-452E-BCB9-BB25C684F5E5}"/>
    <cellStyle name="60% - Énfasis6 3" xfId="40" xr:uid="{7F7AC3EF-3DA9-484E-9ABA-0803E956E6F2}"/>
    <cellStyle name="Buena 2" xfId="41" xr:uid="{F1690ACF-5274-40C5-818B-70BDA902240A}"/>
    <cellStyle name="Buena 3" xfId="42" xr:uid="{64640EB5-C757-46CD-B0A2-00CC64726C8E}"/>
    <cellStyle name="Cálculo 2" xfId="43" xr:uid="{D1C38DCA-DACE-44D1-978A-B6E1EE07F205}"/>
    <cellStyle name="Cálculo 3" xfId="44" xr:uid="{A9DEB895-5D7E-4CE8-832E-D8BD799EF030}"/>
    <cellStyle name="Cancel" xfId="45" xr:uid="{1DA338A7-E9EF-47CC-9CB0-FF0F6FFE0F9D}"/>
    <cellStyle name="Celda de comprobación 2" xfId="46" xr:uid="{92203BE9-D3BA-4E16-8441-96D44AA416F1}"/>
    <cellStyle name="Celda de comprobación 3" xfId="47" xr:uid="{A7C73D3A-F591-4C12-B5D5-E647C6C0E79A}"/>
    <cellStyle name="Celda vinculada 2" xfId="48" xr:uid="{EC31DFAA-2A32-42E9-AFAC-E83FB08B7C0B}"/>
    <cellStyle name="Celda vinculada 3" xfId="49" xr:uid="{75D9ADB6-0BFF-4EA3-81EF-AC2C5E25DB5E}"/>
    <cellStyle name="Encabezado 4 2" xfId="50" xr:uid="{E82A6005-709A-4665-B1FC-06506AEF0859}"/>
    <cellStyle name="Encabezado 4 3" xfId="51" xr:uid="{3B2C917B-BBBC-4D04-B941-C484F37D70A7}"/>
    <cellStyle name="Énfasis1 2" xfId="52" xr:uid="{BAFF26C9-D184-405C-891C-13AED8CC542F}"/>
    <cellStyle name="Énfasis1 3" xfId="53" xr:uid="{8C2D8D1D-4F44-4F3A-96F2-E4B9AACF7434}"/>
    <cellStyle name="Énfasis2 2" xfId="54" xr:uid="{6D7DBD28-C86F-48B3-A908-DCB2835544CE}"/>
    <cellStyle name="Énfasis2 3" xfId="55" xr:uid="{7779E043-4A25-4C52-83BD-3971A8AF77D7}"/>
    <cellStyle name="Énfasis3 2" xfId="56" xr:uid="{333F1B96-1795-4660-A59F-5A49F5376196}"/>
    <cellStyle name="Énfasis3 3" xfId="57" xr:uid="{1D6121E1-4250-4721-A9AA-775C4694D4BE}"/>
    <cellStyle name="Énfasis4 2" xfId="58" xr:uid="{9A5DA74F-76C9-440D-A881-4ED8E47E1E89}"/>
    <cellStyle name="Énfasis4 3" xfId="59" xr:uid="{6FB85E5D-FCB9-479A-AD16-026FE9EA1669}"/>
    <cellStyle name="Énfasis5 2" xfId="60" xr:uid="{81A30675-8716-46EB-B708-86962BFA4734}"/>
    <cellStyle name="Énfasis5 3" xfId="61" xr:uid="{3F6441F7-E95E-4FAA-9511-90996AC779F2}"/>
    <cellStyle name="Énfasis6 2" xfId="62" xr:uid="{FAF654E9-9574-4427-A78F-6E7B3351DFB2}"/>
    <cellStyle name="Énfasis6 3" xfId="63" xr:uid="{DB854D01-FEF4-4253-97D9-26A2618C1C6F}"/>
    <cellStyle name="Entrada 2" xfId="64" xr:uid="{5D0E155B-ADE7-40B9-94FC-A34B24922558}"/>
    <cellStyle name="Entrada 3" xfId="65" xr:uid="{E4A550D3-5CAC-4A8C-A0BB-A96678E11996}"/>
    <cellStyle name="Estilo 1" xfId="66" xr:uid="{001AD9D4-9E16-407F-88EC-97679BA999CE}"/>
    <cellStyle name="Euro" xfId="67" xr:uid="{04876475-F1AE-41D2-BE91-9B74543F4E46}"/>
    <cellStyle name="F2" xfId="68" xr:uid="{7D2B73E2-1518-44ED-B36B-381E9FB5912A}"/>
    <cellStyle name="F3" xfId="69" xr:uid="{EE306062-4666-4F38-8BD8-3B946CE39ABB}"/>
    <cellStyle name="F4" xfId="70" xr:uid="{2D54C4B1-4501-47AD-9889-4D342D2AB8F7}"/>
    <cellStyle name="F5" xfId="71" xr:uid="{A75F30E3-AFE4-4BDA-AC33-CDD23A2661C5}"/>
    <cellStyle name="F6" xfId="72" xr:uid="{6A14B4C9-5B4F-4B02-B689-68E665EE8065}"/>
    <cellStyle name="F7" xfId="73" xr:uid="{E0C41FE6-1B5A-4C5E-8BFF-49D37C96EAA8}"/>
    <cellStyle name="F8" xfId="74" xr:uid="{4BAE8B14-C895-4957-84AD-3524649CC30F}"/>
    <cellStyle name="Incorrecto 2" xfId="75" xr:uid="{3211BD2E-39D0-49C0-B07C-C58C8028890B}"/>
    <cellStyle name="Incorrecto 3" xfId="76" xr:uid="{1FF4EF02-E6FE-4673-9943-F75473DE519F}"/>
    <cellStyle name="Millares" xfId="1" builtinId="3"/>
    <cellStyle name="Millares 2" xfId="77" xr:uid="{42BFCA21-8727-48E0-8FEF-C2DD0818B577}"/>
    <cellStyle name="Millares 2 2" xfId="78" xr:uid="{4FE69AA2-BB07-47E3-87EA-132CCF7C1FA6}"/>
    <cellStyle name="Millares 2 3" xfId="79" xr:uid="{6EE94B05-1BEF-4558-AF46-B5F004AD5E0A}"/>
    <cellStyle name="Millares 2 3 2" xfId="80" xr:uid="{19371F11-144C-443A-93C4-E1B141A28EC3}"/>
    <cellStyle name="Millares 3" xfId="81" xr:uid="{BA7BCDDF-C01C-430F-80BF-96D90B7A311F}"/>
    <cellStyle name="Millares 3 2" xfId="122" xr:uid="{57A2CC5E-8B59-4C06-918E-4A7ED6D8E1E3}"/>
    <cellStyle name="Millares 4" xfId="82" xr:uid="{CEECCEC8-D2FC-4DAF-BC3D-E8CBEBC935C8}"/>
    <cellStyle name="Millares 5" xfId="83" xr:uid="{C03B57BF-3BF4-4517-8327-6026F984522B}"/>
    <cellStyle name="Millares 6" xfId="84" xr:uid="{A07C5251-D678-4C08-B24F-367676FC0C79}"/>
    <cellStyle name="Millares 6 2" xfId="121" xr:uid="{84170D0D-A99E-401E-B750-3225E42098EB}"/>
    <cellStyle name="Millares 6 2 2" xfId="124" xr:uid="{751AF0EB-C70F-450C-AAA2-1487FA0054B7}"/>
    <cellStyle name="Millares 6 3" xfId="123" xr:uid="{2CBB75F4-DFA5-44E1-B674-829F09FA8818}"/>
    <cellStyle name="Millares 7" xfId="85" xr:uid="{444A3137-CC86-47B3-A9DF-D31129C9C214}"/>
    <cellStyle name="Millares 8" xfId="3" xr:uid="{D3D1A64B-7048-4195-83B7-7F3F2A5BE851}"/>
    <cellStyle name="Moneda" xfId="2" builtinId="4"/>
    <cellStyle name="Moneda 2" xfId="86" xr:uid="{C2E4BFB3-13FE-4872-BA99-80A454BDAF99}"/>
    <cellStyle name="Neutral 2" xfId="87" xr:uid="{F47993CF-E82C-4138-AE15-982C8DCCD173}"/>
    <cellStyle name="Neutral 3" xfId="88" xr:uid="{C5DB481D-24BF-446E-8055-BA549762F73F}"/>
    <cellStyle name="Normal" xfId="0" builtinId="0"/>
    <cellStyle name="Normal 10" xfId="89" xr:uid="{F0DFE509-3256-4F4A-91D4-A5AF8A6A729D}"/>
    <cellStyle name="Normal 19" xfId="90" xr:uid="{B14B734C-D293-4598-8F29-E9472D136707}"/>
    <cellStyle name="Normal 2" xfId="91" xr:uid="{16178CEB-DF21-4391-83D7-C0548049E501}"/>
    <cellStyle name="Normal 2 2" xfId="4" xr:uid="{955BE250-44A1-4FE3-833C-6E28971FD93F}"/>
    <cellStyle name="Normal 2 2 2" xfId="92" xr:uid="{0210910E-F61D-42A0-BA70-AA901109BF35}"/>
    <cellStyle name="Normal 2 4" xfId="93" xr:uid="{C2DCE1B8-063E-4BE6-963A-3F36E5785BF0}"/>
    <cellStyle name="Normal 2 5" xfId="94" xr:uid="{3904B4F1-5ADD-426E-B39F-EE51D1ED3A7F}"/>
    <cellStyle name="Normal 3" xfId="95" xr:uid="{9D555EFC-D26F-4EC5-9372-E1F252945767}"/>
    <cellStyle name="Normal 3 2" xfId="96" xr:uid="{C7F8EB75-6DE4-404B-B9AE-32C2B4EF4F80}"/>
    <cellStyle name="Normal 3 5" xfId="97" xr:uid="{A6A7DF09-F75B-4660-8B36-789F5AFCCDB7}"/>
    <cellStyle name="Normal 4" xfId="98" xr:uid="{615C0664-C823-4E03-A6A8-9FA9C7F8C641}"/>
    <cellStyle name="Normal 5" xfId="99" xr:uid="{0A5F4281-700A-4258-86AC-08F9789E0ACB}"/>
    <cellStyle name="Normal 5 2" xfId="100" xr:uid="{5E33C58B-A582-43FB-A23E-2F6ED635F3F5}"/>
    <cellStyle name="Notas 2" xfId="101" xr:uid="{4986DB88-CBB2-426A-B3CA-8411CE8CF057}"/>
    <cellStyle name="Notas 3" xfId="102" xr:uid="{5F0F861D-4134-4486-A16A-4DC32FA94F6E}"/>
    <cellStyle name="Porcentual 2" xfId="103" xr:uid="{94CF8CC5-3F1F-40C4-8AA4-05BB1C17F6C1}"/>
    <cellStyle name="Porcentual 3" xfId="104" xr:uid="{F1431298-5D88-4C28-9A36-2ADFA885E5E1}"/>
    <cellStyle name="Salida 2" xfId="105" xr:uid="{03F74E21-81AD-49C7-9E4A-0D4A5D330FBF}"/>
    <cellStyle name="Salida 3" xfId="106" xr:uid="{4ADD4D10-98DC-4EEA-AFFF-7B48A8BB6E58}"/>
    <cellStyle name="Texto de advertencia 2" xfId="107" xr:uid="{C88E60CB-DE7C-47BA-BF3E-1B0209A51872}"/>
    <cellStyle name="Texto de advertencia 3" xfId="108" xr:uid="{D3511EF0-5346-40F6-BE44-18A48B9FB642}"/>
    <cellStyle name="Texto explicativo 2" xfId="109" xr:uid="{0DDF3FFB-22BD-45C7-8249-0BF69369CAAC}"/>
    <cellStyle name="Texto explicativo 3" xfId="110" xr:uid="{C92C68C3-4C8C-4A57-B525-A736BADBAC80}"/>
    <cellStyle name="Título 1 2" xfId="111" xr:uid="{C8966A5B-F16E-4919-B881-5ACA2222F825}"/>
    <cellStyle name="Título 1 3" xfId="112" xr:uid="{ADD432B8-06E4-4DD6-82D1-E6D51FDE6965}"/>
    <cellStyle name="Título 2 2" xfId="113" xr:uid="{2CABC0B8-8A0A-45C2-9CD1-20B6FDA551AA}"/>
    <cellStyle name="Título 2 3" xfId="114" xr:uid="{27BA41B6-C57D-4656-925E-65ACF47BDCAC}"/>
    <cellStyle name="Título 3 2" xfId="115" xr:uid="{6AED3A55-2851-41F2-9A3A-82DD3E0A25C3}"/>
    <cellStyle name="Título 3 3" xfId="116" xr:uid="{B55BC7C3-FAB4-460D-8086-4EACDD468836}"/>
    <cellStyle name="Título 4" xfId="117" xr:uid="{FE367092-A051-4A4C-8B0E-B16421A45CF4}"/>
    <cellStyle name="Título 5" xfId="118" xr:uid="{02EE1E9D-29A5-436A-A099-DCAE63243003}"/>
    <cellStyle name="Total 2" xfId="119" xr:uid="{D929E4C4-D963-4448-8E0D-BAE394E1EEC7}"/>
    <cellStyle name="Total 3" xfId="120" xr:uid="{95628465-812F-4701-95D9-9BAEFEF7AA76}"/>
  </cellStyles>
  <dxfs count="7">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FF0000"/>
      </font>
      <fill>
        <patternFill patternType="solid">
          <fgColor rgb="FFFFFFCC"/>
          <bgColor rgb="FFFFFFCC"/>
        </patternFill>
      </fill>
    </dxf>
  </dxfs>
  <tableStyles count="0" defaultTableStyle="TableStyleMedium2" defaultPivotStyle="PivotStyleLight16"/>
  <colors>
    <mruColors>
      <color rgb="FFFF66CC"/>
      <color rgb="FF00FFFF"/>
      <color rgb="FFEB91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1097280</xdr:colOff>
      <xdr:row>0</xdr:row>
      <xdr:rowOff>65858</xdr:rowOff>
    </xdr:from>
    <xdr:to>
      <xdr:col>2</xdr:col>
      <xdr:colOff>1392414</xdr:colOff>
      <xdr:row>3</xdr:row>
      <xdr:rowOff>153264</xdr:rowOff>
    </xdr:to>
    <xdr:pic>
      <xdr:nvPicPr>
        <xdr:cNvPr id="5" name="Imagen 4">
          <a:extLst>
            <a:ext uri="{FF2B5EF4-FFF2-40B4-BE49-F238E27FC236}">
              <a16:creationId xmlns:a16="http://schemas.microsoft.com/office/drawing/2014/main" id="{2167CFDC-90E5-DD64-16B2-408CFF3F4EC0}"/>
            </a:ext>
          </a:extLst>
        </xdr:cNvPr>
        <xdr:cNvPicPr>
          <a:picLocks noChangeAspect="1"/>
        </xdr:cNvPicPr>
      </xdr:nvPicPr>
      <xdr:blipFill>
        <a:blip xmlns:r="http://schemas.openxmlformats.org/officeDocument/2006/relationships" r:embed="rId1"/>
        <a:stretch>
          <a:fillRect/>
        </a:stretch>
      </xdr:blipFill>
      <xdr:spPr>
        <a:xfrm>
          <a:off x="1587137" y="65858"/>
          <a:ext cx="2145706" cy="60447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E70C-F255-480A-BA4C-1BFD102ED004}">
  <dimension ref="A1:Q2046"/>
  <sheetViews>
    <sheetView workbookViewId="0">
      <pane ySplit="1" topLeftCell="A59" activePane="bottomLeft" state="frozen"/>
      <selection pane="bottomLeft" activeCell="B1356" sqref="B1356"/>
    </sheetView>
  </sheetViews>
  <sheetFormatPr baseColWidth="10" defaultRowHeight="14.4" outlineLevelRow="4" outlineLevelCol="1"/>
  <cols>
    <col min="1" max="1" width="15.44140625" hidden="1" customWidth="1"/>
    <col min="2" max="2" width="21.33203125" style="118" customWidth="1"/>
    <col min="3" max="3" width="4.44140625" style="118" customWidth="1"/>
    <col min="4" max="4" width="70" style="118" customWidth="1"/>
    <col min="5" max="5" width="6.33203125" style="118" bestFit="1" customWidth="1"/>
    <col min="6" max="6" width="1.109375" style="118" customWidth="1"/>
    <col min="7" max="7" width="9.88671875" bestFit="1" customWidth="1"/>
    <col min="8" max="8" width="7.44140625" customWidth="1" outlineLevel="1"/>
    <col min="9" max="9" width="11.109375" bestFit="1" customWidth="1" outlineLevel="1"/>
    <col min="10" max="10" width="5.5546875" customWidth="1" outlineLevel="1"/>
    <col min="11" max="11" width="8.88671875" customWidth="1" outlineLevel="1"/>
    <col min="12" max="12" width="7.109375" style="176" customWidth="1"/>
    <col min="13" max="13" width="8.5546875" style="176" customWidth="1"/>
    <col min="14" max="14" width="5.88671875" bestFit="1" customWidth="1"/>
  </cols>
  <sheetData>
    <row r="1" spans="1:13" ht="21" thickBot="1">
      <c r="A1" t="s">
        <v>80</v>
      </c>
      <c r="B1" s="110" t="s">
        <v>81</v>
      </c>
      <c r="C1" s="111" t="s">
        <v>82</v>
      </c>
      <c r="D1" s="111" t="s">
        <v>83</v>
      </c>
      <c r="E1" s="112" t="s">
        <v>84</v>
      </c>
      <c r="F1" s="113"/>
      <c r="G1" s="113" t="s">
        <v>85</v>
      </c>
      <c r="H1" s="113" t="s">
        <v>86</v>
      </c>
      <c r="I1" s="113" t="s">
        <v>87</v>
      </c>
      <c r="J1" s="113" t="s">
        <v>88</v>
      </c>
      <c r="K1" s="114" t="s">
        <v>89</v>
      </c>
      <c r="L1" s="115" t="s">
        <v>90</v>
      </c>
      <c r="M1" s="115" t="s">
        <v>91</v>
      </c>
    </row>
    <row r="2" spans="1:13">
      <c r="B2" s="116"/>
      <c r="C2" s="117" t="s">
        <v>92</v>
      </c>
      <c r="D2" s="117" t="s">
        <v>93</v>
      </c>
      <c r="F2" s="119"/>
      <c r="G2" s="116"/>
      <c r="H2" s="118"/>
      <c r="I2" s="118"/>
      <c r="J2" s="118"/>
      <c r="K2" s="120"/>
      <c r="L2" s="121"/>
      <c r="M2" s="122">
        <f>+M3+M54</f>
        <v>2164843.0586999999</v>
      </c>
    </row>
    <row r="3" spans="1:13" outlineLevel="1">
      <c r="B3" s="116"/>
      <c r="C3" s="123" t="s">
        <v>94</v>
      </c>
      <c r="D3" s="123" t="s">
        <v>95</v>
      </c>
      <c r="E3" s="118" t="s">
        <v>96</v>
      </c>
      <c r="F3" s="124"/>
      <c r="G3" s="116"/>
      <c r="H3" s="118"/>
      <c r="I3" s="118"/>
      <c r="J3" s="118"/>
      <c r="K3" s="120"/>
      <c r="L3" s="121"/>
      <c r="M3" s="125">
        <f>+M4+M7+M9+M12+M17+M19+M24+M27+M29+M32+M34+M36+M44+M48+M51</f>
        <v>1065201.162</v>
      </c>
    </row>
    <row r="4" spans="1:13" outlineLevel="2">
      <c r="B4" s="116"/>
      <c r="C4" s="126" t="s">
        <v>97</v>
      </c>
      <c r="D4" s="126" t="s">
        <v>98</v>
      </c>
      <c r="E4" s="118" t="s">
        <v>99</v>
      </c>
      <c r="F4" s="127"/>
      <c r="G4" s="116"/>
      <c r="H4" s="118"/>
      <c r="I4" s="118"/>
      <c r="J4" s="118"/>
      <c r="K4" s="120"/>
      <c r="L4" s="121"/>
      <c r="M4" s="128">
        <f>SUM(M5:M6)</f>
        <v>21000</v>
      </c>
    </row>
    <row r="5" spans="1:13" outlineLevel="3">
      <c r="B5" s="116" t="s">
        <v>72</v>
      </c>
      <c r="C5" s="129" t="s">
        <v>100</v>
      </c>
      <c r="D5" s="129" t="s">
        <v>101</v>
      </c>
      <c r="E5" s="129" t="s">
        <v>102</v>
      </c>
      <c r="F5" s="130"/>
      <c r="G5" s="131">
        <v>3</v>
      </c>
      <c r="H5" s="118"/>
      <c r="I5" s="118"/>
      <c r="J5" s="118"/>
      <c r="K5" s="132">
        <v>4000</v>
      </c>
      <c r="L5" s="133">
        <f t="shared" ref="L5:L51" si="0">+SUM(H5:K5)</f>
        <v>4000</v>
      </c>
      <c r="M5" s="134">
        <f>+L5*G5</f>
        <v>12000</v>
      </c>
    </row>
    <row r="6" spans="1:13" outlineLevel="3">
      <c r="B6" s="116" t="s">
        <v>72</v>
      </c>
      <c r="C6" s="129" t="s">
        <v>103</v>
      </c>
      <c r="D6" s="129" t="s">
        <v>104</v>
      </c>
      <c r="E6" s="129" t="s">
        <v>102</v>
      </c>
      <c r="F6" s="130"/>
      <c r="G6" s="131">
        <v>3</v>
      </c>
      <c r="H6" s="118"/>
      <c r="I6" s="118"/>
      <c r="J6" s="118"/>
      <c r="K6" s="132">
        <v>3000</v>
      </c>
      <c r="L6" s="133">
        <f t="shared" si="0"/>
        <v>3000</v>
      </c>
      <c r="M6" s="134">
        <f>+L6*G6</f>
        <v>9000</v>
      </c>
    </row>
    <row r="7" spans="1:13" outlineLevel="2">
      <c r="B7" s="116"/>
      <c r="C7" s="126" t="s">
        <v>105</v>
      </c>
      <c r="D7" s="126" t="s">
        <v>106</v>
      </c>
      <c r="E7" s="118" t="s">
        <v>99</v>
      </c>
      <c r="F7" s="127"/>
      <c r="G7" s="116"/>
      <c r="H7" s="118"/>
      <c r="I7" s="118"/>
      <c r="J7" s="118"/>
      <c r="K7" s="120"/>
      <c r="L7" s="133">
        <f t="shared" si="0"/>
        <v>0</v>
      </c>
      <c r="M7" s="128">
        <f>SUM(M8)</f>
        <v>3000</v>
      </c>
    </row>
    <row r="8" spans="1:13" outlineLevel="3">
      <c r="B8" s="116" t="s">
        <v>107</v>
      </c>
      <c r="C8" s="129" t="s">
        <v>108</v>
      </c>
      <c r="D8" s="129" t="s">
        <v>109</v>
      </c>
      <c r="E8" s="129" t="s">
        <v>102</v>
      </c>
      <c r="F8" s="130"/>
      <c r="G8" s="131">
        <v>3</v>
      </c>
      <c r="H8" s="118"/>
      <c r="I8" s="118"/>
      <c r="J8" s="118"/>
      <c r="K8" s="120">
        <v>1000</v>
      </c>
      <c r="L8" s="133">
        <f t="shared" si="0"/>
        <v>1000</v>
      </c>
      <c r="M8" s="134">
        <f>+L8*G8</f>
        <v>3000</v>
      </c>
    </row>
    <row r="9" spans="1:13" outlineLevel="2">
      <c r="B9" s="116"/>
      <c r="C9" s="126" t="s">
        <v>110</v>
      </c>
      <c r="D9" s="129" t="s">
        <v>109</v>
      </c>
      <c r="E9" s="118" t="s">
        <v>99</v>
      </c>
      <c r="F9" s="127"/>
      <c r="G9" s="116"/>
      <c r="H9" s="118"/>
      <c r="I9" s="118"/>
      <c r="J9" s="118"/>
      <c r="K9" s="120"/>
      <c r="L9" s="133">
        <f t="shared" si="0"/>
        <v>0</v>
      </c>
      <c r="M9" s="128">
        <f>SUM(M10:M11)</f>
        <v>98850</v>
      </c>
    </row>
    <row r="10" spans="1:13" outlineLevel="3">
      <c r="B10" s="116" t="s">
        <v>107</v>
      </c>
      <c r="C10" s="129" t="s">
        <v>111</v>
      </c>
      <c r="D10" s="129" t="s">
        <v>112</v>
      </c>
      <c r="E10" s="129" t="s">
        <v>102</v>
      </c>
      <c r="F10" s="130"/>
      <c r="G10" s="131">
        <v>3</v>
      </c>
      <c r="H10" s="118"/>
      <c r="I10" s="118"/>
      <c r="J10" s="118"/>
      <c r="K10" s="120">
        <v>32500</v>
      </c>
      <c r="L10" s="133">
        <f t="shared" si="0"/>
        <v>32500</v>
      </c>
      <c r="M10" s="134">
        <f>+L10*G10</f>
        <v>97500</v>
      </c>
    </row>
    <row r="11" spans="1:13" outlineLevel="3">
      <c r="B11" s="116" t="s">
        <v>107</v>
      </c>
      <c r="C11" s="129" t="s">
        <v>113</v>
      </c>
      <c r="D11" s="129" t="s">
        <v>114</v>
      </c>
      <c r="E11" s="129" t="s">
        <v>102</v>
      </c>
      <c r="F11" s="130"/>
      <c r="G11" s="131">
        <v>3</v>
      </c>
      <c r="H11" s="118"/>
      <c r="I11" s="118"/>
      <c r="J11" s="118"/>
      <c r="K11" s="120">
        <v>450</v>
      </c>
      <c r="L11" s="133">
        <f t="shared" si="0"/>
        <v>450</v>
      </c>
      <c r="M11" s="134">
        <f>+L11*G11</f>
        <v>1350</v>
      </c>
    </row>
    <row r="12" spans="1:13" outlineLevel="2">
      <c r="B12" s="116"/>
      <c r="C12" s="126" t="s">
        <v>115</v>
      </c>
      <c r="D12" s="126" t="s">
        <v>116</v>
      </c>
      <c r="E12" s="118" t="s">
        <v>99</v>
      </c>
      <c r="F12" s="127"/>
      <c r="G12" s="116"/>
      <c r="H12" s="118"/>
      <c r="I12" s="118"/>
      <c r="J12" s="118"/>
      <c r="K12" s="120"/>
      <c r="L12" s="133">
        <f t="shared" si="0"/>
        <v>0</v>
      </c>
      <c r="M12" s="128">
        <f>SUM(M13:M16)</f>
        <v>54350</v>
      </c>
    </row>
    <row r="13" spans="1:13" outlineLevel="3">
      <c r="B13" s="116" t="s">
        <v>117</v>
      </c>
      <c r="C13" s="129" t="s">
        <v>118</v>
      </c>
      <c r="D13" s="129" t="s">
        <v>119</v>
      </c>
      <c r="E13" s="129" t="s">
        <v>102</v>
      </c>
      <c r="F13" s="135"/>
      <c r="G13" s="136">
        <v>3</v>
      </c>
      <c r="H13" s="137"/>
      <c r="I13" s="137"/>
      <c r="J13" s="137"/>
      <c r="K13" s="138">
        <v>6500</v>
      </c>
      <c r="L13" s="139">
        <f t="shared" si="0"/>
        <v>6500</v>
      </c>
      <c r="M13" s="140">
        <f>+L13*G13</f>
        <v>19500</v>
      </c>
    </row>
    <row r="14" spans="1:13" outlineLevel="3">
      <c r="B14" s="116" t="s">
        <v>117</v>
      </c>
      <c r="C14" s="129" t="s">
        <v>120</v>
      </c>
      <c r="D14" s="141" t="s">
        <v>121</v>
      </c>
      <c r="E14" s="129" t="s">
        <v>102</v>
      </c>
      <c r="F14" s="135"/>
      <c r="G14" s="136">
        <v>3</v>
      </c>
      <c r="H14" s="137"/>
      <c r="I14" s="137"/>
      <c r="J14" s="137"/>
      <c r="K14" s="138">
        <v>1200</v>
      </c>
      <c r="L14" s="139">
        <f t="shared" si="0"/>
        <v>1200</v>
      </c>
      <c r="M14" s="140">
        <f>+L14*G14</f>
        <v>3600</v>
      </c>
    </row>
    <row r="15" spans="1:13" outlineLevel="3">
      <c r="B15" s="116" t="s">
        <v>117</v>
      </c>
      <c r="C15" s="129" t="s">
        <v>122</v>
      </c>
      <c r="D15" s="141" t="s">
        <v>123</v>
      </c>
      <c r="E15" s="129" t="s">
        <v>124</v>
      </c>
      <c r="F15" s="130"/>
      <c r="G15" s="131">
        <v>7</v>
      </c>
      <c r="H15" s="118"/>
      <c r="I15" s="118"/>
      <c r="J15" s="118"/>
      <c r="K15" s="120">
        <v>4150</v>
      </c>
      <c r="L15" s="133">
        <f t="shared" si="0"/>
        <v>4150</v>
      </c>
      <c r="M15" s="134">
        <f>+L15*G15</f>
        <v>29050</v>
      </c>
    </row>
    <row r="16" spans="1:13" outlineLevel="3">
      <c r="B16" s="116" t="s">
        <v>117</v>
      </c>
      <c r="C16" s="129" t="s">
        <v>125</v>
      </c>
      <c r="D16" s="129" t="s">
        <v>126</v>
      </c>
      <c r="E16" s="129" t="s">
        <v>102</v>
      </c>
      <c r="F16" s="130"/>
      <c r="G16" s="131">
        <v>1</v>
      </c>
      <c r="H16" s="118"/>
      <c r="I16" s="118"/>
      <c r="J16" s="118"/>
      <c r="K16" s="120">
        <v>2200</v>
      </c>
      <c r="L16" s="133">
        <f t="shared" si="0"/>
        <v>2200</v>
      </c>
      <c r="M16" s="134">
        <f>+L16*G16</f>
        <v>2200</v>
      </c>
    </row>
    <row r="17" spans="2:13" outlineLevel="2">
      <c r="B17" s="116"/>
      <c r="C17" s="126" t="s">
        <v>127</v>
      </c>
      <c r="D17" s="126" t="s">
        <v>128</v>
      </c>
      <c r="E17" s="118" t="s">
        <v>99</v>
      </c>
      <c r="F17" s="127"/>
      <c r="G17" s="116"/>
      <c r="H17" s="118"/>
      <c r="I17" s="118"/>
      <c r="J17" s="118"/>
      <c r="K17" s="120"/>
      <c r="L17" s="133">
        <f t="shared" si="0"/>
        <v>0</v>
      </c>
      <c r="M17" s="128">
        <f>SUM(M18)</f>
        <v>1050</v>
      </c>
    </row>
    <row r="18" spans="2:13" outlineLevel="3">
      <c r="B18" s="116" t="s">
        <v>72</v>
      </c>
      <c r="C18" s="129" t="s">
        <v>129</v>
      </c>
      <c r="D18" s="129" t="s">
        <v>130</v>
      </c>
      <c r="E18" s="129" t="s">
        <v>102</v>
      </c>
      <c r="F18" s="130"/>
      <c r="G18" s="131">
        <v>3</v>
      </c>
      <c r="H18" s="118"/>
      <c r="I18" s="118"/>
      <c r="J18" s="118"/>
      <c r="K18" s="120">
        <v>350</v>
      </c>
      <c r="L18" s="133">
        <f t="shared" si="0"/>
        <v>350</v>
      </c>
      <c r="M18" s="134">
        <f>+L18*G18</f>
        <v>1050</v>
      </c>
    </row>
    <row r="19" spans="2:13" outlineLevel="2">
      <c r="B19" s="116"/>
      <c r="C19" s="126" t="s">
        <v>131</v>
      </c>
      <c r="D19" s="126" t="s">
        <v>132</v>
      </c>
      <c r="E19" s="118" t="s">
        <v>99</v>
      </c>
      <c r="F19" s="127"/>
      <c r="G19" s="116"/>
      <c r="H19" s="118"/>
      <c r="I19" s="118"/>
      <c r="J19" s="118"/>
      <c r="K19" s="120"/>
      <c r="L19" s="133">
        <f t="shared" si="0"/>
        <v>0</v>
      </c>
      <c r="M19" s="128">
        <f>SUM(M20:M23)</f>
        <v>29860.5</v>
      </c>
    </row>
    <row r="20" spans="2:13" outlineLevel="3">
      <c r="B20" s="116" t="s">
        <v>117</v>
      </c>
      <c r="C20" s="129" t="s">
        <v>133</v>
      </c>
      <c r="D20" s="129" t="s">
        <v>134</v>
      </c>
      <c r="E20" s="129" t="s">
        <v>135</v>
      </c>
      <c r="F20" s="142"/>
      <c r="G20" s="131">
        <v>132.06</v>
      </c>
      <c r="H20" s="118"/>
      <c r="I20" s="118"/>
      <c r="J20" s="118"/>
      <c r="K20" s="120">
        <v>150</v>
      </c>
      <c r="L20" s="133">
        <f t="shared" si="0"/>
        <v>150</v>
      </c>
      <c r="M20" s="143">
        <f>+L20*G20</f>
        <v>19809</v>
      </c>
    </row>
    <row r="21" spans="2:13" outlineLevel="3">
      <c r="B21" s="116" t="s">
        <v>117</v>
      </c>
      <c r="C21" s="129" t="s">
        <v>136</v>
      </c>
      <c r="D21" s="129" t="s">
        <v>137</v>
      </c>
      <c r="E21" s="129" t="s">
        <v>102</v>
      </c>
      <c r="F21" s="130"/>
      <c r="G21" s="131">
        <v>6</v>
      </c>
      <c r="H21" s="118"/>
      <c r="I21" s="118"/>
      <c r="J21" s="118"/>
      <c r="K21" s="120">
        <v>1000</v>
      </c>
      <c r="L21" s="133">
        <f t="shared" si="0"/>
        <v>1000</v>
      </c>
      <c r="M21" s="134">
        <f>+L21*G21</f>
        <v>6000</v>
      </c>
    </row>
    <row r="22" spans="2:13" outlineLevel="3">
      <c r="B22" s="116" t="s">
        <v>117</v>
      </c>
      <c r="C22" s="129" t="s">
        <v>138</v>
      </c>
      <c r="D22" s="129" t="s">
        <v>139</v>
      </c>
      <c r="E22" s="129" t="s">
        <v>135</v>
      </c>
      <c r="F22" s="130"/>
      <c r="G22" s="131">
        <v>132.06</v>
      </c>
      <c r="H22" s="118"/>
      <c r="I22" s="118"/>
      <c r="J22" s="118"/>
      <c r="K22" s="120">
        <v>25</v>
      </c>
      <c r="L22" s="133">
        <f t="shared" si="0"/>
        <v>25</v>
      </c>
      <c r="M22" s="134">
        <f>+L22*G22</f>
        <v>3301.5</v>
      </c>
    </row>
    <row r="23" spans="2:13" outlineLevel="3">
      <c r="B23" s="116" t="s">
        <v>72</v>
      </c>
      <c r="C23" s="129" t="s">
        <v>140</v>
      </c>
      <c r="D23" s="129" t="s">
        <v>141</v>
      </c>
      <c r="E23" s="129" t="s">
        <v>102</v>
      </c>
      <c r="F23" s="130"/>
      <c r="G23" s="131">
        <v>1</v>
      </c>
      <c r="H23" s="118"/>
      <c r="I23" s="118"/>
      <c r="J23" s="118"/>
      <c r="K23" s="120">
        <v>750</v>
      </c>
      <c r="L23" s="133">
        <f t="shared" si="0"/>
        <v>750</v>
      </c>
      <c r="M23" s="134">
        <f>+L23*G23</f>
        <v>750</v>
      </c>
    </row>
    <row r="24" spans="2:13" outlineLevel="2">
      <c r="B24" s="116"/>
      <c r="C24" s="126" t="s">
        <v>142</v>
      </c>
      <c r="D24" s="126" t="s">
        <v>143</v>
      </c>
      <c r="E24" s="118" t="s">
        <v>99</v>
      </c>
      <c r="F24" s="127"/>
      <c r="G24" s="116"/>
      <c r="H24" s="118"/>
      <c r="I24" s="118"/>
      <c r="J24" s="118"/>
      <c r="K24" s="120"/>
      <c r="L24" s="133">
        <f t="shared" si="0"/>
        <v>0</v>
      </c>
      <c r="M24" s="128">
        <f>SUM(M25:M26)</f>
        <v>24395</v>
      </c>
    </row>
    <row r="25" spans="2:13" outlineLevel="3">
      <c r="B25" s="116" t="s">
        <v>144</v>
      </c>
      <c r="C25" s="129" t="s">
        <v>145</v>
      </c>
      <c r="D25" s="129" t="s">
        <v>146</v>
      </c>
      <c r="E25" s="129" t="s">
        <v>124</v>
      </c>
      <c r="F25" s="130"/>
      <c r="G25" s="131">
        <v>17</v>
      </c>
      <c r="H25" s="118">
        <v>125</v>
      </c>
      <c r="I25" s="118">
        <v>160</v>
      </c>
      <c r="J25" s="118"/>
      <c r="K25" s="120">
        <v>840</v>
      </c>
      <c r="L25" s="133">
        <f t="shared" si="0"/>
        <v>1125</v>
      </c>
      <c r="M25" s="134">
        <f>+L25*G25</f>
        <v>19125</v>
      </c>
    </row>
    <row r="26" spans="2:13" outlineLevel="3">
      <c r="B26" s="116" t="s">
        <v>144</v>
      </c>
      <c r="C26" s="129" t="s">
        <v>147</v>
      </c>
      <c r="D26" s="129" t="s">
        <v>148</v>
      </c>
      <c r="E26" s="129" t="s">
        <v>124</v>
      </c>
      <c r="F26" s="130"/>
      <c r="G26" s="131">
        <v>17</v>
      </c>
      <c r="H26" s="118"/>
      <c r="I26" s="118"/>
      <c r="J26" s="118"/>
      <c r="K26" s="120">
        <v>310</v>
      </c>
      <c r="L26" s="133">
        <f t="shared" si="0"/>
        <v>310</v>
      </c>
      <c r="M26" s="134">
        <f>+L26*G26</f>
        <v>5270</v>
      </c>
    </row>
    <row r="27" spans="2:13" outlineLevel="2">
      <c r="B27" s="116"/>
      <c r="C27" s="126" t="s">
        <v>149</v>
      </c>
      <c r="D27" s="126" t="s">
        <v>150</v>
      </c>
      <c r="E27" s="118" t="s">
        <v>99</v>
      </c>
      <c r="F27" s="127"/>
      <c r="G27" s="116"/>
      <c r="H27" s="118"/>
      <c r="I27" s="118"/>
      <c r="J27" s="118"/>
      <c r="K27" s="120"/>
      <c r="L27" s="133">
        <f t="shared" si="0"/>
        <v>0</v>
      </c>
      <c r="M27" s="128">
        <f>SUM(M28)</f>
        <v>11679</v>
      </c>
    </row>
    <row r="28" spans="2:13" outlineLevel="3">
      <c r="B28" s="116" t="s">
        <v>144</v>
      </c>
      <c r="C28" s="129" t="s">
        <v>151</v>
      </c>
      <c r="D28" s="129" t="s">
        <v>152</v>
      </c>
      <c r="E28" s="129" t="s">
        <v>124</v>
      </c>
      <c r="F28" s="130"/>
      <c r="G28" s="131">
        <v>17</v>
      </c>
      <c r="H28" s="118"/>
      <c r="I28" s="118"/>
      <c r="J28" s="118"/>
      <c r="K28" s="120">
        <v>687</v>
      </c>
      <c r="L28" s="133">
        <f t="shared" si="0"/>
        <v>687</v>
      </c>
      <c r="M28" s="134">
        <f>+L28*G28</f>
        <v>11679</v>
      </c>
    </row>
    <row r="29" spans="2:13" outlineLevel="2">
      <c r="B29" s="116"/>
      <c r="C29" s="126" t="s">
        <v>153</v>
      </c>
      <c r="D29" s="126" t="s">
        <v>154</v>
      </c>
      <c r="E29" s="118" t="s">
        <v>99</v>
      </c>
      <c r="F29" s="127"/>
      <c r="G29" s="116"/>
      <c r="H29" s="118"/>
      <c r="I29" s="118"/>
      <c r="J29" s="118"/>
      <c r="K29" s="120"/>
      <c r="L29" s="133">
        <f t="shared" si="0"/>
        <v>0</v>
      </c>
      <c r="M29" s="128">
        <f>SUM(M30:M31)</f>
        <v>8505</v>
      </c>
    </row>
    <row r="30" spans="2:13" outlineLevel="3">
      <c r="B30" s="116" t="s">
        <v>107</v>
      </c>
      <c r="C30" s="129" t="s">
        <v>155</v>
      </c>
      <c r="D30" s="129" t="s">
        <v>156</v>
      </c>
      <c r="E30" s="129" t="s">
        <v>102</v>
      </c>
      <c r="F30" s="130"/>
      <c r="G30" s="131">
        <v>1</v>
      </c>
      <c r="H30" s="118"/>
      <c r="I30" s="118"/>
      <c r="J30" s="118"/>
      <c r="K30" s="120">
        <v>1000</v>
      </c>
      <c r="L30" s="133">
        <f t="shared" si="0"/>
        <v>1000</v>
      </c>
      <c r="M30" s="134">
        <f>+L30*G30</f>
        <v>1000</v>
      </c>
    </row>
    <row r="31" spans="2:13" s="153" customFormat="1" outlineLevel="3">
      <c r="B31" s="144" t="s">
        <v>107</v>
      </c>
      <c r="C31" s="145"/>
      <c r="D31" s="146" t="s">
        <v>157</v>
      </c>
      <c r="E31" s="145" t="s">
        <v>124</v>
      </c>
      <c r="F31" s="147"/>
      <c r="G31" s="148">
        <v>5</v>
      </c>
      <c r="H31" s="149"/>
      <c r="I31" s="149">
        <v>1</v>
      </c>
      <c r="J31" s="149"/>
      <c r="K31" s="150">
        <v>1500</v>
      </c>
      <c r="L31" s="151">
        <f t="shared" ref="L31" si="1">+SUM(H31:K31)</f>
        <v>1501</v>
      </c>
      <c r="M31" s="152">
        <f>+L31*G31</f>
        <v>7505</v>
      </c>
    </row>
    <row r="32" spans="2:13" outlineLevel="2">
      <c r="B32" s="116"/>
      <c r="C32" s="126" t="s">
        <v>158</v>
      </c>
      <c r="D32" s="126" t="s">
        <v>159</v>
      </c>
      <c r="E32" s="118" t="s">
        <v>99</v>
      </c>
      <c r="F32" s="127"/>
      <c r="G32" s="116"/>
      <c r="H32" s="118"/>
      <c r="I32" s="118"/>
      <c r="J32" s="118"/>
      <c r="K32" s="120"/>
      <c r="L32" s="133">
        <f t="shared" si="0"/>
        <v>0</v>
      </c>
      <c r="M32" s="128">
        <f>SUM(M33)</f>
        <v>20500</v>
      </c>
    </row>
    <row r="33" spans="2:13" outlineLevel="3">
      <c r="B33" s="116" t="s">
        <v>64</v>
      </c>
      <c r="C33" s="129" t="s">
        <v>160</v>
      </c>
      <c r="D33" s="129" t="s">
        <v>161</v>
      </c>
      <c r="E33" s="129" t="s">
        <v>102</v>
      </c>
      <c r="F33" s="130"/>
      <c r="G33" s="131">
        <v>1</v>
      </c>
      <c r="H33" s="118"/>
      <c r="I33" s="118"/>
      <c r="J33" s="118"/>
      <c r="K33" s="120">
        <v>20500</v>
      </c>
      <c r="L33" s="133">
        <f t="shared" si="0"/>
        <v>20500</v>
      </c>
      <c r="M33" s="134">
        <f>+L33*G33</f>
        <v>20500</v>
      </c>
    </row>
    <row r="34" spans="2:13" outlineLevel="2">
      <c r="B34" s="116"/>
      <c r="C34" s="126" t="s">
        <v>162</v>
      </c>
      <c r="D34" s="126" t="s">
        <v>163</v>
      </c>
      <c r="E34" s="118" t="s">
        <v>99</v>
      </c>
      <c r="F34" s="127"/>
      <c r="G34" s="116"/>
      <c r="H34" s="118"/>
      <c r="I34" s="118"/>
      <c r="J34" s="118"/>
      <c r="K34" s="120"/>
      <c r="L34" s="133">
        <f t="shared" si="0"/>
        <v>0</v>
      </c>
      <c r="M34" s="128">
        <f>SUM(M35)</f>
        <v>25000</v>
      </c>
    </row>
    <row r="35" spans="2:13" outlineLevel="3">
      <c r="B35" s="116" t="s">
        <v>64</v>
      </c>
      <c r="C35" s="129" t="s">
        <v>164</v>
      </c>
      <c r="D35" s="129" t="s">
        <v>165</v>
      </c>
      <c r="E35" s="129" t="s">
        <v>124</v>
      </c>
      <c r="F35" s="130"/>
      <c r="G35" s="131">
        <v>10</v>
      </c>
      <c r="H35" s="118"/>
      <c r="I35" s="118"/>
      <c r="J35" s="118"/>
      <c r="K35" s="120">
        <v>2500</v>
      </c>
      <c r="L35" s="133">
        <f t="shared" si="0"/>
        <v>2500</v>
      </c>
      <c r="M35" s="134">
        <f>+L35*G35</f>
        <v>25000</v>
      </c>
    </row>
    <row r="36" spans="2:13" outlineLevel="2">
      <c r="B36" s="116"/>
      <c r="C36" s="126" t="s">
        <v>166</v>
      </c>
      <c r="D36" s="126" t="s">
        <v>167</v>
      </c>
      <c r="E36" s="118" t="s">
        <v>99</v>
      </c>
      <c r="F36" s="127"/>
      <c r="G36" s="116"/>
      <c r="H36" s="118"/>
      <c r="I36" s="118"/>
      <c r="J36" s="118"/>
      <c r="K36" s="120"/>
      <c r="L36" s="133">
        <f t="shared" si="0"/>
        <v>0</v>
      </c>
      <c r="M36" s="128">
        <f>SUM(M37:M43)</f>
        <v>513359.07</v>
      </c>
    </row>
    <row r="37" spans="2:13" outlineLevel="3">
      <c r="B37" s="116" t="s">
        <v>64</v>
      </c>
      <c r="C37" s="129" t="s">
        <v>168</v>
      </c>
      <c r="D37" s="154" t="s">
        <v>169</v>
      </c>
      <c r="E37" s="129" t="s">
        <v>102</v>
      </c>
      <c r="F37" s="130"/>
      <c r="G37" s="131">
        <v>1</v>
      </c>
      <c r="H37" s="118"/>
      <c r="I37" s="118"/>
      <c r="J37" s="118"/>
      <c r="K37" s="120">
        <v>100003.75</v>
      </c>
      <c r="L37" s="133">
        <f t="shared" si="0"/>
        <v>100003.75</v>
      </c>
      <c r="M37" s="134">
        <f t="shared" ref="M37:M43" si="2">+L37*G37</f>
        <v>100003.75</v>
      </c>
    </row>
    <row r="38" spans="2:13" outlineLevel="3">
      <c r="B38" s="116" t="s">
        <v>64</v>
      </c>
      <c r="C38" s="129" t="s">
        <v>170</v>
      </c>
      <c r="D38" s="129" t="s">
        <v>171</v>
      </c>
      <c r="E38" s="129" t="s">
        <v>124</v>
      </c>
      <c r="F38" s="130"/>
      <c r="G38" s="131">
        <v>10</v>
      </c>
      <c r="H38" s="118"/>
      <c r="I38" s="118"/>
      <c r="J38" s="118"/>
      <c r="K38" s="120">
        <v>22060.5</v>
      </c>
      <c r="L38" s="133">
        <f t="shared" si="0"/>
        <v>22060.5</v>
      </c>
      <c r="M38" s="134">
        <f t="shared" si="2"/>
        <v>220605</v>
      </c>
    </row>
    <row r="39" spans="2:13" ht="21.6" outlineLevel="3">
      <c r="B39" s="116" t="s">
        <v>64</v>
      </c>
      <c r="C39" s="129" t="s">
        <v>172</v>
      </c>
      <c r="D39" s="155" t="s">
        <v>173</v>
      </c>
      <c r="E39" s="129" t="s">
        <v>102</v>
      </c>
      <c r="F39" s="130"/>
      <c r="G39" s="131">
        <v>3</v>
      </c>
      <c r="H39" s="118"/>
      <c r="I39" s="118"/>
      <c r="J39" s="118"/>
      <c r="K39" s="120">
        <v>6318.16</v>
      </c>
      <c r="L39" s="133">
        <f t="shared" si="0"/>
        <v>6318.16</v>
      </c>
      <c r="M39" s="134">
        <f t="shared" si="2"/>
        <v>18954.48</v>
      </c>
    </row>
    <row r="40" spans="2:13" outlineLevel="3">
      <c r="B40" s="116" t="s">
        <v>64</v>
      </c>
      <c r="C40" s="129" t="s">
        <v>174</v>
      </c>
      <c r="D40" s="129" t="s">
        <v>175</v>
      </c>
      <c r="E40" s="129" t="s">
        <v>124</v>
      </c>
      <c r="F40" s="130"/>
      <c r="G40" s="131">
        <v>17</v>
      </c>
      <c r="H40" s="118"/>
      <c r="I40" s="118"/>
      <c r="J40" s="118"/>
      <c r="K40" s="120">
        <v>4811.5200000000004</v>
      </c>
      <c r="L40" s="133">
        <f t="shared" si="0"/>
        <v>4811.5200000000004</v>
      </c>
      <c r="M40" s="134">
        <f t="shared" si="2"/>
        <v>81795.840000000011</v>
      </c>
    </row>
    <row r="41" spans="2:13" s="153" customFormat="1" outlineLevel="3">
      <c r="B41" s="144" t="s">
        <v>64</v>
      </c>
      <c r="C41" s="145" t="s">
        <v>176</v>
      </c>
      <c r="D41" s="156" t="s">
        <v>177</v>
      </c>
      <c r="E41" s="145" t="s">
        <v>102</v>
      </c>
      <c r="F41" s="147"/>
      <c r="G41" s="148">
        <v>1</v>
      </c>
      <c r="H41" s="149"/>
      <c r="I41" s="149"/>
      <c r="J41" s="149"/>
      <c r="K41" s="150">
        <v>15000</v>
      </c>
      <c r="L41" s="151">
        <f t="shared" si="0"/>
        <v>15000</v>
      </c>
      <c r="M41" s="152">
        <f t="shared" si="2"/>
        <v>15000</v>
      </c>
    </row>
    <row r="42" spans="2:13" s="153" customFormat="1" outlineLevel="3">
      <c r="B42" s="144" t="s">
        <v>64</v>
      </c>
      <c r="C42" s="145" t="s">
        <v>178</v>
      </c>
      <c r="D42" s="145" t="s">
        <v>179</v>
      </c>
      <c r="E42" s="145" t="s">
        <v>124</v>
      </c>
      <c r="F42" s="147"/>
      <c r="G42" s="148">
        <v>7</v>
      </c>
      <c r="H42" s="149"/>
      <c r="I42" s="149"/>
      <c r="J42" s="149"/>
      <c r="K42" s="150">
        <v>6500</v>
      </c>
      <c r="L42" s="151">
        <f t="shared" si="0"/>
        <v>6500</v>
      </c>
      <c r="M42" s="152">
        <f t="shared" si="2"/>
        <v>45500</v>
      </c>
    </row>
    <row r="43" spans="2:13" s="153" customFormat="1" outlineLevel="3">
      <c r="B43" s="144" t="s">
        <v>64</v>
      </c>
      <c r="C43" s="145" t="s">
        <v>180</v>
      </c>
      <c r="D43" s="145" t="s">
        <v>181</v>
      </c>
      <c r="E43" s="145" t="s">
        <v>124</v>
      </c>
      <c r="F43" s="147"/>
      <c r="G43" s="148">
        <v>7</v>
      </c>
      <c r="H43" s="149"/>
      <c r="I43" s="149"/>
      <c r="J43" s="149"/>
      <c r="K43" s="150">
        <v>4500</v>
      </c>
      <c r="L43" s="151">
        <f t="shared" si="0"/>
        <v>4500</v>
      </c>
      <c r="M43" s="152">
        <f t="shared" si="2"/>
        <v>31500</v>
      </c>
    </row>
    <row r="44" spans="2:13" outlineLevel="2">
      <c r="B44" s="116"/>
      <c r="C44" s="126" t="s">
        <v>182</v>
      </c>
      <c r="D44" s="126" t="s">
        <v>183</v>
      </c>
      <c r="E44" s="118" t="s">
        <v>99</v>
      </c>
      <c r="F44" s="127"/>
      <c r="G44" s="116"/>
      <c r="H44" s="118"/>
      <c r="I44" s="118"/>
      <c r="J44" s="118"/>
      <c r="K44" s="120"/>
      <c r="L44" s="133">
        <f t="shared" si="0"/>
        <v>0</v>
      </c>
      <c r="M44" s="128">
        <f>SUM(M45:M47)</f>
        <v>173996.79999999999</v>
      </c>
    </row>
    <row r="45" spans="2:13" outlineLevel="3">
      <c r="B45" s="116" t="s">
        <v>64</v>
      </c>
      <c r="C45" s="129" t="s">
        <v>184</v>
      </c>
      <c r="D45" s="129" t="s">
        <v>185</v>
      </c>
      <c r="E45" s="129" t="s">
        <v>124</v>
      </c>
      <c r="F45" s="130"/>
      <c r="G45" s="131">
        <v>10</v>
      </c>
      <c r="H45" s="118"/>
      <c r="I45" s="118"/>
      <c r="J45" s="118"/>
      <c r="K45" s="120">
        <v>8470</v>
      </c>
      <c r="L45" s="133">
        <f t="shared" si="0"/>
        <v>8470</v>
      </c>
      <c r="M45" s="134">
        <f>+L45*G45</f>
        <v>84700</v>
      </c>
    </row>
    <row r="46" spans="2:13" s="153" customFormat="1" outlineLevel="3">
      <c r="B46" s="144" t="s">
        <v>64</v>
      </c>
      <c r="C46" s="145" t="s">
        <v>186</v>
      </c>
      <c r="D46" s="145" t="s">
        <v>187</v>
      </c>
      <c r="E46" s="145" t="s">
        <v>188</v>
      </c>
      <c r="F46" s="147"/>
      <c r="G46" s="148">
        <v>20</v>
      </c>
      <c r="H46" s="149"/>
      <c r="I46" s="149"/>
      <c r="J46" s="149"/>
      <c r="K46" s="150">
        <f>14*3.8</f>
        <v>53.199999999999996</v>
      </c>
      <c r="L46" s="151">
        <f>+SUM(H46:K46)</f>
        <v>53.199999999999996</v>
      </c>
      <c r="M46" s="152">
        <f>+L46*G46</f>
        <v>1064</v>
      </c>
    </row>
    <row r="47" spans="2:13" s="153" customFormat="1" outlineLevel="3">
      <c r="B47" s="144" t="s">
        <v>64</v>
      </c>
      <c r="C47" s="145" t="s">
        <v>189</v>
      </c>
      <c r="D47" s="145" t="s">
        <v>190</v>
      </c>
      <c r="E47" s="145" t="s">
        <v>124</v>
      </c>
      <c r="F47" s="147"/>
      <c r="G47" s="148">
        <v>10</v>
      </c>
      <c r="H47" s="149"/>
      <c r="I47" s="149"/>
      <c r="J47" s="149"/>
      <c r="K47" s="150">
        <f>1102.91*4*2</f>
        <v>8823.2800000000007</v>
      </c>
      <c r="L47" s="151">
        <f t="shared" si="0"/>
        <v>8823.2800000000007</v>
      </c>
      <c r="M47" s="152">
        <f>+L47*G47</f>
        <v>88232.8</v>
      </c>
    </row>
    <row r="48" spans="2:13" outlineLevel="2">
      <c r="B48" s="116"/>
      <c r="C48" s="126" t="s">
        <v>191</v>
      </c>
      <c r="D48" s="126" t="s">
        <v>192</v>
      </c>
      <c r="E48" s="118" t="s">
        <v>99</v>
      </c>
      <c r="F48" s="127"/>
      <c r="G48" s="116"/>
      <c r="H48" s="118"/>
      <c r="I48" s="118"/>
      <c r="J48" s="118"/>
      <c r="K48" s="120"/>
      <c r="L48" s="133">
        <f t="shared" si="0"/>
        <v>0</v>
      </c>
      <c r="M48" s="128">
        <f>SUM(M49:M50)</f>
        <v>61915</v>
      </c>
    </row>
    <row r="49" spans="2:13" outlineLevel="3">
      <c r="B49" s="116" t="s">
        <v>193</v>
      </c>
      <c r="C49" s="129" t="s">
        <v>194</v>
      </c>
      <c r="D49" s="129" t="s">
        <v>195</v>
      </c>
      <c r="E49" s="129" t="s">
        <v>102</v>
      </c>
      <c r="F49" s="130"/>
      <c r="G49" s="131">
        <v>2</v>
      </c>
      <c r="H49" s="118"/>
      <c r="I49" s="118"/>
      <c r="J49" s="118"/>
      <c r="K49" s="120">
        <v>23457.5</v>
      </c>
      <c r="L49" s="133">
        <f t="shared" si="0"/>
        <v>23457.5</v>
      </c>
      <c r="M49" s="134">
        <f>+L49*G49</f>
        <v>46915</v>
      </c>
    </row>
    <row r="50" spans="2:13" outlineLevel="3">
      <c r="B50" s="116" t="s">
        <v>193</v>
      </c>
      <c r="C50" s="129" t="s">
        <v>196</v>
      </c>
      <c r="D50" s="129" t="s">
        <v>197</v>
      </c>
      <c r="E50" s="129" t="s">
        <v>102</v>
      </c>
      <c r="F50" s="130"/>
      <c r="G50" s="131">
        <v>3</v>
      </c>
      <c r="H50" s="118"/>
      <c r="I50" s="118"/>
      <c r="J50" s="118"/>
      <c r="K50" s="157">
        <v>5000</v>
      </c>
      <c r="L50" s="133">
        <f t="shared" si="0"/>
        <v>5000</v>
      </c>
      <c r="M50" s="134">
        <f>+L50*G50</f>
        <v>15000</v>
      </c>
    </row>
    <row r="51" spans="2:13" outlineLevel="2">
      <c r="B51" s="116"/>
      <c r="C51" s="126" t="s">
        <v>198</v>
      </c>
      <c r="D51" s="126" t="s">
        <v>199</v>
      </c>
      <c r="E51" s="118" t="s">
        <v>99</v>
      </c>
      <c r="F51" s="127"/>
      <c r="G51" s="116"/>
      <c r="H51" s="118"/>
      <c r="I51" s="118"/>
      <c r="J51" s="118"/>
      <c r="K51" s="120"/>
      <c r="L51" s="133">
        <f t="shared" si="0"/>
        <v>0</v>
      </c>
      <c r="M51" s="128">
        <f>SUM(M52)</f>
        <v>17740.792000000001</v>
      </c>
    </row>
    <row r="52" spans="2:13" outlineLevel="3">
      <c r="B52" s="116" t="s">
        <v>193</v>
      </c>
      <c r="C52" s="129" t="s">
        <v>200</v>
      </c>
      <c r="D52" s="129" t="s">
        <v>201</v>
      </c>
      <c r="E52" s="129" t="s">
        <v>124</v>
      </c>
      <c r="F52" s="130"/>
      <c r="G52" s="131">
        <v>6</v>
      </c>
      <c r="H52" s="118"/>
      <c r="I52" s="118"/>
      <c r="J52" s="118"/>
      <c r="K52" s="120">
        <f>17740.792/6</f>
        <v>2956.798666666667</v>
      </c>
      <c r="L52" s="133">
        <f>+SUM(H52:K52)</f>
        <v>2956.798666666667</v>
      </c>
      <c r="M52" s="134">
        <f>+L52*G52</f>
        <v>17740.792000000001</v>
      </c>
    </row>
    <row r="53" spans="2:13" outlineLevel="2">
      <c r="B53" s="116"/>
      <c r="C53" s="129"/>
      <c r="D53" s="126"/>
      <c r="E53" s="129"/>
      <c r="F53" s="130"/>
      <c r="G53" s="131"/>
      <c r="H53" s="118"/>
      <c r="I53" s="118"/>
      <c r="J53" s="118"/>
      <c r="K53" s="120"/>
      <c r="L53" s="133"/>
      <c r="M53" s="134"/>
    </row>
    <row r="54" spans="2:13" outlineLevel="1">
      <c r="B54" s="116"/>
      <c r="C54" s="123" t="s">
        <v>202</v>
      </c>
      <c r="D54" s="123" t="s">
        <v>203</v>
      </c>
      <c r="E54" s="118" t="s">
        <v>96</v>
      </c>
      <c r="F54" s="124"/>
      <c r="G54" s="116"/>
      <c r="H54" s="118"/>
      <c r="I54" s="118"/>
      <c r="J54" s="118"/>
      <c r="K54" s="120"/>
      <c r="L54" s="121"/>
      <c r="M54" s="125">
        <f>+M55+M73</f>
        <v>1099641.8967000002</v>
      </c>
    </row>
    <row r="55" spans="2:13" outlineLevel="2">
      <c r="B55" s="116"/>
      <c r="C55" s="126" t="s">
        <v>204</v>
      </c>
      <c r="D55" s="126" t="s">
        <v>205</v>
      </c>
      <c r="E55" s="118" t="s">
        <v>99</v>
      </c>
      <c r="F55" s="127"/>
      <c r="G55" s="116"/>
      <c r="H55" s="118"/>
      <c r="I55" s="118"/>
      <c r="J55" s="118"/>
      <c r="K55" s="120"/>
      <c r="L55" s="121"/>
      <c r="M55" s="128">
        <f>+M56+M59+M61+M63+M65+M67+M70</f>
        <v>471374.54450000002</v>
      </c>
    </row>
    <row r="56" spans="2:13" outlineLevel="3">
      <c r="B56" s="116"/>
      <c r="C56" s="158" t="s">
        <v>206</v>
      </c>
      <c r="D56" s="158" t="s">
        <v>207</v>
      </c>
      <c r="F56" s="159"/>
      <c r="G56" s="116"/>
      <c r="H56" s="118"/>
      <c r="I56" s="118"/>
      <c r="J56" s="118"/>
      <c r="K56" s="120"/>
      <c r="L56" s="121"/>
      <c r="M56" s="160">
        <f>+M57+M58</f>
        <v>238628</v>
      </c>
    </row>
    <row r="57" spans="2:13" s="153" customFormat="1" outlineLevel="4">
      <c r="B57" s="144" t="s">
        <v>61</v>
      </c>
      <c r="C57" s="145" t="s">
        <v>208</v>
      </c>
      <c r="D57" s="145" t="s">
        <v>209</v>
      </c>
      <c r="E57" s="145" t="s">
        <v>124</v>
      </c>
      <c r="F57" s="147"/>
      <c r="G57" s="148">
        <v>17</v>
      </c>
      <c r="H57" s="149"/>
      <c r="I57" s="149">
        <v>145</v>
      </c>
      <c r="J57" s="149"/>
      <c r="K57" s="150">
        <f>6212+3802+1600</f>
        <v>11614</v>
      </c>
      <c r="L57" s="151">
        <f>+SUM(H57:K57)</f>
        <v>11759</v>
      </c>
      <c r="M57" s="152">
        <f>+L57*G57</f>
        <v>199903</v>
      </c>
    </row>
    <row r="58" spans="2:13" s="153" customFormat="1" outlineLevel="4">
      <c r="B58" s="144" t="s">
        <v>61</v>
      </c>
      <c r="C58" s="145" t="s">
        <v>210</v>
      </c>
      <c r="D58" s="145" t="s">
        <v>211</v>
      </c>
      <c r="E58" s="145" t="s">
        <v>124</v>
      </c>
      <c r="F58" s="147"/>
      <c r="G58" s="148">
        <v>5</v>
      </c>
      <c r="H58" s="149"/>
      <c r="I58" s="149">
        <v>145</v>
      </c>
      <c r="J58" s="149"/>
      <c r="K58" s="150">
        <f>2500+3500+1600</f>
        <v>7600</v>
      </c>
      <c r="L58" s="151">
        <f t="shared" ref="L58:L101" si="3">+SUM(H58:K58)</f>
        <v>7745</v>
      </c>
      <c r="M58" s="152">
        <f>+L58*G58</f>
        <v>38725</v>
      </c>
    </row>
    <row r="59" spans="2:13" outlineLevel="3">
      <c r="B59" s="116"/>
      <c r="C59" s="158" t="s">
        <v>212</v>
      </c>
      <c r="D59" s="158" t="s">
        <v>213</v>
      </c>
      <c r="F59" s="159"/>
      <c r="G59" s="116"/>
      <c r="H59" s="118"/>
      <c r="I59" s="118"/>
      <c r="J59" s="118"/>
      <c r="K59" s="120"/>
      <c r="L59" s="133">
        <f t="shared" si="3"/>
        <v>0</v>
      </c>
      <c r="M59" s="160">
        <f>+M60</f>
        <v>28687.5</v>
      </c>
    </row>
    <row r="60" spans="2:13" outlineLevel="4">
      <c r="B60" s="116" t="s">
        <v>71</v>
      </c>
      <c r="C60" s="129" t="s">
        <v>214</v>
      </c>
      <c r="D60" s="129" t="s">
        <v>215</v>
      </c>
      <c r="E60" s="129" t="s">
        <v>124</v>
      </c>
      <c r="F60" s="130"/>
      <c r="G60" s="131">
        <v>17</v>
      </c>
      <c r="H60" s="118"/>
      <c r="I60" s="118"/>
      <c r="J60" s="118"/>
      <c r="K60" s="120">
        <v>1687.5</v>
      </c>
      <c r="L60" s="133">
        <f t="shared" si="3"/>
        <v>1687.5</v>
      </c>
      <c r="M60" s="134">
        <f>+L60*G60</f>
        <v>28687.5</v>
      </c>
    </row>
    <row r="61" spans="2:13" outlineLevel="3">
      <c r="B61" s="116"/>
      <c r="C61" s="158" t="s">
        <v>216</v>
      </c>
      <c r="D61" s="158" t="s">
        <v>217</v>
      </c>
      <c r="F61" s="159"/>
      <c r="G61" s="116"/>
      <c r="H61" s="118"/>
      <c r="I61" s="118"/>
      <c r="J61" s="118"/>
      <c r="K61" s="120"/>
      <c r="L61" s="133">
        <f t="shared" si="3"/>
        <v>0</v>
      </c>
      <c r="M61" s="160">
        <f>+M62</f>
        <v>19550</v>
      </c>
    </row>
    <row r="62" spans="2:13" outlineLevel="4">
      <c r="B62" s="116" t="s">
        <v>107</v>
      </c>
      <c r="C62" s="129" t="s">
        <v>218</v>
      </c>
      <c r="D62" s="129" t="s">
        <v>219</v>
      </c>
      <c r="E62" s="129" t="s">
        <v>124</v>
      </c>
      <c r="F62" s="130"/>
      <c r="G62" s="131">
        <v>17</v>
      </c>
      <c r="H62" s="118"/>
      <c r="I62" s="118"/>
      <c r="J62" s="118"/>
      <c r="K62" s="120">
        <v>1150</v>
      </c>
      <c r="L62" s="133">
        <f t="shared" si="3"/>
        <v>1150</v>
      </c>
      <c r="M62" s="134">
        <f>+L62*G62</f>
        <v>19550</v>
      </c>
    </row>
    <row r="63" spans="2:13" outlineLevel="3">
      <c r="B63" s="116"/>
      <c r="C63" s="158" t="s">
        <v>220</v>
      </c>
      <c r="D63" s="158" t="s">
        <v>221</v>
      </c>
      <c r="F63" s="159"/>
      <c r="G63" s="116"/>
      <c r="H63" s="118"/>
      <c r="I63" s="118"/>
      <c r="J63" s="118"/>
      <c r="K63" s="120"/>
      <c r="L63" s="133">
        <f t="shared" si="3"/>
        <v>0</v>
      </c>
      <c r="M63" s="160">
        <f>SUM(M64:M64)</f>
        <v>39100</v>
      </c>
    </row>
    <row r="64" spans="2:13" outlineLevel="4">
      <c r="B64" s="116" t="s">
        <v>107</v>
      </c>
      <c r="C64" s="129" t="s">
        <v>222</v>
      </c>
      <c r="D64" s="129" t="s">
        <v>223</v>
      </c>
      <c r="E64" s="129" t="s">
        <v>124</v>
      </c>
      <c r="F64" s="130"/>
      <c r="G64" s="131">
        <v>17</v>
      </c>
      <c r="H64" s="118"/>
      <c r="I64" s="118"/>
      <c r="J64" s="118"/>
      <c r="K64" s="120">
        <v>2300</v>
      </c>
      <c r="L64" s="133">
        <f t="shared" si="3"/>
        <v>2300</v>
      </c>
      <c r="M64" s="134">
        <f>+L64*G64</f>
        <v>39100</v>
      </c>
    </row>
    <row r="65" spans="2:13" outlineLevel="3">
      <c r="B65" s="116"/>
      <c r="C65" s="158" t="s">
        <v>224</v>
      </c>
      <c r="D65" s="158" t="s">
        <v>225</v>
      </c>
      <c r="F65" s="159"/>
      <c r="G65" s="116"/>
      <c r="H65" s="118"/>
      <c r="I65" s="118"/>
      <c r="J65" s="118"/>
      <c r="K65" s="120"/>
      <c r="L65" s="133">
        <f t="shared" si="3"/>
        <v>0</v>
      </c>
      <c r="M65" s="160">
        <f>SUM(M66)</f>
        <v>12126.45</v>
      </c>
    </row>
    <row r="66" spans="2:13" outlineLevel="4">
      <c r="B66" s="116" t="s">
        <v>62</v>
      </c>
      <c r="C66" s="129" t="s">
        <v>226</v>
      </c>
      <c r="D66" s="129" t="s">
        <v>227</v>
      </c>
      <c r="E66" s="129" t="s">
        <v>228</v>
      </c>
      <c r="F66" s="130"/>
      <c r="G66" s="131">
        <v>1</v>
      </c>
      <c r="H66" s="118"/>
      <c r="I66" s="118"/>
      <c r="J66" s="118"/>
      <c r="K66" s="120">
        <v>12126.45</v>
      </c>
      <c r="L66" s="133">
        <f t="shared" si="3"/>
        <v>12126.45</v>
      </c>
      <c r="M66" s="134">
        <f>+L66*G66</f>
        <v>12126.45</v>
      </c>
    </row>
    <row r="67" spans="2:13" outlineLevel="3">
      <c r="B67" s="116"/>
      <c r="C67" s="158" t="s">
        <v>229</v>
      </c>
      <c r="D67" s="158" t="s">
        <v>230</v>
      </c>
      <c r="F67" s="159"/>
      <c r="G67" s="116"/>
      <c r="H67" s="118"/>
      <c r="I67" s="118"/>
      <c r="J67" s="118"/>
      <c r="K67" s="120"/>
      <c r="L67" s="133">
        <f t="shared" si="3"/>
        <v>0</v>
      </c>
      <c r="M67" s="160">
        <f>SUM(M68:M69)</f>
        <v>133282.59450000001</v>
      </c>
    </row>
    <row r="68" spans="2:13" outlineLevel="4">
      <c r="B68" s="116" t="s">
        <v>231</v>
      </c>
      <c r="C68" s="129" t="s">
        <v>232</v>
      </c>
      <c r="D68" s="129" t="s">
        <v>233</v>
      </c>
      <c r="E68" s="129" t="s">
        <v>234</v>
      </c>
      <c r="F68" s="130"/>
      <c r="G68" s="131">
        <v>1882.59</v>
      </c>
      <c r="H68" s="118"/>
      <c r="I68" s="118"/>
      <c r="J68" s="118"/>
      <c r="K68" s="120">
        <v>63.55</v>
      </c>
      <c r="L68" s="133">
        <f t="shared" si="3"/>
        <v>63.55</v>
      </c>
      <c r="M68" s="134">
        <f>+L68*G68</f>
        <v>119638.59449999999</v>
      </c>
    </row>
    <row r="69" spans="2:13" outlineLevel="4">
      <c r="B69" s="116" t="s">
        <v>231</v>
      </c>
      <c r="C69" s="129" t="s">
        <v>235</v>
      </c>
      <c r="D69" s="129" t="s">
        <v>236</v>
      </c>
      <c r="E69" s="129" t="s">
        <v>124</v>
      </c>
      <c r="F69" s="130"/>
      <c r="G69" s="136">
        <v>9</v>
      </c>
      <c r="H69" s="118"/>
      <c r="I69" s="118"/>
      <c r="J69" s="118"/>
      <c r="K69" s="120">
        <v>1516</v>
      </c>
      <c r="L69" s="133">
        <f t="shared" si="3"/>
        <v>1516</v>
      </c>
      <c r="M69" s="134">
        <f>+L69*G69</f>
        <v>13644</v>
      </c>
    </row>
    <row r="70" spans="2:13" outlineLevel="3">
      <c r="B70" s="116"/>
      <c r="C70" s="158" t="s">
        <v>237</v>
      </c>
      <c r="D70" s="158" t="s">
        <v>238</v>
      </c>
      <c r="F70" s="159"/>
      <c r="G70" s="116"/>
      <c r="H70" s="118"/>
      <c r="I70" s="118"/>
      <c r="J70" s="118"/>
      <c r="K70" s="120"/>
      <c r="L70" s="133">
        <f t="shared" si="3"/>
        <v>0</v>
      </c>
      <c r="M70" s="160">
        <f>SUM(M71)</f>
        <v>0</v>
      </c>
    </row>
    <row r="71" spans="2:13" outlineLevel="4">
      <c r="B71" s="116" t="s">
        <v>71</v>
      </c>
      <c r="C71" s="129" t="s">
        <v>239</v>
      </c>
      <c r="D71" s="129" t="s">
        <v>240</v>
      </c>
      <c r="E71" s="129" t="s">
        <v>102</v>
      </c>
      <c r="F71" s="130"/>
      <c r="G71" s="131"/>
      <c r="H71" s="118"/>
      <c r="I71" s="118"/>
      <c r="J71" s="118"/>
      <c r="K71" s="120"/>
      <c r="L71" s="133">
        <f t="shared" si="3"/>
        <v>0</v>
      </c>
      <c r="M71" s="134">
        <f>+L71*G71</f>
        <v>0</v>
      </c>
    </row>
    <row r="72" spans="2:13" outlineLevel="3">
      <c r="B72" s="116"/>
      <c r="C72" s="129"/>
      <c r="D72" s="129"/>
      <c r="E72" s="129"/>
      <c r="F72" s="130"/>
      <c r="G72" s="131"/>
      <c r="H72" s="118"/>
      <c r="I72" s="118"/>
      <c r="J72" s="118"/>
      <c r="K72" s="120"/>
      <c r="L72" s="133">
        <f t="shared" si="3"/>
        <v>0</v>
      </c>
      <c r="M72" s="134"/>
    </row>
    <row r="73" spans="2:13" outlineLevel="2">
      <c r="B73" s="116"/>
      <c r="C73" s="126" t="s">
        <v>241</v>
      </c>
      <c r="D73" s="126" t="s">
        <v>242</v>
      </c>
      <c r="E73" s="118" t="s">
        <v>99</v>
      </c>
      <c r="F73" s="127"/>
      <c r="G73" s="116"/>
      <c r="H73" s="126"/>
      <c r="I73" s="126"/>
      <c r="J73" s="126"/>
      <c r="K73" s="161"/>
      <c r="L73" s="133">
        <f t="shared" si="3"/>
        <v>0</v>
      </c>
      <c r="M73" s="128">
        <f>+M74+M76+M79</f>
        <v>628267.35220000008</v>
      </c>
    </row>
    <row r="74" spans="2:13" outlineLevel="3">
      <c r="B74" s="116"/>
      <c r="C74" s="158" t="s">
        <v>243</v>
      </c>
      <c r="D74" s="158" t="s">
        <v>244</v>
      </c>
      <c r="F74" s="159"/>
      <c r="G74" s="116"/>
      <c r="H74" s="118"/>
      <c r="I74" s="118"/>
      <c r="J74" s="118"/>
      <c r="K74" s="120"/>
      <c r="L74" s="133">
        <f t="shared" si="3"/>
        <v>0</v>
      </c>
      <c r="M74" s="160">
        <f>SUM(M75)</f>
        <v>84191.25</v>
      </c>
    </row>
    <row r="75" spans="2:13" outlineLevel="4">
      <c r="B75" s="116" t="s">
        <v>60</v>
      </c>
      <c r="C75" s="129" t="s">
        <v>245</v>
      </c>
      <c r="D75" s="129" t="s">
        <v>246</v>
      </c>
      <c r="E75" s="129" t="s">
        <v>124</v>
      </c>
      <c r="F75" s="130"/>
      <c r="G75" s="131">
        <v>13</v>
      </c>
      <c r="H75" s="118"/>
      <c r="I75" s="118"/>
      <c r="J75" s="118"/>
      <c r="K75" s="120">
        <v>6476.25</v>
      </c>
      <c r="L75" s="133">
        <f t="shared" si="3"/>
        <v>6476.25</v>
      </c>
      <c r="M75" s="134">
        <f>+L75*G75</f>
        <v>84191.25</v>
      </c>
    </row>
    <row r="76" spans="2:13" outlineLevel="3">
      <c r="B76" s="116"/>
      <c r="C76" s="158" t="s">
        <v>247</v>
      </c>
      <c r="D76" s="158" t="s">
        <v>248</v>
      </c>
      <c r="F76" s="159"/>
      <c r="G76" s="116"/>
      <c r="H76" s="118"/>
      <c r="I76" s="118"/>
      <c r="J76" s="118"/>
      <c r="K76" s="120"/>
      <c r="L76" s="133">
        <f t="shared" si="3"/>
        <v>0</v>
      </c>
      <c r="M76" s="160">
        <f>SUM(M77:M78)</f>
        <v>21123</v>
      </c>
    </row>
    <row r="77" spans="2:13" outlineLevel="4">
      <c r="B77" s="116" t="s">
        <v>60</v>
      </c>
      <c r="C77" s="129" t="s">
        <v>249</v>
      </c>
      <c r="D77" s="129" t="s">
        <v>250</v>
      </c>
      <c r="E77" s="129" t="s">
        <v>251</v>
      </c>
      <c r="F77" s="130"/>
      <c r="G77" s="131">
        <v>50</v>
      </c>
      <c r="H77" s="118"/>
      <c r="I77" s="118"/>
      <c r="J77" s="118"/>
      <c r="K77" s="120">
        <v>310.45999999999998</v>
      </c>
      <c r="L77" s="133">
        <f t="shared" si="3"/>
        <v>310.45999999999998</v>
      </c>
      <c r="M77" s="134">
        <f>+L77*G77</f>
        <v>15522.999999999998</v>
      </c>
    </row>
    <row r="78" spans="2:13" outlineLevel="4">
      <c r="B78" s="116" t="s">
        <v>60</v>
      </c>
      <c r="C78" s="129" t="s">
        <v>252</v>
      </c>
      <c r="D78" s="129" t="s">
        <v>253</v>
      </c>
      <c r="E78" s="129" t="s">
        <v>251</v>
      </c>
      <c r="F78" s="130"/>
      <c r="G78" s="131">
        <v>50</v>
      </c>
      <c r="H78" s="118"/>
      <c r="I78" s="118"/>
      <c r="J78" s="118"/>
      <c r="K78" s="120">
        <v>112</v>
      </c>
      <c r="L78" s="133">
        <f t="shared" si="3"/>
        <v>112</v>
      </c>
      <c r="M78" s="134">
        <f>+L78*G78</f>
        <v>5600</v>
      </c>
    </row>
    <row r="79" spans="2:13" outlineLevel="3">
      <c r="B79" s="116"/>
      <c r="C79" s="158" t="s">
        <v>254</v>
      </c>
      <c r="D79" s="158" t="s">
        <v>255</v>
      </c>
      <c r="F79" s="159"/>
      <c r="G79" s="116"/>
      <c r="H79" s="118"/>
      <c r="I79" s="118"/>
      <c r="J79" s="118"/>
      <c r="K79" s="120"/>
      <c r="L79" s="133">
        <f t="shared" si="3"/>
        <v>0</v>
      </c>
      <c r="M79" s="160">
        <f>+M80+M83+M89+M92+M95+M98+M100</f>
        <v>522953.10220000002</v>
      </c>
    </row>
    <row r="80" spans="2:13" outlineLevel="4">
      <c r="B80" s="116"/>
      <c r="C80" s="162" t="s">
        <v>256</v>
      </c>
      <c r="D80" s="162" t="s">
        <v>257</v>
      </c>
      <c r="F80" s="163"/>
      <c r="G80" s="116"/>
      <c r="H80" s="118"/>
      <c r="I80" s="118"/>
      <c r="J80" s="118"/>
      <c r="K80" s="120"/>
      <c r="L80" s="133">
        <f t="shared" si="3"/>
        <v>0</v>
      </c>
      <c r="M80" s="164">
        <f>SUM(M81:M82)</f>
        <v>49735.899999999994</v>
      </c>
    </row>
    <row r="81" spans="2:13" outlineLevel="4">
      <c r="B81" s="116" t="s">
        <v>60</v>
      </c>
      <c r="C81" s="129" t="s">
        <v>258</v>
      </c>
      <c r="D81" s="129" t="s">
        <v>259</v>
      </c>
      <c r="E81" s="129" t="s">
        <v>102</v>
      </c>
      <c r="F81" s="130"/>
      <c r="G81" s="131">
        <v>5</v>
      </c>
      <c r="H81" s="118"/>
      <c r="I81" s="118"/>
      <c r="J81" s="118"/>
      <c r="K81" s="120">
        <v>9303.98</v>
      </c>
      <c r="L81" s="133">
        <f t="shared" si="3"/>
        <v>9303.98</v>
      </c>
      <c r="M81" s="134">
        <f>+L81*G81</f>
        <v>46519.899999999994</v>
      </c>
    </row>
    <row r="82" spans="2:13" outlineLevel="4">
      <c r="B82" s="116" t="s">
        <v>60</v>
      </c>
      <c r="C82" s="129" t="s">
        <v>260</v>
      </c>
      <c r="D82" s="165" t="s">
        <v>261</v>
      </c>
      <c r="E82" s="129" t="s">
        <v>251</v>
      </c>
      <c r="F82" s="130"/>
      <c r="G82" s="131">
        <v>48</v>
      </c>
      <c r="H82" s="118"/>
      <c r="I82" s="118"/>
      <c r="J82" s="118"/>
      <c r="K82" s="120">
        <v>67</v>
      </c>
      <c r="L82" s="133">
        <f t="shared" si="3"/>
        <v>67</v>
      </c>
      <c r="M82" s="134">
        <f>+L82*G82</f>
        <v>3216</v>
      </c>
    </row>
    <row r="83" spans="2:13" outlineLevel="4">
      <c r="B83" s="116"/>
      <c r="C83" s="162" t="s">
        <v>262</v>
      </c>
      <c r="D83" s="162" t="s">
        <v>263</v>
      </c>
      <c r="F83" s="163"/>
      <c r="G83" s="116"/>
      <c r="H83" s="118"/>
      <c r="I83" s="118"/>
      <c r="J83" s="118"/>
      <c r="K83" s="120"/>
      <c r="L83" s="133">
        <f t="shared" si="3"/>
        <v>0</v>
      </c>
      <c r="M83" s="164">
        <f>SUM(M84:M88)</f>
        <v>100377.7022</v>
      </c>
    </row>
    <row r="84" spans="2:13" s="153" customFormat="1" outlineLevel="4">
      <c r="B84" s="144" t="s">
        <v>60</v>
      </c>
      <c r="C84" s="145" t="s">
        <v>264</v>
      </c>
      <c r="D84" s="145" t="s">
        <v>265</v>
      </c>
      <c r="E84" s="145" t="s">
        <v>135</v>
      </c>
      <c r="F84" s="147"/>
      <c r="G84" s="148">
        <v>1</v>
      </c>
      <c r="H84" s="149"/>
      <c r="I84" s="149"/>
      <c r="J84" s="149"/>
      <c r="K84" s="150">
        <v>74212.800000000003</v>
      </c>
      <c r="L84" s="151">
        <f t="shared" si="3"/>
        <v>74212.800000000003</v>
      </c>
      <c r="M84" s="152">
        <f>+L84*G84</f>
        <v>74212.800000000003</v>
      </c>
    </row>
    <row r="85" spans="2:13" s="171" customFormat="1" outlineLevel="4">
      <c r="B85" s="166" t="s">
        <v>60</v>
      </c>
      <c r="C85" s="117" t="s">
        <v>266</v>
      </c>
      <c r="D85" s="117" t="s">
        <v>267</v>
      </c>
      <c r="E85" s="117" t="s">
        <v>135</v>
      </c>
      <c r="F85" s="142"/>
      <c r="G85" s="167">
        <v>1</v>
      </c>
      <c r="H85" s="168"/>
      <c r="I85" s="168"/>
      <c r="J85" s="168"/>
      <c r="K85" s="169"/>
      <c r="L85" s="170">
        <f t="shared" si="3"/>
        <v>0</v>
      </c>
      <c r="M85" s="143">
        <f>+L85*G85</f>
        <v>0</v>
      </c>
    </row>
    <row r="86" spans="2:13" s="153" customFormat="1" outlineLevel="4">
      <c r="B86" s="144" t="s">
        <v>60</v>
      </c>
      <c r="C86" s="145"/>
      <c r="D86" s="145" t="s">
        <v>268</v>
      </c>
      <c r="E86" s="145" t="s">
        <v>228</v>
      </c>
      <c r="F86" s="147"/>
      <c r="G86" s="148">
        <v>1</v>
      </c>
      <c r="H86" s="149"/>
      <c r="I86" s="149"/>
      <c r="J86" s="149"/>
      <c r="K86" s="150">
        <v>4220</v>
      </c>
      <c r="L86" s="151">
        <f t="shared" ref="L86" si="4">+SUM(H86:K86)</f>
        <v>4220</v>
      </c>
      <c r="M86" s="152">
        <f>+L86*G86</f>
        <v>4220</v>
      </c>
    </row>
    <row r="87" spans="2:13" s="153" customFormat="1" outlineLevel="4">
      <c r="B87" s="144" t="s">
        <v>60</v>
      </c>
      <c r="C87" s="145"/>
      <c r="D87" s="145" t="s">
        <v>269</v>
      </c>
      <c r="E87" s="145" t="s">
        <v>228</v>
      </c>
      <c r="F87" s="147"/>
      <c r="G87" s="148">
        <v>1</v>
      </c>
      <c r="H87" s="149"/>
      <c r="I87" s="149"/>
      <c r="J87" s="149"/>
      <c r="K87" s="150">
        <v>4200</v>
      </c>
      <c r="L87" s="151">
        <f t="shared" ref="L87" si="5">+SUM(H87:K87)</f>
        <v>4200</v>
      </c>
      <c r="M87" s="152">
        <f>+L87*G87</f>
        <v>4200</v>
      </c>
    </row>
    <row r="88" spans="2:13" outlineLevel="4">
      <c r="B88" s="116" t="s">
        <v>60</v>
      </c>
      <c r="C88" s="129" t="s">
        <v>270</v>
      </c>
      <c r="D88" s="129" t="s">
        <v>271</v>
      </c>
      <c r="E88" s="129" t="s">
        <v>135</v>
      </c>
      <c r="F88" s="130"/>
      <c r="G88" s="131">
        <v>132.06</v>
      </c>
      <c r="H88" s="118"/>
      <c r="I88" s="118"/>
      <c r="J88" s="118"/>
      <c r="K88" s="120">
        <v>134.37</v>
      </c>
      <c r="L88" s="133">
        <f t="shared" si="3"/>
        <v>134.37</v>
      </c>
      <c r="M88" s="134">
        <f>+L88*G88</f>
        <v>17744.9022</v>
      </c>
    </row>
    <row r="89" spans="2:13" outlineLevel="4">
      <c r="B89" s="116"/>
      <c r="C89" s="162" t="s">
        <v>272</v>
      </c>
      <c r="D89" s="162" t="s">
        <v>273</v>
      </c>
      <c r="F89" s="163"/>
      <c r="G89" s="116"/>
      <c r="H89" s="118"/>
      <c r="I89" s="118"/>
      <c r="J89" s="118"/>
      <c r="K89" s="120"/>
      <c r="L89" s="133">
        <f t="shared" si="3"/>
        <v>0</v>
      </c>
      <c r="M89" s="164">
        <f>SUM(M90)</f>
        <v>37226.800000000003</v>
      </c>
    </row>
    <row r="90" spans="2:13" s="153" customFormat="1" outlineLevel="4">
      <c r="B90" s="144" t="s">
        <v>60</v>
      </c>
      <c r="C90" s="145" t="s">
        <v>274</v>
      </c>
      <c r="D90" s="145" t="s">
        <v>275</v>
      </c>
      <c r="E90" s="145" t="s">
        <v>102</v>
      </c>
      <c r="F90" s="147"/>
      <c r="G90" s="148">
        <v>1</v>
      </c>
      <c r="H90" s="149"/>
      <c r="I90" s="149"/>
      <c r="J90" s="149"/>
      <c r="K90" s="150">
        <f>37226.8</f>
        <v>37226.800000000003</v>
      </c>
      <c r="L90" s="151">
        <f t="shared" si="3"/>
        <v>37226.800000000003</v>
      </c>
      <c r="M90" s="152">
        <f>+L90*G90</f>
        <v>37226.800000000003</v>
      </c>
    </row>
    <row r="91" spans="2:13" s="153" customFormat="1" outlineLevel="4">
      <c r="B91" s="144" t="s">
        <v>60</v>
      </c>
      <c r="C91" s="145"/>
      <c r="D91" s="172" t="s">
        <v>276</v>
      </c>
      <c r="E91" s="145" t="s">
        <v>102</v>
      </c>
      <c r="F91" s="147"/>
      <c r="G91" s="148">
        <v>1</v>
      </c>
      <c r="H91" s="149"/>
      <c r="I91" s="149"/>
      <c r="J91" s="149"/>
      <c r="K91" s="150">
        <v>24351.360000000001</v>
      </c>
      <c r="L91" s="151">
        <f t="shared" si="3"/>
        <v>24351.360000000001</v>
      </c>
      <c r="M91" s="152">
        <f>+L91*G91</f>
        <v>24351.360000000001</v>
      </c>
    </row>
    <row r="92" spans="2:13" outlineLevel="4">
      <c r="B92" s="116"/>
      <c r="C92" s="162" t="s">
        <v>277</v>
      </c>
      <c r="D92" s="162" t="s">
        <v>278</v>
      </c>
      <c r="F92" s="163"/>
      <c r="G92" s="116"/>
      <c r="H92" s="118"/>
      <c r="I92" s="118"/>
      <c r="J92" s="118"/>
      <c r="K92" s="120"/>
      <c r="L92" s="133">
        <f t="shared" si="3"/>
        <v>0</v>
      </c>
      <c r="M92" s="164">
        <f>SUM(M93:M94)</f>
        <v>88900</v>
      </c>
    </row>
    <row r="93" spans="2:13" outlineLevel="4">
      <c r="B93" s="116" t="s">
        <v>71</v>
      </c>
      <c r="C93" s="129" t="s">
        <v>279</v>
      </c>
      <c r="D93" s="129" t="s">
        <v>280</v>
      </c>
      <c r="E93" s="129" t="s">
        <v>102</v>
      </c>
      <c r="F93" s="130"/>
      <c r="G93" s="131">
        <v>1</v>
      </c>
      <c r="H93" s="118"/>
      <c r="I93" s="118"/>
      <c r="J93" s="118"/>
      <c r="K93" s="120">
        <v>35000</v>
      </c>
      <c r="L93" s="133">
        <f t="shared" si="3"/>
        <v>35000</v>
      </c>
      <c r="M93" s="134">
        <f>+L93*G93</f>
        <v>35000</v>
      </c>
    </row>
    <row r="94" spans="2:13" outlineLevel="4">
      <c r="B94" s="116" t="s">
        <v>71</v>
      </c>
      <c r="C94" s="129" t="s">
        <v>281</v>
      </c>
      <c r="D94" s="155" t="s">
        <v>282</v>
      </c>
      <c r="E94" s="129" t="s">
        <v>135</v>
      </c>
      <c r="F94" s="130"/>
      <c r="G94" s="131">
        <v>154</v>
      </c>
      <c r="H94" s="118"/>
      <c r="I94" s="118"/>
      <c r="J94" s="118"/>
      <c r="K94" s="120">
        <v>350</v>
      </c>
      <c r="L94" s="133">
        <f t="shared" si="3"/>
        <v>350</v>
      </c>
      <c r="M94" s="134">
        <f>+L94*G94</f>
        <v>53900</v>
      </c>
    </row>
    <row r="95" spans="2:13" outlineLevel="4">
      <c r="B95" s="116"/>
      <c r="C95" s="162" t="s">
        <v>283</v>
      </c>
      <c r="D95" s="162" t="s">
        <v>284</v>
      </c>
      <c r="F95" s="163"/>
      <c r="G95" s="116"/>
      <c r="H95" s="118"/>
      <c r="I95" s="118"/>
      <c r="J95" s="118"/>
      <c r="K95" s="120"/>
      <c r="L95" s="133">
        <f t="shared" si="3"/>
        <v>0</v>
      </c>
      <c r="M95" s="164">
        <f>SUM(M96:M97)</f>
        <v>220925</v>
      </c>
    </row>
    <row r="96" spans="2:13" outlineLevel="4">
      <c r="B96" s="116" t="s">
        <v>60</v>
      </c>
      <c r="C96" s="129" t="s">
        <v>285</v>
      </c>
      <c r="D96" s="129" t="s">
        <v>286</v>
      </c>
      <c r="E96" s="129" t="s">
        <v>124</v>
      </c>
      <c r="F96" s="130"/>
      <c r="G96" s="131">
        <v>18</v>
      </c>
      <c r="H96" s="118"/>
      <c r="I96" s="118"/>
      <c r="J96" s="118"/>
      <c r="K96" s="120">
        <v>5962.5</v>
      </c>
      <c r="L96" s="133">
        <f t="shared" si="3"/>
        <v>5962.5</v>
      </c>
      <c r="M96" s="134">
        <f>+L96*G96</f>
        <v>107325</v>
      </c>
    </row>
    <row r="97" spans="2:15" s="153" customFormat="1" outlineLevel="4">
      <c r="B97" s="144" t="s">
        <v>60</v>
      </c>
      <c r="C97" s="145" t="s">
        <v>287</v>
      </c>
      <c r="D97" s="145" t="s">
        <v>288</v>
      </c>
      <c r="E97" s="145" t="s">
        <v>124</v>
      </c>
      <c r="F97" s="147"/>
      <c r="G97" s="148">
        <v>16</v>
      </c>
      <c r="H97" s="149"/>
      <c r="I97" s="149"/>
      <c r="J97" s="149"/>
      <c r="K97" s="150">
        <v>7100</v>
      </c>
      <c r="L97" s="151">
        <f t="shared" si="3"/>
        <v>7100</v>
      </c>
      <c r="M97" s="152">
        <f>+L97*G97</f>
        <v>113600</v>
      </c>
      <c r="N97" s="153">
        <f>+SUM(N98:N100)</f>
        <v>54216</v>
      </c>
      <c r="O97" s="173" t="e">
        <f>+#REF!-N97</f>
        <v>#REF!</v>
      </c>
    </row>
    <row r="98" spans="2:15" outlineLevel="4">
      <c r="B98" s="116"/>
      <c r="C98" s="162" t="s">
        <v>289</v>
      </c>
      <c r="D98" s="162" t="s">
        <v>290</v>
      </c>
      <c r="F98" s="163"/>
      <c r="G98" s="116"/>
      <c r="H98" s="118"/>
      <c r="I98" s="118"/>
      <c r="J98" s="118"/>
      <c r="K98" s="120"/>
      <c r="L98" s="133">
        <f t="shared" si="3"/>
        <v>0</v>
      </c>
      <c r="M98" s="164">
        <f>SUM(M99)</f>
        <v>3000</v>
      </c>
      <c r="N98">
        <f>3802*8</f>
        <v>30416</v>
      </c>
      <c r="O98" t="s">
        <v>291</v>
      </c>
    </row>
    <row r="99" spans="2:15" outlineLevel="4">
      <c r="B99" s="116" t="s">
        <v>60</v>
      </c>
      <c r="C99" s="129" t="s">
        <v>292</v>
      </c>
      <c r="D99" s="129" t="s">
        <v>293</v>
      </c>
      <c r="E99" s="129" t="s">
        <v>102</v>
      </c>
      <c r="F99" s="130"/>
      <c r="G99" s="131">
        <v>2</v>
      </c>
      <c r="H99" s="118"/>
      <c r="I99" s="118"/>
      <c r="J99" s="118"/>
      <c r="K99" s="120">
        <v>1500</v>
      </c>
      <c r="L99" s="133">
        <f t="shared" si="3"/>
        <v>1500</v>
      </c>
      <c r="M99" s="134">
        <f>+L99*G99</f>
        <v>3000</v>
      </c>
      <c r="N99">
        <f>+(2500*6)</f>
        <v>15000</v>
      </c>
      <c r="O99" t="s">
        <v>294</v>
      </c>
    </row>
    <row r="100" spans="2:15" outlineLevel="4">
      <c r="B100" s="116"/>
      <c r="C100" s="162" t="s">
        <v>295</v>
      </c>
      <c r="D100" s="162" t="s">
        <v>296</v>
      </c>
      <c r="F100" s="163"/>
      <c r="G100" s="116"/>
      <c r="H100" s="118"/>
      <c r="I100" s="118"/>
      <c r="J100" s="118"/>
      <c r="K100" s="120"/>
      <c r="L100" s="133">
        <f t="shared" si="3"/>
        <v>0</v>
      </c>
      <c r="M100" s="164">
        <f>SUM(M101)</f>
        <v>22787.699999999997</v>
      </c>
      <c r="N100">
        <f>2200*4</f>
        <v>8800</v>
      </c>
      <c r="O100" t="s">
        <v>297</v>
      </c>
    </row>
    <row r="101" spans="2:15" s="174" customFormat="1" outlineLevel="4">
      <c r="B101" s="116" t="s">
        <v>60</v>
      </c>
      <c r="C101" s="129" t="s">
        <v>298</v>
      </c>
      <c r="D101" s="129" t="s">
        <v>299</v>
      </c>
      <c r="E101" s="129" t="s">
        <v>102</v>
      </c>
      <c r="F101" s="130"/>
      <c r="G101" s="131">
        <v>3</v>
      </c>
      <c r="H101" s="118"/>
      <c r="I101" s="118"/>
      <c r="J101" s="118"/>
      <c r="K101" s="120">
        <v>7595.9</v>
      </c>
      <c r="L101" s="133">
        <f t="shared" si="3"/>
        <v>7595.9</v>
      </c>
      <c r="M101" s="134">
        <f>+L101*G101</f>
        <v>22787.699999999997</v>
      </c>
    </row>
    <row r="102" spans="2:15" outlineLevel="3">
      <c r="B102" s="116"/>
      <c r="C102" s="129"/>
      <c r="D102" s="129"/>
      <c r="E102" s="129"/>
      <c r="F102" s="159"/>
      <c r="G102" s="175"/>
      <c r="M102" s="177"/>
    </row>
    <row r="103" spans="2:15" outlineLevel="2">
      <c r="B103" s="116"/>
      <c r="C103" s="129"/>
      <c r="D103" s="129"/>
      <c r="E103" s="129"/>
      <c r="F103" s="159"/>
      <c r="G103" s="175"/>
      <c r="M103" s="177"/>
    </row>
    <row r="104" spans="2:15" outlineLevel="1">
      <c r="B104" s="116"/>
      <c r="C104" s="129"/>
      <c r="D104" s="129"/>
      <c r="E104" s="129"/>
      <c r="F104" s="159"/>
      <c r="G104" s="175"/>
      <c r="M104" s="177"/>
    </row>
    <row r="105" spans="2:15">
      <c r="B105" s="116"/>
      <c r="C105" s="129"/>
      <c r="D105" s="129"/>
      <c r="E105" s="129"/>
      <c r="F105" s="159"/>
      <c r="G105" s="175"/>
      <c r="M105" s="177"/>
    </row>
    <row r="106" spans="2:15">
      <c r="B106" s="116"/>
      <c r="C106" s="117" t="s">
        <v>300</v>
      </c>
      <c r="D106" s="117" t="s">
        <v>301</v>
      </c>
      <c r="F106" s="119"/>
      <c r="G106" s="116"/>
      <c r="H106" s="118"/>
      <c r="I106" s="118"/>
      <c r="J106" s="118"/>
      <c r="K106" s="120"/>
      <c r="L106" s="178"/>
      <c r="M106" s="122">
        <f>M107+M137+M162+M241+M314</f>
        <v>8272314.1506947745</v>
      </c>
    </row>
    <row r="107" spans="2:15" outlineLevel="1">
      <c r="B107" s="116"/>
      <c r="C107" s="123" t="s">
        <v>302</v>
      </c>
      <c r="D107" s="123" t="s">
        <v>303</v>
      </c>
      <c r="E107" s="118" t="s">
        <v>96</v>
      </c>
      <c r="F107" s="124"/>
      <c r="G107" s="116"/>
      <c r="H107" s="118"/>
      <c r="I107" s="118"/>
      <c r="J107" s="118"/>
      <c r="K107" s="120"/>
      <c r="L107" s="178"/>
      <c r="M107" s="125">
        <f>+M108+M110+M125</f>
        <v>671994.75297224009</v>
      </c>
    </row>
    <row r="108" spans="2:15" outlineLevel="2">
      <c r="B108" s="116"/>
      <c r="C108" s="126" t="s">
        <v>304</v>
      </c>
      <c r="D108" s="126" t="s">
        <v>305</v>
      </c>
      <c r="E108" s="118" t="s">
        <v>99</v>
      </c>
      <c r="F108" s="127"/>
      <c r="G108" s="131"/>
      <c r="H108" s="118"/>
      <c r="I108" s="118"/>
      <c r="J108" s="118"/>
      <c r="K108" s="120"/>
      <c r="L108" s="178"/>
      <c r="M108" s="128">
        <f>SUM(M109:M109)</f>
        <v>8400</v>
      </c>
    </row>
    <row r="109" spans="2:15" outlineLevel="3">
      <c r="B109" s="116" t="s">
        <v>306</v>
      </c>
      <c r="C109" s="129" t="s">
        <v>307</v>
      </c>
      <c r="D109" s="129" t="s">
        <v>308</v>
      </c>
      <c r="E109" s="129" t="s">
        <v>309</v>
      </c>
      <c r="F109" s="130"/>
      <c r="G109" s="131">
        <v>1</v>
      </c>
      <c r="H109" s="118"/>
      <c r="I109" s="118"/>
      <c r="J109" s="118"/>
      <c r="K109" s="120">
        <v>8400</v>
      </c>
      <c r="L109" s="179">
        <f>SUM(H109:K109)</f>
        <v>8400</v>
      </c>
      <c r="M109" s="134">
        <f>+L109*G109</f>
        <v>8400</v>
      </c>
    </row>
    <row r="110" spans="2:15" outlineLevel="2">
      <c r="B110" s="116"/>
      <c r="C110" s="126" t="s">
        <v>310</v>
      </c>
      <c r="D110" s="126" t="s">
        <v>311</v>
      </c>
      <c r="E110" s="118" t="s">
        <v>99</v>
      </c>
      <c r="F110" s="127"/>
      <c r="G110" s="131"/>
      <c r="H110" s="118"/>
      <c r="I110" s="118"/>
      <c r="J110" s="118"/>
      <c r="K110" s="120"/>
      <c r="L110" s="178"/>
      <c r="M110" s="128">
        <f>+M111+M122</f>
        <v>454965.28</v>
      </c>
    </row>
    <row r="111" spans="2:15" outlineLevel="3">
      <c r="B111" s="116"/>
      <c r="C111" s="158" t="s">
        <v>312</v>
      </c>
      <c r="D111" s="158" t="s">
        <v>313</v>
      </c>
      <c r="F111" s="159"/>
      <c r="G111" s="131"/>
      <c r="H111" s="118"/>
      <c r="I111" s="118"/>
      <c r="J111" s="118"/>
      <c r="K111" s="120"/>
      <c r="L111" s="178"/>
      <c r="M111" s="160">
        <f>SUM(M112:M121)</f>
        <v>454965.28</v>
      </c>
    </row>
    <row r="112" spans="2:15" outlineLevel="4">
      <c r="B112" s="116" t="s">
        <v>306</v>
      </c>
      <c r="C112" s="129" t="s">
        <v>314</v>
      </c>
      <c r="D112" s="129" t="s">
        <v>315</v>
      </c>
      <c r="E112" s="129" t="s">
        <v>309</v>
      </c>
      <c r="F112" s="130"/>
      <c r="G112" s="131">
        <v>2</v>
      </c>
      <c r="H112" s="118"/>
      <c r="I112" s="118"/>
      <c r="J112" s="118"/>
      <c r="K112" s="120">
        <v>1000</v>
      </c>
      <c r="L112" s="179">
        <f t="shared" ref="L112:L121" si="6">SUM(H112:K112)</f>
        <v>1000</v>
      </c>
      <c r="M112" s="134">
        <f t="shared" ref="M112:M121" si="7">+L112*G112</f>
        <v>2000</v>
      </c>
    </row>
    <row r="113" spans="2:13" outlineLevel="4">
      <c r="B113" s="116" t="s">
        <v>306</v>
      </c>
      <c r="C113" s="129" t="s">
        <v>316</v>
      </c>
      <c r="D113" s="129" t="s">
        <v>317</v>
      </c>
      <c r="E113" s="129" t="s">
        <v>318</v>
      </c>
      <c r="F113" s="130"/>
      <c r="G113" s="131">
        <v>5</v>
      </c>
      <c r="H113" s="118"/>
      <c r="I113" s="118"/>
      <c r="J113" s="118"/>
      <c r="K113" s="120">
        <v>2500</v>
      </c>
      <c r="L113" s="179">
        <f t="shared" si="6"/>
        <v>2500</v>
      </c>
      <c r="M113" s="134">
        <f t="shared" si="7"/>
        <v>12500</v>
      </c>
    </row>
    <row r="114" spans="2:13" outlineLevel="4">
      <c r="B114" s="116" t="s">
        <v>306</v>
      </c>
      <c r="C114" s="129" t="s">
        <v>319</v>
      </c>
      <c r="D114" s="180" t="s">
        <v>320</v>
      </c>
      <c r="E114" s="129" t="s">
        <v>309</v>
      </c>
      <c r="F114" s="130"/>
      <c r="G114" s="131">
        <v>2</v>
      </c>
      <c r="H114" s="118"/>
      <c r="I114" s="118"/>
      <c r="J114" s="118"/>
      <c r="K114" s="120">
        <v>5000</v>
      </c>
      <c r="L114" s="179">
        <f t="shared" si="6"/>
        <v>5000</v>
      </c>
      <c r="M114" s="134">
        <f t="shared" si="7"/>
        <v>10000</v>
      </c>
    </row>
    <row r="115" spans="2:13" outlineLevel="4">
      <c r="B115" s="116" t="s">
        <v>306</v>
      </c>
      <c r="C115" s="129" t="s">
        <v>321</v>
      </c>
      <c r="D115" s="181" t="s">
        <v>322</v>
      </c>
      <c r="E115" s="129" t="s">
        <v>309</v>
      </c>
      <c r="F115" s="130"/>
      <c r="G115" s="131">
        <v>1</v>
      </c>
      <c r="H115" s="118"/>
      <c r="I115" s="118"/>
      <c r="J115" s="118"/>
      <c r="K115" s="120">
        <v>6000</v>
      </c>
      <c r="L115" s="179">
        <f t="shared" si="6"/>
        <v>6000</v>
      </c>
      <c r="M115" s="134">
        <f t="shared" si="7"/>
        <v>6000</v>
      </c>
    </row>
    <row r="116" spans="2:13" outlineLevel="4">
      <c r="B116" s="116" t="s">
        <v>306</v>
      </c>
      <c r="C116" s="129" t="s">
        <v>323</v>
      </c>
      <c r="D116" s="129" t="s">
        <v>324</v>
      </c>
      <c r="E116" s="129" t="s">
        <v>325</v>
      </c>
      <c r="F116" s="130"/>
      <c r="G116" s="131">
        <v>3607.5</v>
      </c>
      <c r="H116" s="118"/>
      <c r="I116" s="118"/>
      <c r="J116" s="118"/>
      <c r="K116" s="120">
        <v>20</v>
      </c>
      <c r="L116" s="179">
        <f t="shared" si="6"/>
        <v>20</v>
      </c>
      <c r="M116" s="134">
        <f t="shared" si="7"/>
        <v>72150</v>
      </c>
    </row>
    <row r="117" spans="2:13" outlineLevel="4">
      <c r="B117" s="116" t="s">
        <v>306</v>
      </c>
      <c r="C117" s="129" t="s">
        <v>326</v>
      </c>
      <c r="D117" s="129" t="s">
        <v>327</v>
      </c>
      <c r="E117" s="129" t="s">
        <v>325</v>
      </c>
      <c r="F117" s="130"/>
      <c r="G117" s="131">
        <v>3293</v>
      </c>
      <c r="H117" s="118"/>
      <c r="I117" s="118"/>
      <c r="J117" s="118"/>
      <c r="K117" s="120">
        <v>21</v>
      </c>
      <c r="L117" s="179">
        <f t="shared" si="6"/>
        <v>21</v>
      </c>
      <c r="M117" s="134">
        <f t="shared" si="7"/>
        <v>69153</v>
      </c>
    </row>
    <row r="118" spans="2:13" outlineLevel="4">
      <c r="B118" s="116" t="s">
        <v>306</v>
      </c>
      <c r="C118" s="129" t="s">
        <v>328</v>
      </c>
      <c r="D118" s="129" t="s">
        <v>329</v>
      </c>
      <c r="E118" s="129" t="s">
        <v>325</v>
      </c>
      <c r="F118" s="130"/>
      <c r="G118" s="131">
        <v>3293</v>
      </c>
      <c r="H118" s="118"/>
      <c r="I118" s="118"/>
      <c r="J118" s="118"/>
      <c r="K118" s="120">
        <v>23</v>
      </c>
      <c r="L118" s="179">
        <f t="shared" si="6"/>
        <v>23</v>
      </c>
      <c r="M118" s="134">
        <f t="shared" si="7"/>
        <v>75739</v>
      </c>
    </row>
    <row r="119" spans="2:13" outlineLevel="4">
      <c r="B119" s="116" t="s">
        <v>306</v>
      </c>
      <c r="C119" s="129" t="s">
        <v>330</v>
      </c>
      <c r="D119" s="129" t="s">
        <v>331</v>
      </c>
      <c r="E119" s="129" t="s">
        <v>325</v>
      </c>
      <c r="F119" s="130"/>
      <c r="G119" s="131">
        <v>3293</v>
      </c>
      <c r="H119" s="118"/>
      <c r="I119" s="118"/>
      <c r="J119" s="118"/>
      <c r="K119" s="120">
        <v>24</v>
      </c>
      <c r="L119" s="179">
        <f t="shared" si="6"/>
        <v>24</v>
      </c>
      <c r="M119" s="134">
        <f t="shared" si="7"/>
        <v>79032</v>
      </c>
    </row>
    <row r="120" spans="2:13" outlineLevel="4">
      <c r="B120" s="116" t="s">
        <v>306</v>
      </c>
      <c r="C120" s="129" t="s">
        <v>332</v>
      </c>
      <c r="D120" s="129" t="s">
        <v>333</v>
      </c>
      <c r="E120" s="129" t="s">
        <v>325</v>
      </c>
      <c r="F120" s="130"/>
      <c r="G120" s="131">
        <v>3079.4</v>
      </c>
      <c r="H120" s="118"/>
      <c r="I120" s="118"/>
      <c r="J120" s="118"/>
      <c r="K120" s="120">
        <v>26</v>
      </c>
      <c r="L120" s="179">
        <f t="shared" si="6"/>
        <v>26</v>
      </c>
      <c r="M120" s="134">
        <f t="shared" si="7"/>
        <v>80064.400000000009</v>
      </c>
    </row>
    <row r="121" spans="2:13" outlineLevel="4">
      <c r="B121" s="116" t="s">
        <v>306</v>
      </c>
      <c r="C121" s="129" t="s">
        <v>334</v>
      </c>
      <c r="D121" s="129" t="s">
        <v>335</v>
      </c>
      <c r="E121" s="129" t="s">
        <v>325</v>
      </c>
      <c r="F121" s="130"/>
      <c r="G121" s="131">
        <v>1725.96</v>
      </c>
      <c r="H121" s="118"/>
      <c r="I121" s="118"/>
      <c r="J121" s="118"/>
      <c r="K121" s="120">
        <v>28</v>
      </c>
      <c r="L121" s="179">
        <f t="shared" si="6"/>
        <v>28</v>
      </c>
      <c r="M121" s="134">
        <f t="shared" si="7"/>
        <v>48326.880000000005</v>
      </c>
    </row>
    <row r="122" spans="2:13" outlineLevel="3">
      <c r="B122" s="116"/>
      <c r="C122" s="158" t="s">
        <v>336</v>
      </c>
      <c r="D122" s="158" t="s">
        <v>337</v>
      </c>
      <c r="F122" s="159"/>
      <c r="G122" s="131"/>
      <c r="H122" s="118"/>
      <c r="I122" s="118"/>
      <c r="J122" s="118"/>
      <c r="K122" s="120"/>
      <c r="L122" s="178"/>
      <c r="M122" s="160">
        <f>SUM(M123)</f>
        <v>0</v>
      </c>
    </row>
    <row r="123" spans="2:13" s="171" customFormat="1" outlineLevel="4">
      <c r="B123" s="166" t="s">
        <v>306</v>
      </c>
      <c r="C123" s="117" t="s">
        <v>338</v>
      </c>
      <c r="D123" s="117" t="s">
        <v>339</v>
      </c>
      <c r="E123" s="117" t="s">
        <v>251</v>
      </c>
      <c r="F123" s="142"/>
      <c r="G123" s="167"/>
      <c r="H123" s="168"/>
      <c r="I123" s="168"/>
      <c r="J123" s="168"/>
      <c r="K123" s="169"/>
      <c r="L123" s="182">
        <f>SUM(H123:K123)</f>
        <v>0</v>
      </c>
      <c r="M123" s="143">
        <f>+L123*G123</f>
        <v>0</v>
      </c>
    </row>
    <row r="124" spans="2:13" outlineLevel="3">
      <c r="B124" s="116"/>
      <c r="C124" s="129"/>
      <c r="D124" s="129"/>
      <c r="E124" s="129"/>
      <c r="F124" s="130"/>
      <c r="G124" s="131"/>
      <c r="H124" s="118"/>
      <c r="I124" s="118"/>
      <c r="J124" s="118"/>
      <c r="K124" s="120"/>
      <c r="L124" s="179"/>
      <c r="M124" s="134"/>
    </row>
    <row r="125" spans="2:13" outlineLevel="2">
      <c r="B125" s="116"/>
      <c r="C125" s="126" t="s">
        <v>340</v>
      </c>
      <c r="D125" s="126" t="s">
        <v>341</v>
      </c>
      <c r="E125" s="118" t="s">
        <v>99</v>
      </c>
      <c r="F125" s="127"/>
      <c r="G125" s="131"/>
      <c r="H125" s="118"/>
      <c r="I125" s="118"/>
      <c r="J125" s="118"/>
      <c r="K125" s="120"/>
      <c r="L125" s="178"/>
      <c r="M125" s="128">
        <f>+M126+M128+M130+M132</f>
        <v>208629.47297224004</v>
      </c>
    </row>
    <row r="126" spans="2:13" outlineLevel="3">
      <c r="B126" s="116"/>
      <c r="C126" s="158" t="s">
        <v>342</v>
      </c>
      <c r="D126" s="158" t="s">
        <v>343</v>
      </c>
      <c r="F126" s="159"/>
      <c r="G126" s="131"/>
      <c r="H126" s="118"/>
      <c r="I126" s="118"/>
      <c r="J126" s="118"/>
      <c r="K126" s="120"/>
      <c r="L126" s="178"/>
      <c r="M126" s="160">
        <f>SUM(M127:M127)</f>
        <v>42800</v>
      </c>
    </row>
    <row r="127" spans="2:13" outlineLevel="4">
      <c r="B127" s="116" t="s">
        <v>79</v>
      </c>
      <c r="C127" s="129" t="s">
        <v>344</v>
      </c>
      <c r="D127" s="129" t="s">
        <v>345</v>
      </c>
      <c r="E127" s="129" t="s">
        <v>346</v>
      </c>
      <c r="F127" s="130"/>
      <c r="G127" s="131">
        <v>1</v>
      </c>
      <c r="H127" s="118">
        <v>31500</v>
      </c>
      <c r="I127" s="183">
        <v>11300</v>
      </c>
      <c r="J127" s="118"/>
      <c r="K127" s="120"/>
      <c r="L127" s="184">
        <f>SUM(H127:K127)</f>
        <v>42800</v>
      </c>
      <c r="M127" s="134">
        <f>+L127*G127</f>
        <v>42800</v>
      </c>
    </row>
    <row r="128" spans="2:13" outlineLevel="3">
      <c r="B128" s="116"/>
      <c r="C128" s="158" t="s">
        <v>347</v>
      </c>
      <c r="D128" s="158" t="s">
        <v>348</v>
      </c>
      <c r="F128" s="159"/>
      <c r="G128" s="131"/>
      <c r="H128" s="118"/>
      <c r="I128" s="118"/>
      <c r="J128" s="118"/>
      <c r="K128" s="120"/>
      <c r="L128" s="178"/>
      <c r="M128" s="160">
        <f>SUM(M129)</f>
        <v>10833.913722240037</v>
      </c>
    </row>
    <row r="129" spans="2:13" outlineLevel="4">
      <c r="B129" s="116" t="s">
        <v>306</v>
      </c>
      <c r="C129" s="129" t="s">
        <v>349</v>
      </c>
      <c r="D129" s="129" t="s">
        <v>350</v>
      </c>
      <c r="E129" s="129" t="s">
        <v>234</v>
      </c>
      <c r="F129" s="130"/>
      <c r="G129" s="131">
        <v>276.17808000000093</v>
      </c>
      <c r="H129" s="118"/>
      <c r="I129" s="183">
        <v>0.96</v>
      </c>
      <c r="J129" s="118"/>
      <c r="K129" s="120">
        <v>38.268000000000001</v>
      </c>
      <c r="L129" s="179">
        <f>SUM(H129:K129)</f>
        <v>39.228000000000002</v>
      </c>
      <c r="M129" s="134">
        <f>+L129*G129</f>
        <v>10833.913722240037</v>
      </c>
    </row>
    <row r="130" spans="2:13" outlineLevel="3">
      <c r="B130" s="116"/>
      <c r="C130" s="158" t="s">
        <v>351</v>
      </c>
      <c r="D130" s="158" t="s">
        <v>352</v>
      </c>
      <c r="F130" s="159"/>
      <c r="G130" s="131"/>
      <c r="H130" s="118"/>
      <c r="I130" s="118"/>
      <c r="J130" s="118"/>
      <c r="K130" s="120"/>
      <c r="L130" s="178"/>
      <c r="M130" s="160">
        <f>SUM(M131:M131)</f>
        <v>14995.559249999997</v>
      </c>
    </row>
    <row r="131" spans="2:13" outlineLevel="4">
      <c r="B131" s="116" t="s">
        <v>306</v>
      </c>
      <c r="C131" s="129" t="s">
        <v>353</v>
      </c>
      <c r="D131" s="129" t="s">
        <v>354</v>
      </c>
      <c r="E131" s="129" t="s">
        <v>346</v>
      </c>
      <c r="F131" s="130"/>
      <c r="G131" s="131">
        <v>984.93</v>
      </c>
      <c r="H131" s="118"/>
      <c r="I131" s="183">
        <v>0.60000000000000009</v>
      </c>
      <c r="J131" s="118"/>
      <c r="K131" s="120">
        <v>14.624999999999998</v>
      </c>
      <c r="L131" s="179">
        <f>SUM(H131:K131)</f>
        <v>15.224999999999998</v>
      </c>
      <c r="M131" s="134">
        <f>+L131*G131</f>
        <v>14995.559249999997</v>
      </c>
    </row>
    <row r="132" spans="2:13" outlineLevel="3">
      <c r="B132" s="116"/>
      <c r="C132" s="158" t="s">
        <v>355</v>
      </c>
      <c r="D132" s="158" t="s">
        <v>356</v>
      </c>
      <c r="F132" s="159"/>
      <c r="G132" s="131"/>
      <c r="H132" s="118"/>
      <c r="I132" s="118"/>
      <c r="J132" s="118"/>
      <c r="K132" s="120"/>
      <c r="L132" s="184"/>
      <c r="M132" s="160">
        <f>SUM(M133:M134)</f>
        <v>140000</v>
      </c>
    </row>
    <row r="133" spans="2:13" outlineLevel="4">
      <c r="B133" s="116" t="s">
        <v>306</v>
      </c>
      <c r="C133" s="129" t="s">
        <v>357</v>
      </c>
      <c r="D133" s="129" t="s">
        <v>358</v>
      </c>
      <c r="E133" s="129" t="s">
        <v>359</v>
      </c>
      <c r="F133" s="130"/>
      <c r="G133" s="136">
        <v>500</v>
      </c>
      <c r="H133" s="118"/>
      <c r="I133" s="118"/>
      <c r="J133" s="118"/>
      <c r="K133" s="120">
        <v>230</v>
      </c>
      <c r="L133" s="179">
        <f>SUM(H133:K133)</f>
        <v>230</v>
      </c>
      <c r="M133" s="134">
        <f>+L133*G133</f>
        <v>115000</v>
      </c>
    </row>
    <row r="134" spans="2:13" outlineLevel="4">
      <c r="B134" s="116" t="s">
        <v>59</v>
      </c>
      <c r="C134" s="129" t="s">
        <v>360</v>
      </c>
      <c r="D134" s="129" t="s">
        <v>361</v>
      </c>
      <c r="E134" s="129" t="s">
        <v>362</v>
      </c>
      <c r="F134" s="130"/>
      <c r="G134" s="136">
        <v>1</v>
      </c>
      <c r="H134" s="118"/>
      <c r="I134" s="118"/>
      <c r="J134" s="118"/>
      <c r="K134" s="120">
        <v>25000</v>
      </c>
      <c r="L134" s="179">
        <f>SUM(H134:K134)</f>
        <v>25000</v>
      </c>
      <c r="M134" s="134">
        <f>+L134*G134</f>
        <v>25000</v>
      </c>
    </row>
    <row r="135" spans="2:13" outlineLevel="3">
      <c r="B135" s="116"/>
      <c r="C135" s="129"/>
      <c r="D135" s="129"/>
      <c r="E135" s="129"/>
      <c r="F135" s="130"/>
      <c r="G135" s="136"/>
      <c r="H135" s="118"/>
      <c r="I135" s="118"/>
      <c r="J135" s="118"/>
      <c r="K135" s="120"/>
      <c r="L135" s="179"/>
      <c r="M135" s="134"/>
    </row>
    <row r="136" spans="2:13" outlineLevel="2">
      <c r="B136" s="116"/>
      <c r="C136" s="129"/>
      <c r="D136" s="129"/>
      <c r="E136" s="129"/>
      <c r="F136" s="130"/>
      <c r="G136" s="136"/>
      <c r="H136" s="118"/>
      <c r="I136" s="118"/>
      <c r="J136" s="118"/>
      <c r="K136" s="120"/>
      <c r="L136" s="179"/>
      <c r="M136" s="134"/>
    </row>
    <row r="137" spans="2:13" outlineLevel="1">
      <c r="B137" s="116"/>
      <c r="C137" s="123" t="s">
        <v>363</v>
      </c>
      <c r="D137" s="123" t="s">
        <v>364</v>
      </c>
      <c r="E137" s="118" t="s">
        <v>96</v>
      </c>
      <c r="F137" s="124"/>
      <c r="G137" s="131"/>
      <c r="H137" s="118"/>
      <c r="I137" s="118"/>
      <c r="J137" s="118"/>
      <c r="K137" s="120"/>
      <c r="L137" s="178"/>
      <c r="M137" s="125">
        <f>+M138+M144+M150</f>
        <v>101477.89506335538</v>
      </c>
    </row>
    <row r="138" spans="2:13" outlineLevel="2">
      <c r="B138" s="116"/>
      <c r="C138" s="126" t="s">
        <v>365</v>
      </c>
      <c r="D138" s="126" t="s">
        <v>366</v>
      </c>
      <c r="E138" s="118" t="s">
        <v>99</v>
      </c>
      <c r="F138" s="127"/>
      <c r="G138" s="131"/>
      <c r="H138" s="118"/>
      <c r="I138" s="118"/>
      <c r="J138" s="118"/>
      <c r="K138" s="120"/>
      <c r="L138" s="178"/>
      <c r="M138" s="128">
        <f>+M139+M141</f>
        <v>10552.202424999999</v>
      </c>
    </row>
    <row r="139" spans="2:13" outlineLevel="3">
      <c r="B139" s="116"/>
      <c r="C139" s="158" t="s">
        <v>367</v>
      </c>
      <c r="D139" s="158" t="s">
        <v>368</v>
      </c>
      <c r="F139" s="159"/>
      <c r="G139" s="131"/>
      <c r="H139" s="118"/>
      <c r="I139" s="118"/>
      <c r="J139" s="118"/>
      <c r="K139" s="120"/>
      <c r="L139" s="178"/>
      <c r="M139" s="160">
        <f>SUM(M140)</f>
        <v>9461.7164249999987</v>
      </c>
    </row>
    <row r="140" spans="2:13" s="153" customFormat="1" outlineLevel="4">
      <c r="B140" s="144" t="s">
        <v>369</v>
      </c>
      <c r="C140" s="145" t="s">
        <v>370</v>
      </c>
      <c r="D140" s="145" t="s">
        <v>371</v>
      </c>
      <c r="E140" s="145" t="s">
        <v>234</v>
      </c>
      <c r="F140" s="147"/>
      <c r="G140" s="148">
        <f>9.9163+20.63</f>
        <v>30.546299999999999</v>
      </c>
      <c r="H140" s="149"/>
      <c r="I140" s="185">
        <v>267.75</v>
      </c>
      <c r="J140" s="149"/>
      <c r="K140" s="150">
        <v>42</v>
      </c>
      <c r="L140" s="186">
        <f>SUM(H140:K140)</f>
        <v>309.75</v>
      </c>
      <c r="M140" s="152">
        <f>+L140*G140</f>
        <v>9461.7164249999987</v>
      </c>
    </row>
    <row r="141" spans="2:13" outlineLevel="3">
      <c r="B141" s="116"/>
      <c r="C141" s="158" t="s">
        <v>372</v>
      </c>
      <c r="D141" s="158" t="s">
        <v>373</v>
      </c>
      <c r="F141" s="159"/>
      <c r="G141" s="131"/>
      <c r="H141" s="118"/>
      <c r="I141" s="118"/>
      <c r="J141" s="118"/>
      <c r="K141" s="120"/>
      <c r="L141" s="178"/>
      <c r="M141" s="160">
        <f>SUM(M142)</f>
        <v>1090.4859999999999</v>
      </c>
    </row>
    <row r="142" spans="2:13" outlineLevel="4">
      <c r="B142" s="116" t="s">
        <v>374</v>
      </c>
      <c r="C142" s="129" t="s">
        <v>375</v>
      </c>
      <c r="D142" s="129" t="s">
        <v>376</v>
      </c>
      <c r="E142" s="129" t="s">
        <v>346</v>
      </c>
      <c r="F142" s="130"/>
      <c r="G142" s="131">
        <v>28.696999999999996</v>
      </c>
      <c r="H142" s="118"/>
      <c r="I142" s="118"/>
      <c r="J142" s="118"/>
      <c r="K142" s="120">
        <v>38</v>
      </c>
      <c r="L142" s="187">
        <f>SUM(H142:K142)</f>
        <v>38</v>
      </c>
      <c r="M142" s="134">
        <f>+L142*G142</f>
        <v>1090.4859999999999</v>
      </c>
    </row>
    <row r="143" spans="2:13" outlineLevel="3">
      <c r="B143" s="116"/>
      <c r="C143" s="129"/>
      <c r="D143" s="129"/>
      <c r="E143" s="129"/>
      <c r="F143" s="130"/>
      <c r="G143" s="131"/>
      <c r="H143" s="118"/>
      <c r="I143" s="118"/>
      <c r="J143" s="118"/>
      <c r="K143" s="120"/>
      <c r="L143" s="187"/>
      <c r="M143" s="134"/>
    </row>
    <row r="144" spans="2:13" outlineLevel="2">
      <c r="B144" s="116"/>
      <c r="C144" s="126" t="s">
        <v>377</v>
      </c>
      <c r="D144" s="126" t="s">
        <v>378</v>
      </c>
      <c r="E144" s="118" t="s">
        <v>99</v>
      </c>
      <c r="F144" s="127"/>
      <c r="G144" s="131"/>
      <c r="H144" s="118"/>
      <c r="I144" s="118"/>
      <c r="J144" s="118"/>
      <c r="K144" s="120"/>
      <c r="L144" s="178"/>
      <c r="M144" s="128">
        <f>+M145</f>
        <v>15943.214438355375</v>
      </c>
    </row>
    <row r="145" spans="2:13" outlineLevel="3">
      <c r="B145" s="116"/>
      <c r="C145" s="158" t="s">
        <v>379</v>
      </c>
      <c r="D145" s="158" t="s">
        <v>380</v>
      </c>
      <c r="F145" s="159"/>
      <c r="G145" s="131"/>
      <c r="H145" s="118"/>
      <c r="I145" s="118"/>
      <c r="J145" s="118"/>
      <c r="K145" s="120"/>
      <c r="L145" s="178"/>
      <c r="M145" s="160">
        <f>SUM(M146:M148)</f>
        <v>15943.214438355375</v>
      </c>
    </row>
    <row r="146" spans="2:13" outlineLevel="4">
      <c r="B146" s="116" t="s">
        <v>369</v>
      </c>
      <c r="C146" s="129" t="s">
        <v>381</v>
      </c>
      <c r="D146" s="154" t="s">
        <v>382</v>
      </c>
      <c r="E146" s="129" t="s">
        <v>346</v>
      </c>
      <c r="F146" s="130"/>
      <c r="G146" s="131">
        <v>144.29999999999998</v>
      </c>
      <c r="H146" s="183">
        <v>3.9170806500000004</v>
      </c>
      <c r="I146" s="183">
        <v>14.75375</v>
      </c>
      <c r="J146" s="183">
        <v>0.11751241950000001</v>
      </c>
      <c r="K146" s="120">
        <v>8.5</v>
      </c>
      <c r="L146" s="187">
        <f>SUM(H146:K146)</f>
        <v>27.288343069499998</v>
      </c>
      <c r="M146" s="134">
        <f>+L146*G146</f>
        <v>3937.7079049288491</v>
      </c>
    </row>
    <row r="147" spans="2:13" outlineLevel="4">
      <c r="B147" s="116" t="s">
        <v>369</v>
      </c>
      <c r="C147" s="129" t="s">
        <v>383</v>
      </c>
      <c r="D147" s="154" t="s">
        <v>384</v>
      </c>
      <c r="E147" s="129" t="s">
        <v>346</v>
      </c>
      <c r="F147" s="130"/>
      <c r="G147" s="131">
        <v>329.73249999999996</v>
      </c>
      <c r="H147" s="183">
        <v>3.9170806500000004</v>
      </c>
      <c r="I147" s="183">
        <v>14.75375</v>
      </c>
      <c r="J147" s="183">
        <v>0.11751241950000001</v>
      </c>
      <c r="K147" s="120">
        <v>8.5</v>
      </c>
      <c r="L147" s="187">
        <f>SUM(H147:K147)</f>
        <v>27.288343069499998</v>
      </c>
      <c r="M147" s="134">
        <f>+L147*G147</f>
        <v>8997.8535811639067</v>
      </c>
    </row>
    <row r="148" spans="2:13" outlineLevel="4">
      <c r="B148" s="116" t="s">
        <v>369</v>
      </c>
      <c r="C148" s="129" t="s">
        <v>385</v>
      </c>
      <c r="D148" s="154" t="s">
        <v>386</v>
      </c>
      <c r="E148" s="129" t="s">
        <v>346</v>
      </c>
      <c r="F148" s="130"/>
      <c r="G148" s="131">
        <v>110.21750000000009</v>
      </c>
      <c r="H148" s="183">
        <v>3.9170806500000004</v>
      </c>
      <c r="I148" s="183">
        <v>14.75375</v>
      </c>
      <c r="J148" s="183">
        <v>0.11751241950000001</v>
      </c>
      <c r="K148" s="120">
        <v>8.5</v>
      </c>
      <c r="L148" s="187">
        <f>SUM(H148:K148)</f>
        <v>27.288343069499998</v>
      </c>
      <c r="M148" s="134">
        <f>+L148*G148</f>
        <v>3007.6529522626183</v>
      </c>
    </row>
    <row r="149" spans="2:13" outlineLevel="3">
      <c r="B149" s="116"/>
      <c r="C149" s="129"/>
      <c r="D149" s="154"/>
      <c r="E149" s="129"/>
      <c r="F149" s="130"/>
      <c r="G149" s="131"/>
      <c r="H149" s="183"/>
      <c r="I149" s="183"/>
      <c r="J149" s="183"/>
      <c r="K149" s="120"/>
      <c r="L149" s="187"/>
      <c r="M149" s="134"/>
    </row>
    <row r="150" spans="2:13" outlineLevel="2">
      <c r="B150" s="116"/>
      <c r="C150" s="126" t="s">
        <v>387</v>
      </c>
      <c r="D150" s="126" t="s">
        <v>388</v>
      </c>
      <c r="E150" s="118" t="s">
        <v>99</v>
      </c>
      <c r="F150" s="127"/>
      <c r="G150" s="131"/>
      <c r="H150" s="118"/>
      <c r="I150" s="118"/>
      <c r="J150" s="118"/>
      <c r="K150" s="120"/>
      <c r="L150" s="178"/>
      <c r="M150" s="128">
        <f>+M151+M153+M155+M157</f>
        <v>74982.478199999998</v>
      </c>
    </row>
    <row r="151" spans="2:13" outlineLevel="3">
      <c r="B151" s="116"/>
      <c r="C151" s="158" t="s">
        <v>389</v>
      </c>
      <c r="D151" s="158" t="s">
        <v>390</v>
      </c>
      <c r="F151" s="159"/>
      <c r="G151" s="131"/>
      <c r="H151" s="118"/>
      <c r="I151" s="118"/>
      <c r="J151" s="118"/>
      <c r="K151" s="120"/>
      <c r="L151" s="178"/>
      <c r="M151" s="160">
        <f>SUM(M152:M152)</f>
        <v>26479.845000000001</v>
      </c>
    </row>
    <row r="152" spans="2:13" outlineLevel="4">
      <c r="B152" s="116" t="s">
        <v>369</v>
      </c>
      <c r="C152" s="129" t="s">
        <v>391</v>
      </c>
      <c r="D152" s="129" t="s">
        <v>392</v>
      </c>
      <c r="E152" s="129" t="s">
        <v>234</v>
      </c>
      <c r="F152" s="130"/>
      <c r="G152" s="131">
        <v>84.063000000000002</v>
      </c>
      <c r="H152" s="118"/>
      <c r="I152" s="183">
        <v>273</v>
      </c>
      <c r="J152" s="118"/>
      <c r="K152" s="120">
        <v>42</v>
      </c>
      <c r="L152" s="187">
        <f>SUM(H152:K152)</f>
        <v>315</v>
      </c>
      <c r="M152" s="134">
        <f>+L152*G152</f>
        <v>26479.845000000001</v>
      </c>
    </row>
    <row r="153" spans="2:13" outlineLevel="3">
      <c r="B153" s="116"/>
      <c r="C153" s="158" t="s">
        <v>393</v>
      </c>
      <c r="D153" s="158" t="s">
        <v>394</v>
      </c>
      <c r="F153" s="159"/>
      <c r="G153" s="131"/>
      <c r="H153" s="118"/>
      <c r="I153" s="118"/>
      <c r="J153" s="118"/>
      <c r="K153" s="120"/>
      <c r="L153" s="178"/>
      <c r="M153" s="160">
        <f>SUM(M154)</f>
        <v>5950</v>
      </c>
    </row>
    <row r="154" spans="2:13" outlineLevel="4">
      <c r="B154" s="116" t="s">
        <v>374</v>
      </c>
      <c r="C154" s="129" t="s">
        <v>395</v>
      </c>
      <c r="D154" s="129" t="s">
        <v>396</v>
      </c>
      <c r="E154" s="129" t="s">
        <v>346</v>
      </c>
      <c r="F154" s="130"/>
      <c r="G154" s="131">
        <v>297.5</v>
      </c>
      <c r="H154" s="118"/>
      <c r="I154" s="118"/>
      <c r="J154" s="118"/>
      <c r="K154" s="120">
        <v>20</v>
      </c>
      <c r="L154" s="187">
        <f>SUM(H154:K154)</f>
        <v>20</v>
      </c>
      <c r="M154" s="134">
        <f>+L154*G154</f>
        <v>5950</v>
      </c>
    </row>
    <row r="155" spans="2:13" outlineLevel="3">
      <c r="B155" s="116"/>
      <c r="C155" s="158" t="s">
        <v>397</v>
      </c>
      <c r="D155" s="158" t="s">
        <v>398</v>
      </c>
      <c r="F155" s="159"/>
      <c r="G155" s="131"/>
      <c r="H155" s="118"/>
      <c r="I155" s="118"/>
      <c r="J155" s="118"/>
      <c r="K155" s="120"/>
      <c r="L155" s="178"/>
      <c r="M155" s="160">
        <f>SUM(M156)</f>
        <v>1378.6332</v>
      </c>
    </row>
    <row r="156" spans="2:13" outlineLevel="4">
      <c r="B156" s="116" t="s">
        <v>369</v>
      </c>
      <c r="C156" s="129" t="s">
        <v>399</v>
      </c>
      <c r="D156" s="129" t="s">
        <v>400</v>
      </c>
      <c r="E156" s="129" t="s">
        <v>346</v>
      </c>
      <c r="F156" s="130"/>
      <c r="G156" s="131">
        <v>840.63</v>
      </c>
      <c r="H156" s="118"/>
      <c r="I156" s="183">
        <v>0.44</v>
      </c>
      <c r="J156" s="118"/>
      <c r="K156" s="120">
        <v>1.2</v>
      </c>
      <c r="L156" s="187">
        <f>SUM(H156:K156)</f>
        <v>1.64</v>
      </c>
      <c r="M156" s="134">
        <f>+L156*G156</f>
        <v>1378.6332</v>
      </c>
    </row>
    <row r="157" spans="2:13" outlineLevel="3">
      <c r="B157" s="116"/>
      <c r="C157" s="158" t="s">
        <v>401</v>
      </c>
      <c r="D157" s="158" t="s">
        <v>402</v>
      </c>
      <c r="F157" s="159"/>
      <c r="G157" s="131"/>
      <c r="H157" s="118"/>
      <c r="I157" s="118"/>
      <c r="J157" s="118"/>
      <c r="K157" s="120"/>
      <c r="L157" s="178"/>
      <c r="M157" s="160">
        <f>SUM(M158:M159)</f>
        <v>41174</v>
      </c>
    </row>
    <row r="158" spans="2:13" outlineLevel="4">
      <c r="B158" s="116" t="s">
        <v>374</v>
      </c>
      <c r="C158" s="129" t="s">
        <v>403</v>
      </c>
      <c r="D158" s="181" t="s">
        <v>404</v>
      </c>
      <c r="E158" s="129" t="s">
        <v>135</v>
      </c>
      <c r="F158" s="130"/>
      <c r="G158" s="131">
        <v>297.5</v>
      </c>
      <c r="H158" s="118"/>
      <c r="I158" s="118"/>
      <c r="J158" s="118"/>
      <c r="K158" s="120">
        <v>17.3</v>
      </c>
      <c r="L158" s="187">
        <f>SUM(H158:K158)</f>
        <v>17.3</v>
      </c>
      <c r="M158" s="134">
        <f>+L158*G158</f>
        <v>5146.75</v>
      </c>
    </row>
    <row r="159" spans="2:13" outlineLevel="4">
      <c r="B159" s="116" t="s">
        <v>374</v>
      </c>
      <c r="C159" s="129" t="s">
        <v>405</v>
      </c>
      <c r="D159" s="129" t="s">
        <v>406</v>
      </c>
      <c r="E159" s="129" t="s">
        <v>135</v>
      </c>
      <c r="F159" s="130"/>
      <c r="G159" s="131">
        <v>2082.5</v>
      </c>
      <c r="H159" s="118"/>
      <c r="I159" s="118"/>
      <c r="J159" s="118"/>
      <c r="K159" s="120">
        <v>17.3</v>
      </c>
      <c r="L159" s="187">
        <f>SUM(H159:K159)</f>
        <v>17.3</v>
      </c>
      <c r="M159" s="134">
        <f>+L159*G159</f>
        <v>36027.25</v>
      </c>
    </row>
    <row r="160" spans="2:13" outlineLevel="3">
      <c r="B160" s="116"/>
      <c r="C160" s="129"/>
      <c r="D160" s="129"/>
      <c r="E160" s="129"/>
      <c r="F160" s="130"/>
      <c r="G160" s="131"/>
      <c r="H160" s="118"/>
      <c r="I160" s="118"/>
      <c r="J160" s="118"/>
      <c r="K160" s="120"/>
      <c r="L160" s="187"/>
      <c r="M160" s="134"/>
    </row>
    <row r="161" spans="2:13" outlineLevel="2">
      <c r="B161" s="116"/>
      <c r="C161" s="129"/>
      <c r="D161" s="129"/>
      <c r="E161" s="129"/>
      <c r="F161" s="130"/>
      <c r="G161" s="131"/>
      <c r="H161" s="118"/>
      <c r="I161" s="118"/>
      <c r="J161" s="118"/>
      <c r="K161" s="120"/>
      <c r="L161" s="187"/>
      <c r="M161" s="134"/>
    </row>
    <row r="162" spans="2:13" outlineLevel="1">
      <c r="B162" s="116"/>
      <c r="C162" s="123" t="s">
        <v>407</v>
      </c>
      <c r="D162" s="123" t="s">
        <v>408</v>
      </c>
      <c r="E162" s="118" t="s">
        <v>96</v>
      </c>
      <c r="F162" s="124"/>
      <c r="G162" s="131"/>
      <c r="H162" s="118"/>
      <c r="I162" s="118"/>
      <c r="J162" s="118"/>
      <c r="K162" s="120"/>
      <c r="L162" s="178"/>
      <c r="M162" s="125">
        <f>+M163+M173+M183+M193+M203</f>
        <v>1743706.9881641122</v>
      </c>
    </row>
    <row r="163" spans="2:13" outlineLevel="2">
      <c r="B163" s="116"/>
      <c r="C163" s="126" t="s">
        <v>409</v>
      </c>
      <c r="D163" s="126" t="s">
        <v>410</v>
      </c>
      <c r="E163" s="118" t="s">
        <v>99</v>
      </c>
      <c r="F163" s="127"/>
      <c r="G163" s="131"/>
      <c r="H163" s="118"/>
      <c r="I163" s="118"/>
      <c r="J163" s="118"/>
      <c r="K163" s="120"/>
      <c r="L163" s="178"/>
      <c r="M163" s="128">
        <f>+M164+M166+M168+M170</f>
        <v>38118.400924080001</v>
      </c>
    </row>
    <row r="164" spans="2:13" outlineLevel="3">
      <c r="B164" s="116"/>
      <c r="C164" s="158" t="s">
        <v>411</v>
      </c>
      <c r="D164" s="158" t="s">
        <v>412</v>
      </c>
      <c r="E164" s="188"/>
      <c r="F164" s="159"/>
      <c r="G164" s="131"/>
      <c r="H164" s="118"/>
      <c r="I164" s="118"/>
      <c r="J164" s="118"/>
      <c r="K164" s="120"/>
      <c r="L164" s="178"/>
      <c r="M164" s="160">
        <f>SUM(M165)</f>
        <v>20413.787250000001</v>
      </c>
    </row>
    <row r="165" spans="2:13" outlineLevel="4">
      <c r="B165" s="116" t="s">
        <v>369</v>
      </c>
      <c r="C165" s="129" t="s">
        <v>413</v>
      </c>
      <c r="D165" s="129" t="s">
        <v>414</v>
      </c>
      <c r="E165" s="189" t="s">
        <v>234</v>
      </c>
      <c r="F165" s="130"/>
      <c r="G165" s="131">
        <v>54.414999999999999</v>
      </c>
      <c r="H165" s="118"/>
      <c r="I165" s="183">
        <v>360.15000000000003</v>
      </c>
      <c r="J165" s="118"/>
      <c r="K165" s="120">
        <v>15</v>
      </c>
      <c r="L165" s="187">
        <f>SUM(H165:K165)</f>
        <v>375.15000000000003</v>
      </c>
      <c r="M165" s="134">
        <f>+L165*G165</f>
        <v>20413.787250000001</v>
      </c>
    </row>
    <row r="166" spans="2:13" outlineLevel="3">
      <c r="B166" s="116"/>
      <c r="C166" s="158" t="s">
        <v>415</v>
      </c>
      <c r="D166" s="158" t="s">
        <v>416</v>
      </c>
      <c r="E166" s="188"/>
      <c r="F166" s="159"/>
      <c r="G166" s="131"/>
      <c r="H166" s="118"/>
      <c r="I166" s="118"/>
      <c r="J166" s="118"/>
      <c r="K166" s="120"/>
      <c r="L166" s="178"/>
      <c r="M166" s="160">
        <f>SUM(M167:M167)</f>
        <v>2420.41</v>
      </c>
    </row>
    <row r="167" spans="2:13" outlineLevel="4">
      <c r="B167" s="116" t="s">
        <v>374</v>
      </c>
      <c r="C167" s="129" t="s">
        <v>417</v>
      </c>
      <c r="D167" s="129" t="s">
        <v>418</v>
      </c>
      <c r="E167" s="189" t="s">
        <v>346</v>
      </c>
      <c r="F167" s="130"/>
      <c r="G167" s="131">
        <v>63.694999999999993</v>
      </c>
      <c r="H167" s="118"/>
      <c r="I167" s="118"/>
      <c r="J167" s="118"/>
      <c r="K167" s="120">
        <v>38</v>
      </c>
      <c r="L167" s="187">
        <f>SUM(H167:K167)</f>
        <v>38</v>
      </c>
      <c r="M167" s="134">
        <f>+L167*G167</f>
        <v>2420.41</v>
      </c>
    </row>
    <row r="168" spans="2:13" outlineLevel="3">
      <c r="B168" s="116"/>
      <c r="C168" s="158" t="s">
        <v>419</v>
      </c>
      <c r="D168" s="158" t="s">
        <v>420</v>
      </c>
      <c r="E168" s="188"/>
      <c r="F168" s="159"/>
      <c r="G168" s="131"/>
      <c r="H168" s="118"/>
      <c r="I168" s="118"/>
      <c r="J168" s="118"/>
      <c r="K168" s="120"/>
      <c r="L168" s="178"/>
      <c r="M168" s="160">
        <f>SUM(M169)</f>
        <v>14998.987174080001</v>
      </c>
    </row>
    <row r="169" spans="2:13" outlineLevel="4">
      <c r="B169" s="116" t="s">
        <v>421</v>
      </c>
      <c r="C169" s="190" t="s">
        <v>422</v>
      </c>
      <c r="D169" s="190" t="s">
        <v>423</v>
      </c>
      <c r="E169" s="191" t="s">
        <v>424</v>
      </c>
      <c r="F169" s="130"/>
      <c r="G169" s="194">
        <v>3621.0720000000006</v>
      </c>
      <c r="H169" s="118"/>
      <c r="I169" s="183">
        <v>3.2121399999999998</v>
      </c>
      <c r="J169" s="118"/>
      <c r="K169" s="120">
        <v>0.93</v>
      </c>
      <c r="L169" s="193">
        <f>SUM(H169:K169)</f>
        <v>4.1421399999999995</v>
      </c>
      <c r="M169" s="134">
        <f>+L169*G169</f>
        <v>14998.987174080001</v>
      </c>
    </row>
    <row r="170" spans="2:13" outlineLevel="3">
      <c r="B170" s="116"/>
      <c r="C170" s="158" t="s">
        <v>425</v>
      </c>
      <c r="D170" s="158" t="s">
        <v>426</v>
      </c>
      <c r="E170" s="188"/>
      <c r="F170" s="159"/>
      <c r="G170" s="131"/>
      <c r="H170" s="118"/>
      <c r="I170" s="118"/>
      <c r="J170" s="118"/>
      <c r="K170" s="120"/>
      <c r="L170" s="178"/>
      <c r="M170" s="160">
        <f>SUM(M171)</f>
        <v>285.21650000000011</v>
      </c>
    </row>
    <row r="171" spans="2:13" outlineLevel="4">
      <c r="B171" s="116" t="s">
        <v>369</v>
      </c>
      <c r="C171" s="129" t="s">
        <v>427</v>
      </c>
      <c r="D171" s="129" t="s">
        <v>428</v>
      </c>
      <c r="E171" s="189" t="s">
        <v>346</v>
      </c>
      <c r="F171" s="130"/>
      <c r="G171" s="131">
        <v>173.91250000000008</v>
      </c>
      <c r="H171" s="118"/>
      <c r="I171" s="183">
        <v>0.44</v>
      </c>
      <c r="J171" s="118"/>
      <c r="K171" s="120">
        <v>1.2</v>
      </c>
      <c r="L171" s="187">
        <f>SUM(H171:K171)</f>
        <v>1.64</v>
      </c>
      <c r="M171" s="134">
        <f>+L171*G171</f>
        <v>285.21650000000011</v>
      </c>
    </row>
    <row r="172" spans="2:13" outlineLevel="3">
      <c r="B172" s="116"/>
      <c r="C172" s="129"/>
      <c r="D172" s="129"/>
      <c r="E172" s="189"/>
      <c r="F172" s="130"/>
      <c r="G172" s="131"/>
      <c r="H172" s="118"/>
      <c r="I172" s="183"/>
      <c r="J172" s="118"/>
      <c r="K172" s="120"/>
      <c r="L172" s="187"/>
      <c r="M172" s="134"/>
    </row>
    <row r="173" spans="2:13" outlineLevel="2">
      <c r="B173" s="116"/>
      <c r="C173" s="126" t="s">
        <v>429</v>
      </c>
      <c r="D173" s="126" t="s">
        <v>430</v>
      </c>
      <c r="E173" s="118" t="s">
        <v>99</v>
      </c>
      <c r="F173" s="127"/>
      <c r="G173" s="131"/>
      <c r="H173" s="118"/>
      <c r="I173" s="118"/>
      <c r="J173" s="118"/>
      <c r="K173" s="120"/>
      <c r="L173" s="178"/>
      <c r="M173" s="128">
        <f>+M174+M176+M178+M180</f>
        <v>12674.389668000002</v>
      </c>
    </row>
    <row r="174" spans="2:13" outlineLevel="3">
      <c r="B174" s="116"/>
      <c r="C174" s="158" t="s">
        <v>431</v>
      </c>
      <c r="D174" s="158" t="s">
        <v>432</v>
      </c>
      <c r="E174" s="188"/>
      <c r="F174" s="159"/>
      <c r="G174" s="131"/>
      <c r="H174" s="118"/>
      <c r="I174" s="118"/>
      <c r="J174" s="118"/>
      <c r="K174" s="120"/>
      <c r="L174" s="178"/>
      <c r="M174" s="160">
        <f>SUM(M175)</f>
        <v>4366.7400000000007</v>
      </c>
    </row>
    <row r="175" spans="2:13" outlineLevel="4">
      <c r="B175" s="116" t="s">
        <v>369</v>
      </c>
      <c r="C175" s="129" t="s">
        <v>433</v>
      </c>
      <c r="D175" s="195" t="s">
        <v>434</v>
      </c>
      <c r="E175" s="196" t="s">
        <v>234</v>
      </c>
      <c r="F175" s="130"/>
      <c r="G175" s="136">
        <v>10.360000000000001</v>
      </c>
      <c r="H175" s="118"/>
      <c r="I175" s="183">
        <v>379.5</v>
      </c>
      <c r="J175" s="118"/>
      <c r="K175" s="120">
        <v>42</v>
      </c>
      <c r="L175" s="187">
        <f>SUM(H175:K175)</f>
        <v>421.5</v>
      </c>
      <c r="M175" s="134">
        <f>+L175*G175</f>
        <v>4366.7400000000007</v>
      </c>
    </row>
    <row r="176" spans="2:13" outlineLevel="3">
      <c r="B176" s="116"/>
      <c r="C176" s="158" t="s">
        <v>435</v>
      </c>
      <c r="D176" s="158" t="s">
        <v>436</v>
      </c>
      <c r="E176" s="188"/>
      <c r="F176" s="159"/>
      <c r="G176" s="116"/>
      <c r="H176" s="118"/>
      <c r="I176" s="118"/>
      <c r="J176" s="118"/>
      <c r="K176" s="120"/>
      <c r="L176" s="178"/>
      <c r="M176" s="160">
        <f>SUM(M177)</f>
        <v>1574.7200000000003</v>
      </c>
    </row>
    <row r="177" spans="2:13" outlineLevel="4">
      <c r="B177" s="116" t="s">
        <v>374</v>
      </c>
      <c r="C177" s="129" t="s">
        <v>437</v>
      </c>
      <c r="D177" s="129" t="s">
        <v>438</v>
      </c>
      <c r="E177" s="189" t="s">
        <v>346</v>
      </c>
      <c r="F177" s="130"/>
      <c r="G177" s="131">
        <v>41.440000000000005</v>
      </c>
      <c r="H177" s="118"/>
      <c r="I177" s="118"/>
      <c r="J177" s="118"/>
      <c r="K177" s="120">
        <v>38</v>
      </c>
      <c r="L177" s="187">
        <f>SUM(H177:K177)</f>
        <v>38</v>
      </c>
      <c r="M177" s="134">
        <f>+L177*G177</f>
        <v>1574.7200000000003</v>
      </c>
    </row>
    <row r="178" spans="2:13" outlineLevel="3">
      <c r="B178" s="116"/>
      <c r="C178" s="158" t="s">
        <v>439</v>
      </c>
      <c r="D178" s="158" t="s">
        <v>440</v>
      </c>
      <c r="E178" s="188"/>
      <c r="F178" s="159"/>
      <c r="G178" s="116"/>
      <c r="H178" s="118"/>
      <c r="I178" s="118"/>
      <c r="J178" s="118"/>
      <c r="K178" s="120"/>
      <c r="L178" s="178"/>
      <c r="M178" s="160">
        <f>SUM(M179)</f>
        <v>6664.9680679999992</v>
      </c>
    </row>
    <row r="179" spans="2:13" s="203" customFormat="1" outlineLevel="4">
      <c r="B179" s="197" t="s">
        <v>421</v>
      </c>
      <c r="C179" s="198" t="s">
        <v>441</v>
      </c>
      <c r="D179" s="198" t="s">
        <v>442</v>
      </c>
      <c r="E179" s="199" t="s">
        <v>424</v>
      </c>
      <c r="F179" s="200"/>
      <c r="G179" s="204">
        <v>1596.7819999999999</v>
      </c>
      <c r="H179" s="205"/>
      <c r="I179" s="206">
        <f>+(795+85)*3.8/1000</f>
        <v>3.3439999999999999</v>
      </c>
      <c r="J179" s="205"/>
      <c r="K179" s="207">
        <v>0.83</v>
      </c>
      <c r="L179" s="201">
        <f>SUM(H179:K179)</f>
        <v>4.1739999999999995</v>
      </c>
      <c r="M179" s="202">
        <f>+L179*G179</f>
        <v>6664.9680679999992</v>
      </c>
    </row>
    <row r="180" spans="2:13" outlineLevel="3">
      <c r="B180" s="116"/>
      <c r="C180" s="158" t="s">
        <v>443</v>
      </c>
      <c r="D180" s="158" t="s">
        <v>444</v>
      </c>
      <c r="E180" s="188"/>
      <c r="F180" s="159"/>
      <c r="G180" s="116"/>
      <c r="H180" s="118"/>
      <c r="I180" s="118"/>
      <c r="J180" s="118"/>
      <c r="K180" s="120"/>
      <c r="L180" s="178"/>
      <c r="M180" s="160">
        <f>SUM(M181)</f>
        <v>67.961600000000004</v>
      </c>
    </row>
    <row r="181" spans="2:13" outlineLevel="4">
      <c r="B181" s="116" t="s">
        <v>369</v>
      </c>
      <c r="C181" s="129" t="s">
        <v>445</v>
      </c>
      <c r="D181" s="129" t="s">
        <v>428</v>
      </c>
      <c r="E181" s="189" t="s">
        <v>346</v>
      </c>
      <c r="F181" s="130"/>
      <c r="G181" s="131">
        <v>41.440000000000005</v>
      </c>
      <c r="H181" s="118"/>
      <c r="I181" s="183">
        <v>0.44</v>
      </c>
      <c r="J181" s="118"/>
      <c r="K181" s="120">
        <v>1.2</v>
      </c>
      <c r="L181" s="187">
        <f>SUM(H181:K181)</f>
        <v>1.64</v>
      </c>
      <c r="M181" s="134">
        <f>+L181*G181</f>
        <v>67.961600000000004</v>
      </c>
    </row>
    <row r="182" spans="2:13" outlineLevel="3">
      <c r="B182" s="116"/>
      <c r="C182" s="129"/>
      <c r="D182" s="129"/>
      <c r="E182" s="189"/>
      <c r="F182" s="130"/>
      <c r="G182" s="131"/>
      <c r="H182" s="118"/>
      <c r="I182" s="183"/>
      <c r="J182" s="118"/>
      <c r="K182" s="120"/>
      <c r="L182" s="187"/>
      <c r="M182" s="134"/>
    </row>
    <row r="183" spans="2:13" outlineLevel="2">
      <c r="B183" s="116"/>
      <c r="C183" s="126" t="s">
        <v>446</v>
      </c>
      <c r="D183" s="126" t="s">
        <v>447</v>
      </c>
      <c r="E183" s="118" t="s">
        <v>99</v>
      </c>
      <c r="F183" s="127"/>
      <c r="G183" s="131"/>
      <c r="H183" s="118"/>
      <c r="I183" s="118"/>
      <c r="J183" s="118"/>
      <c r="K183" s="120"/>
      <c r="L183" s="178"/>
      <c r="M183" s="128">
        <f>+M184+M186+M188+M190</f>
        <v>239221.35138900002</v>
      </c>
    </row>
    <row r="184" spans="2:13" outlineLevel="3">
      <c r="B184" s="116"/>
      <c r="C184" s="158" t="s">
        <v>448</v>
      </c>
      <c r="D184" s="158" t="s">
        <v>449</v>
      </c>
      <c r="E184" s="188"/>
      <c r="F184" s="159"/>
      <c r="G184" s="131"/>
      <c r="H184" s="118"/>
      <c r="I184" s="118"/>
      <c r="J184" s="118"/>
      <c r="K184" s="120"/>
      <c r="L184" s="178"/>
      <c r="M184" s="160">
        <f>SUM(M185)</f>
        <v>142637.53468500002</v>
      </c>
    </row>
    <row r="185" spans="2:13" outlineLevel="4">
      <c r="B185" s="116" t="s">
        <v>369</v>
      </c>
      <c r="C185" s="129" t="s">
        <v>450</v>
      </c>
      <c r="D185" s="129" t="s">
        <v>451</v>
      </c>
      <c r="E185" s="189" t="s">
        <v>234</v>
      </c>
      <c r="F185" s="130"/>
      <c r="G185" s="131">
        <v>338.40459000000004</v>
      </c>
      <c r="H185" s="118"/>
      <c r="I185" s="183">
        <v>379.5</v>
      </c>
      <c r="J185" s="118"/>
      <c r="K185" s="120">
        <v>42</v>
      </c>
      <c r="L185" s="187">
        <f>SUM(H185:K185)</f>
        <v>421.5</v>
      </c>
      <c r="M185" s="134">
        <f>+L185*G185</f>
        <v>142637.53468500002</v>
      </c>
    </row>
    <row r="186" spans="2:13" outlineLevel="3">
      <c r="B186" s="116"/>
      <c r="C186" s="158" t="s">
        <v>452</v>
      </c>
      <c r="D186" s="158" t="s">
        <v>453</v>
      </c>
      <c r="E186" s="188"/>
      <c r="F186" s="159"/>
      <c r="G186" s="131"/>
      <c r="H186" s="118"/>
      <c r="I186" s="118"/>
      <c r="J186" s="118"/>
      <c r="K186" s="120"/>
      <c r="L186" s="178"/>
      <c r="M186" s="160">
        <f>SUM(M187)</f>
        <v>10926.101999999999</v>
      </c>
    </row>
    <row r="187" spans="2:13" outlineLevel="4">
      <c r="B187" s="116" t="s">
        <v>374</v>
      </c>
      <c r="C187" s="129" t="s">
        <v>454</v>
      </c>
      <c r="D187" s="129" t="s">
        <v>455</v>
      </c>
      <c r="E187" s="189" t="s">
        <v>346</v>
      </c>
      <c r="F187" s="130"/>
      <c r="G187" s="131">
        <v>287.529</v>
      </c>
      <c r="H187" s="118"/>
      <c r="I187" s="118"/>
      <c r="J187" s="118"/>
      <c r="K187" s="120">
        <v>38</v>
      </c>
      <c r="L187" s="187">
        <f>SUM(H187:K187)</f>
        <v>38</v>
      </c>
      <c r="M187" s="134">
        <f>+L187*G187</f>
        <v>10926.101999999999</v>
      </c>
    </row>
    <row r="188" spans="2:13" outlineLevel="3">
      <c r="B188" s="116"/>
      <c r="C188" s="158" t="s">
        <v>456</v>
      </c>
      <c r="D188" s="158" t="s">
        <v>457</v>
      </c>
      <c r="E188" s="188"/>
      <c r="F188" s="159"/>
      <c r="G188" s="131"/>
      <c r="H188" s="118"/>
      <c r="I188" s="118"/>
      <c r="J188" s="118"/>
      <c r="K188" s="120"/>
      <c r="L188" s="178"/>
      <c r="M188" s="160">
        <f>SUM(M189)</f>
        <v>84645.405843999994</v>
      </c>
    </row>
    <row r="189" spans="2:13" s="203" customFormat="1" outlineLevel="4">
      <c r="B189" s="197" t="s">
        <v>421</v>
      </c>
      <c r="C189" s="198" t="s">
        <v>458</v>
      </c>
      <c r="D189" s="198" t="s">
        <v>459</v>
      </c>
      <c r="E189" s="199" t="s">
        <v>424</v>
      </c>
      <c r="F189" s="200"/>
      <c r="G189" s="204">
        <v>20279.206000000002</v>
      </c>
      <c r="H189" s="205"/>
      <c r="I189" s="206">
        <f>+(795+85)*3.8/1000</f>
        <v>3.3439999999999999</v>
      </c>
      <c r="J189" s="205"/>
      <c r="K189" s="207">
        <v>0.83</v>
      </c>
      <c r="L189" s="201">
        <f>SUM(H189:K189)</f>
        <v>4.1739999999999995</v>
      </c>
      <c r="M189" s="202">
        <f>+L189*G189</f>
        <v>84645.405843999994</v>
      </c>
    </row>
    <row r="190" spans="2:13" outlineLevel="3">
      <c r="B190" s="116"/>
      <c r="C190" s="158" t="s">
        <v>460</v>
      </c>
      <c r="D190" s="158" t="s">
        <v>461</v>
      </c>
      <c r="E190" s="188"/>
      <c r="F190" s="159"/>
      <c r="G190" s="116"/>
      <c r="H190" s="118"/>
      <c r="I190" s="118"/>
      <c r="J190" s="118"/>
      <c r="K190" s="120"/>
      <c r="L190" s="178"/>
      <c r="M190" s="160">
        <f>SUM(M191)</f>
        <v>1012.3088599999999</v>
      </c>
    </row>
    <row r="191" spans="2:13" outlineLevel="4">
      <c r="B191" s="116" t="s">
        <v>369</v>
      </c>
      <c r="C191" s="129" t="s">
        <v>462</v>
      </c>
      <c r="D191" s="129" t="s">
        <v>428</v>
      </c>
      <c r="E191" s="189" t="s">
        <v>346</v>
      </c>
      <c r="F191" s="130"/>
      <c r="G191" s="131">
        <v>617.26149999999996</v>
      </c>
      <c r="H191" s="118"/>
      <c r="I191" s="183">
        <v>0.44</v>
      </c>
      <c r="J191" s="118"/>
      <c r="K191" s="120">
        <v>1.2</v>
      </c>
      <c r="L191" s="187">
        <f>SUM(H191:K191)</f>
        <v>1.64</v>
      </c>
      <c r="M191" s="134">
        <f>+L191*G191</f>
        <v>1012.3088599999999</v>
      </c>
    </row>
    <row r="192" spans="2:13" outlineLevel="3">
      <c r="B192" s="116"/>
      <c r="C192" s="129"/>
      <c r="D192" s="129"/>
      <c r="E192" s="189"/>
      <c r="F192" s="130"/>
      <c r="G192" s="131"/>
      <c r="H192" s="118"/>
      <c r="I192" s="183"/>
      <c r="J192" s="118"/>
      <c r="K192" s="120"/>
      <c r="L192" s="187"/>
      <c r="M192" s="134"/>
    </row>
    <row r="193" spans="2:13" outlineLevel="2">
      <c r="B193" s="116"/>
      <c r="C193" s="126" t="s">
        <v>463</v>
      </c>
      <c r="D193" s="126" t="s">
        <v>464</v>
      </c>
      <c r="E193" s="118" t="s">
        <v>99</v>
      </c>
      <c r="F193" s="127"/>
      <c r="G193" s="131"/>
      <c r="H193" s="118"/>
      <c r="I193" s="118"/>
      <c r="J193" s="118"/>
      <c r="K193" s="120"/>
      <c r="L193" s="178"/>
      <c r="M193" s="128">
        <f>+M194+M196+M198+M200</f>
        <v>107259.73343558003</v>
      </c>
    </row>
    <row r="194" spans="2:13" outlineLevel="3">
      <c r="B194" s="116"/>
      <c r="C194" s="158" t="s">
        <v>465</v>
      </c>
      <c r="D194" s="158" t="s">
        <v>466</v>
      </c>
      <c r="E194" s="188"/>
      <c r="F194" s="159"/>
      <c r="G194" s="131"/>
      <c r="H194" s="118"/>
      <c r="I194" s="118"/>
      <c r="J194" s="118"/>
      <c r="K194" s="120"/>
      <c r="L194" s="178"/>
      <c r="M194" s="160">
        <f>SUM(M195)</f>
        <v>54420.439027500019</v>
      </c>
    </row>
    <row r="195" spans="2:13" outlineLevel="4">
      <c r="B195" s="116" t="s">
        <v>369</v>
      </c>
      <c r="C195" s="129" t="s">
        <v>467</v>
      </c>
      <c r="D195" s="129" t="s">
        <v>468</v>
      </c>
      <c r="E195" s="189" t="s">
        <v>234</v>
      </c>
      <c r="F195" s="130"/>
      <c r="G195" s="131">
        <v>132.89484500000003</v>
      </c>
      <c r="H195" s="118"/>
      <c r="I195" s="183">
        <v>367.50000000000006</v>
      </c>
      <c r="J195" s="118"/>
      <c r="K195" s="120">
        <v>42</v>
      </c>
      <c r="L195" s="187">
        <f>SUM(H195:K195)</f>
        <v>409.50000000000006</v>
      </c>
      <c r="M195" s="134">
        <f>+L195*G195</f>
        <v>54420.439027500019</v>
      </c>
    </row>
    <row r="196" spans="2:13" outlineLevel="3">
      <c r="B196" s="116"/>
      <c r="C196" s="158" t="s">
        <v>469</v>
      </c>
      <c r="D196" s="158" t="s">
        <v>470</v>
      </c>
      <c r="E196" s="188"/>
      <c r="F196" s="159"/>
      <c r="G196" s="131"/>
      <c r="H196" s="118"/>
      <c r="I196" s="118"/>
      <c r="J196" s="118"/>
      <c r="K196" s="120"/>
      <c r="L196" s="178"/>
      <c r="M196" s="160">
        <f>SUM(M197)</f>
        <v>15563.260000000007</v>
      </c>
    </row>
    <row r="197" spans="2:13" outlineLevel="4">
      <c r="B197" s="116" t="s">
        <v>374</v>
      </c>
      <c r="C197" s="129" t="s">
        <v>471</v>
      </c>
      <c r="D197" s="129" t="s">
        <v>472</v>
      </c>
      <c r="E197" s="189" t="s">
        <v>346</v>
      </c>
      <c r="F197" s="130"/>
      <c r="G197" s="131">
        <v>389.08150000000018</v>
      </c>
      <c r="H197" s="118"/>
      <c r="I197" s="118"/>
      <c r="J197" s="118"/>
      <c r="K197" s="120">
        <v>40</v>
      </c>
      <c r="L197" s="187">
        <f>SUM(H197:K197)</f>
        <v>40</v>
      </c>
      <c r="M197" s="134">
        <f>+L197*G197</f>
        <v>15563.260000000007</v>
      </c>
    </row>
    <row r="198" spans="2:13" outlineLevel="3">
      <c r="B198" s="116"/>
      <c r="C198" s="158" t="s">
        <v>473</v>
      </c>
      <c r="D198" s="158" t="s">
        <v>474</v>
      </c>
      <c r="E198" s="188"/>
      <c r="F198" s="159"/>
      <c r="G198" s="131"/>
      <c r="H198" s="118"/>
      <c r="I198" s="118"/>
      <c r="J198" s="118"/>
      <c r="K198" s="120"/>
      <c r="L198" s="178"/>
      <c r="M198" s="160">
        <f>SUM(M199)</f>
        <v>36637.94074808</v>
      </c>
    </row>
    <row r="199" spans="2:13" outlineLevel="4">
      <c r="B199" s="116" t="s">
        <v>421</v>
      </c>
      <c r="C199" s="129" t="s">
        <v>475</v>
      </c>
      <c r="D199" s="129" t="s">
        <v>476</v>
      </c>
      <c r="E199" s="189" t="s">
        <v>424</v>
      </c>
      <c r="F199" s="130"/>
      <c r="G199" s="209">
        <v>8845.1720000000005</v>
      </c>
      <c r="H199" s="118"/>
      <c r="I199" s="183">
        <v>3.2121399999999998</v>
      </c>
      <c r="J199" s="118"/>
      <c r="K199" s="120">
        <v>0.93</v>
      </c>
      <c r="L199" s="193">
        <f>SUM(H199:K199)</f>
        <v>4.1421399999999995</v>
      </c>
      <c r="M199" s="134">
        <f>+L199*G199</f>
        <v>36637.94074808</v>
      </c>
    </row>
    <row r="200" spans="2:13" outlineLevel="3">
      <c r="B200" s="116"/>
      <c r="C200" s="158" t="s">
        <v>477</v>
      </c>
      <c r="D200" s="158" t="s">
        <v>478</v>
      </c>
      <c r="E200" s="188"/>
      <c r="F200" s="159"/>
      <c r="G200" s="131"/>
      <c r="H200" s="118"/>
      <c r="I200" s="118"/>
      <c r="J200" s="118"/>
      <c r="K200" s="120"/>
      <c r="L200" s="178"/>
      <c r="M200" s="160">
        <f>SUM(M201)</f>
        <v>638.09366000000023</v>
      </c>
    </row>
    <row r="201" spans="2:13" outlineLevel="4">
      <c r="B201" s="116" t="s">
        <v>369</v>
      </c>
      <c r="C201" s="129" t="s">
        <v>479</v>
      </c>
      <c r="D201" s="129" t="s">
        <v>480</v>
      </c>
      <c r="E201" s="189" t="s">
        <v>346</v>
      </c>
      <c r="F201" s="130"/>
      <c r="G201" s="131">
        <v>389.08150000000018</v>
      </c>
      <c r="H201" s="118"/>
      <c r="I201" s="183">
        <v>0.44</v>
      </c>
      <c r="J201" s="118"/>
      <c r="K201" s="120">
        <v>1.2</v>
      </c>
      <c r="L201" s="187">
        <f>SUM(H201:K201)</f>
        <v>1.64</v>
      </c>
      <c r="M201" s="134">
        <f>+L201*G201</f>
        <v>638.09366000000023</v>
      </c>
    </row>
    <row r="202" spans="2:13" outlineLevel="3">
      <c r="B202" s="116"/>
      <c r="C202" s="129"/>
      <c r="D202" s="129"/>
      <c r="E202" s="189"/>
      <c r="F202" s="130"/>
      <c r="G202" s="131"/>
      <c r="H202" s="118"/>
      <c r="I202" s="183"/>
      <c r="J202" s="118"/>
      <c r="K202" s="120"/>
      <c r="L202" s="187"/>
      <c r="M202" s="134"/>
    </row>
    <row r="203" spans="2:13" outlineLevel="2">
      <c r="B203" s="116"/>
      <c r="C203" s="126" t="s">
        <v>481</v>
      </c>
      <c r="D203" s="126" t="s">
        <v>482</v>
      </c>
      <c r="E203" s="118" t="s">
        <v>99</v>
      </c>
      <c r="F203" s="127"/>
      <c r="G203" s="131"/>
      <c r="H203" s="118"/>
      <c r="I203" s="118"/>
      <c r="J203" s="118"/>
      <c r="K203" s="120"/>
      <c r="L203" s="178"/>
      <c r="M203" s="128">
        <f>+M204+M211+M218+M221+M224+M226+M233+M235+M237</f>
        <v>1346433.1127474522</v>
      </c>
    </row>
    <row r="204" spans="2:13" outlineLevel="3">
      <c r="B204" s="116"/>
      <c r="C204" s="158" t="s">
        <v>483</v>
      </c>
      <c r="D204" s="158" t="s">
        <v>484</v>
      </c>
      <c r="E204" s="188"/>
      <c r="F204" s="159"/>
      <c r="G204" s="131"/>
      <c r="H204" s="118"/>
      <c r="I204" s="118"/>
      <c r="J204" s="118"/>
      <c r="K204" s="120"/>
      <c r="L204" s="178"/>
      <c r="M204" s="160">
        <f>SUM(M205:M210)</f>
        <v>486241.83834686433</v>
      </c>
    </row>
    <row r="205" spans="2:13" outlineLevel="4">
      <c r="B205" s="116" t="s">
        <v>485</v>
      </c>
      <c r="C205" s="129" t="s">
        <v>486</v>
      </c>
      <c r="D205" s="129" t="s">
        <v>487</v>
      </c>
      <c r="E205" s="189" t="s">
        <v>234</v>
      </c>
      <c r="F205" s="130"/>
      <c r="G205" s="131">
        <v>306.953125</v>
      </c>
      <c r="H205" s="118"/>
      <c r="I205" s="183">
        <v>525.15000000000009</v>
      </c>
      <c r="J205" s="118"/>
      <c r="K205" s="120">
        <v>33.876459610470683</v>
      </c>
      <c r="L205" s="187">
        <f>SUM(H205:K205)</f>
        <v>559.02645961047074</v>
      </c>
      <c r="M205" s="134">
        <f t="shared" ref="M205:M210" si="8">+L205*G205</f>
        <v>171594.91873512027</v>
      </c>
    </row>
    <row r="206" spans="2:13" outlineLevel="4">
      <c r="B206" s="116" t="s">
        <v>485</v>
      </c>
      <c r="C206" s="129" t="s">
        <v>488</v>
      </c>
      <c r="D206" s="129" t="s">
        <v>489</v>
      </c>
      <c r="E206" s="189" t="s">
        <v>234</v>
      </c>
      <c r="F206" s="130"/>
      <c r="G206" s="131">
        <v>127.81954887218045</v>
      </c>
      <c r="H206" s="118"/>
      <c r="I206" s="183">
        <v>503.55</v>
      </c>
      <c r="J206" s="118"/>
      <c r="K206" s="120">
        <v>33.876459610470683</v>
      </c>
      <c r="L206" s="187">
        <f>SUM(H206:K206)</f>
        <v>537.42645961047072</v>
      </c>
      <c r="M206" s="134">
        <f t="shared" si="8"/>
        <v>68693.607619383474</v>
      </c>
    </row>
    <row r="207" spans="2:13" outlineLevel="4">
      <c r="B207" s="116" t="s">
        <v>485</v>
      </c>
      <c r="C207" s="129" t="s">
        <v>490</v>
      </c>
      <c r="D207" s="129" t="s">
        <v>491</v>
      </c>
      <c r="E207" s="189" t="s">
        <v>234</v>
      </c>
      <c r="F207" s="130"/>
      <c r="G207" s="131">
        <v>211.19402985074626</v>
      </c>
      <c r="H207" s="118"/>
      <c r="I207" s="183">
        <v>469.8</v>
      </c>
      <c r="J207" s="118"/>
      <c r="K207" s="120">
        <v>33.876459610470683</v>
      </c>
      <c r="L207" s="187">
        <f>SUM(H207:K207)</f>
        <v>503.67645961047072</v>
      </c>
      <c r="M207" s="134">
        <f t="shared" si="8"/>
        <v>106373.46124609195</v>
      </c>
    </row>
    <row r="208" spans="2:13" outlineLevel="4">
      <c r="B208" s="116" t="s">
        <v>485</v>
      </c>
      <c r="C208" s="129"/>
      <c r="D208" s="210" t="s">
        <v>492</v>
      </c>
      <c r="E208" s="189"/>
      <c r="F208" s="130"/>
      <c r="G208" s="131">
        <v>77.985074626865668</v>
      </c>
      <c r="H208" s="118"/>
      <c r="I208" s="120">
        <v>844.2</v>
      </c>
      <c r="J208" s="118"/>
      <c r="K208" s="120">
        <v>43.88</v>
      </c>
      <c r="L208" s="187">
        <f>SUM(H208:K208)</f>
        <v>888.08</v>
      </c>
      <c r="M208" s="134">
        <f t="shared" si="8"/>
        <v>69256.985074626864</v>
      </c>
    </row>
    <row r="209" spans="2:13" outlineLevel="4">
      <c r="B209" s="116" t="s">
        <v>485</v>
      </c>
      <c r="C209" s="129"/>
      <c r="D209" s="210" t="s">
        <v>493</v>
      </c>
      <c r="E209" s="189"/>
      <c r="F209" s="130"/>
      <c r="G209" s="131">
        <v>76.865671641791039</v>
      </c>
      <c r="H209" s="118"/>
      <c r="I209" s="120">
        <v>871</v>
      </c>
      <c r="J209" s="118"/>
      <c r="K209" s="120">
        <v>43.88</v>
      </c>
      <c r="L209" s="187">
        <f>SUM(H209:K209)</f>
        <v>914.88</v>
      </c>
      <c r="M209" s="134">
        <f t="shared" si="8"/>
        <v>70322.86567164179</v>
      </c>
    </row>
    <row r="210" spans="2:13" s="171" customFormat="1" outlineLevel="4">
      <c r="B210" s="166" t="s">
        <v>485</v>
      </c>
      <c r="C210" s="117" t="s">
        <v>494</v>
      </c>
      <c r="D210" s="117" t="s">
        <v>495</v>
      </c>
      <c r="E210" s="211" t="s">
        <v>234</v>
      </c>
      <c r="F210" s="142"/>
      <c r="G210" s="167">
        <v>418.03</v>
      </c>
      <c r="H210" s="168"/>
      <c r="I210" s="212"/>
      <c r="J210" s="168"/>
      <c r="K210" s="169"/>
      <c r="L210" s="213">
        <f>SUM(H210:K210)*0</f>
        <v>0</v>
      </c>
      <c r="M210" s="143">
        <f t="shared" si="8"/>
        <v>0</v>
      </c>
    </row>
    <row r="211" spans="2:13" outlineLevel="3">
      <c r="B211" s="116"/>
      <c r="C211" s="158" t="s">
        <v>496</v>
      </c>
      <c r="D211" s="158" t="s">
        <v>497</v>
      </c>
      <c r="E211" s="188"/>
      <c r="F211" s="159"/>
      <c r="G211" s="116"/>
      <c r="H211" s="118"/>
      <c r="I211" s="118"/>
      <c r="J211" s="118"/>
      <c r="K211" s="120"/>
      <c r="L211" s="178"/>
      <c r="M211" s="160">
        <f>SUM(M212:M217)</f>
        <v>38863.490211048949</v>
      </c>
    </row>
    <row r="212" spans="2:13" outlineLevel="4">
      <c r="B212" s="116" t="s">
        <v>59</v>
      </c>
      <c r="C212" s="129" t="s">
        <v>498</v>
      </c>
      <c r="D212" s="129" t="s">
        <v>499</v>
      </c>
      <c r="E212" s="189" t="s">
        <v>500</v>
      </c>
      <c r="F212" s="130"/>
      <c r="G212" s="131">
        <v>840</v>
      </c>
      <c r="H212" s="183">
        <v>3.4351701125000007</v>
      </c>
      <c r="I212" s="183">
        <v>30</v>
      </c>
      <c r="J212" s="118"/>
      <c r="K212" s="120"/>
      <c r="L212" s="187">
        <f t="shared" ref="L212:L217" si="9">SUM(H212:K212)</f>
        <v>33.435170112500003</v>
      </c>
      <c r="M212" s="134">
        <f t="shared" ref="M212:M217" si="10">+L212*G212</f>
        <v>28085.542894500002</v>
      </c>
    </row>
    <row r="213" spans="2:13" s="217" customFormat="1" outlineLevel="4">
      <c r="B213" s="214" t="s">
        <v>485</v>
      </c>
      <c r="C213" s="195" t="s">
        <v>501</v>
      </c>
      <c r="D213" s="195" t="s">
        <v>502</v>
      </c>
      <c r="E213" s="196" t="s">
        <v>346</v>
      </c>
      <c r="F213" s="135"/>
      <c r="G213" s="136">
        <v>294</v>
      </c>
      <c r="H213" s="215"/>
      <c r="I213" s="215">
        <v>16.434328813559326</v>
      </c>
      <c r="J213" s="215">
        <v>1.0123527812499999</v>
      </c>
      <c r="K213" s="138"/>
      <c r="L213" s="216">
        <f t="shared" si="9"/>
        <v>17.446681594809327</v>
      </c>
      <c r="M213" s="140">
        <f t="shared" si="10"/>
        <v>5129.3243888739426</v>
      </c>
    </row>
    <row r="214" spans="2:13" outlineLevel="4">
      <c r="B214" s="116" t="s">
        <v>485</v>
      </c>
      <c r="C214" s="129" t="s">
        <v>503</v>
      </c>
      <c r="D214" s="154" t="s">
        <v>504</v>
      </c>
      <c r="E214" s="189" t="s">
        <v>234</v>
      </c>
      <c r="F214" s="130"/>
      <c r="G214" s="131">
        <v>14.7</v>
      </c>
      <c r="H214" s="183">
        <v>110.62088333333334</v>
      </c>
      <c r="I214" s="118"/>
      <c r="J214" s="183">
        <v>27.318626500000001</v>
      </c>
      <c r="K214" s="120"/>
      <c r="L214" s="187">
        <f t="shared" si="9"/>
        <v>137.93950983333335</v>
      </c>
      <c r="M214" s="134">
        <f t="shared" si="10"/>
        <v>2027.7107945500002</v>
      </c>
    </row>
    <row r="215" spans="2:13" outlineLevel="4">
      <c r="B215" s="116" t="s">
        <v>77</v>
      </c>
      <c r="C215" s="129" t="s">
        <v>505</v>
      </c>
      <c r="D215" s="154" t="s">
        <v>506</v>
      </c>
      <c r="E215" s="189" t="s">
        <v>234</v>
      </c>
      <c r="F215" s="130"/>
      <c r="G215" s="131">
        <v>26.25</v>
      </c>
      <c r="H215" s="183">
        <v>110.62088333333334</v>
      </c>
      <c r="I215" s="118"/>
      <c r="J215" s="183">
        <v>27.318626500000001</v>
      </c>
      <c r="K215" s="120"/>
      <c r="L215" s="187">
        <f t="shared" si="9"/>
        <v>137.93950983333335</v>
      </c>
      <c r="M215" s="134">
        <f t="shared" si="10"/>
        <v>3620.9121331250003</v>
      </c>
    </row>
    <row r="216" spans="2:13" outlineLevel="4">
      <c r="B216" s="116" t="s">
        <v>485</v>
      </c>
      <c r="C216" s="129" t="s">
        <v>507</v>
      </c>
      <c r="D216" s="218" t="s">
        <v>508</v>
      </c>
      <c r="E216" s="189" t="s">
        <v>135</v>
      </c>
      <c r="F216" s="130"/>
      <c r="G216" s="131"/>
      <c r="H216" s="118"/>
      <c r="I216" s="183">
        <v>24.142499999999998</v>
      </c>
      <c r="J216" s="118"/>
      <c r="K216" s="120">
        <v>24</v>
      </c>
      <c r="L216" s="187">
        <f t="shared" si="9"/>
        <v>48.142499999999998</v>
      </c>
      <c r="M216" s="134">
        <f t="shared" si="10"/>
        <v>0</v>
      </c>
    </row>
    <row r="217" spans="2:13" outlineLevel="4">
      <c r="B217" s="116" t="s">
        <v>485</v>
      </c>
      <c r="C217" s="129" t="s">
        <v>509</v>
      </c>
      <c r="D217" s="218" t="s">
        <v>510</v>
      </c>
      <c r="E217" s="189" t="s">
        <v>234</v>
      </c>
      <c r="F217" s="130"/>
      <c r="G217" s="167"/>
      <c r="H217" s="118"/>
      <c r="I217" s="183">
        <v>342.3</v>
      </c>
      <c r="J217" s="118"/>
      <c r="K217" s="120">
        <v>21</v>
      </c>
      <c r="L217" s="187">
        <f t="shared" si="9"/>
        <v>363.3</v>
      </c>
      <c r="M217" s="134">
        <f t="shared" si="10"/>
        <v>0</v>
      </c>
    </row>
    <row r="218" spans="2:13" outlineLevel="3">
      <c r="B218" s="116"/>
      <c r="C218" s="158" t="s">
        <v>511</v>
      </c>
      <c r="D218" s="158" t="s">
        <v>512</v>
      </c>
      <c r="E218" s="188"/>
      <c r="F218" s="159"/>
      <c r="G218" s="116"/>
      <c r="H218" s="118"/>
      <c r="I218" s="118"/>
      <c r="J218" s="118"/>
      <c r="K218" s="120"/>
      <c r="L218" s="178"/>
      <c r="M218" s="160">
        <f>SUM(M219:M220)</f>
        <v>97476.26999999999</v>
      </c>
    </row>
    <row r="219" spans="2:13" outlineLevel="4">
      <c r="B219" s="116" t="s">
        <v>59</v>
      </c>
      <c r="C219" s="129" t="s">
        <v>513</v>
      </c>
      <c r="D219" s="129" t="s">
        <v>514</v>
      </c>
      <c r="E219" s="189" t="s">
        <v>346</v>
      </c>
      <c r="F219" s="130"/>
      <c r="G219" s="131">
        <v>2307.4699999999998</v>
      </c>
      <c r="H219" s="118"/>
      <c r="I219" s="118"/>
      <c r="J219" s="118"/>
      <c r="K219" s="120">
        <v>41</v>
      </c>
      <c r="L219" s="187">
        <f>SUM(H219:K219)</f>
        <v>41</v>
      </c>
      <c r="M219" s="134">
        <f>+L219*G219</f>
        <v>94606.26999999999</v>
      </c>
    </row>
    <row r="220" spans="2:13" outlineLevel="4">
      <c r="B220" s="116" t="s">
        <v>59</v>
      </c>
      <c r="C220" s="129" t="s">
        <v>515</v>
      </c>
      <c r="D220" s="129" t="s">
        <v>516</v>
      </c>
      <c r="E220" s="189" t="s">
        <v>346</v>
      </c>
      <c r="F220" s="130"/>
      <c r="G220" s="131">
        <v>70</v>
      </c>
      <c r="H220" s="118"/>
      <c r="I220" s="118"/>
      <c r="J220" s="118"/>
      <c r="K220" s="120">
        <v>41</v>
      </c>
      <c r="L220" s="187">
        <f>SUM(H220:K220)</f>
        <v>41</v>
      </c>
      <c r="M220" s="134">
        <f>+L220*G220</f>
        <v>2870</v>
      </c>
    </row>
    <row r="221" spans="2:13" outlineLevel="3">
      <c r="B221" s="116"/>
      <c r="C221" s="158" t="s">
        <v>517</v>
      </c>
      <c r="D221" s="158" t="s">
        <v>518</v>
      </c>
      <c r="E221" s="188"/>
      <c r="F221" s="159"/>
      <c r="G221" s="116"/>
      <c r="H221" s="118"/>
      <c r="I221" s="118"/>
      <c r="J221" s="118"/>
      <c r="K221" s="120"/>
      <c r="L221" s="178"/>
      <c r="M221" s="160">
        <f>SUM(M222:M223)</f>
        <v>350995.49736216001</v>
      </c>
    </row>
    <row r="222" spans="2:13" outlineLevel="4">
      <c r="B222" s="116" t="s">
        <v>519</v>
      </c>
      <c r="C222" s="129" t="s">
        <v>520</v>
      </c>
      <c r="D222" s="129" t="s">
        <v>521</v>
      </c>
      <c r="E222" s="189" t="s">
        <v>424</v>
      </c>
      <c r="F222" s="130"/>
      <c r="G222" s="209">
        <v>77357.862000000008</v>
      </c>
      <c r="H222" s="118"/>
      <c r="I222" s="219">
        <f>(795*3.8/1000)*1.08</f>
        <v>3.26268</v>
      </c>
      <c r="J222" s="118"/>
      <c r="K222" s="120">
        <v>0.93</v>
      </c>
      <c r="L222" s="193">
        <f>SUM(H222:K222)</f>
        <v>4.1926800000000002</v>
      </c>
      <c r="M222" s="134">
        <f>+L222*G222</f>
        <v>324336.76085016003</v>
      </c>
    </row>
    <row r="223" spans="2:13" outlineLevel="4">
      <c r="B223" s="116" t="s">
        <v>519</v>
      </c>
      <c r="C223" s="129" t="s">
        <v>522</v>
      </c>
      <c r="D223" s="218" t="s">
        <v>523</v>
      </c>
      <c r="E223" s="189" t="s">
        <v>424</v>
      </c>
      <c r="F223" s="130"/>
      <c r="G223" s="209">
        <v>6358.4</v>
      </c>
      <c r="H223" s="118"/>
      <c r="I223" s="219">
        <f>(795*3.8/1000)*1.08</f>
        <v>3.26268</v>
      </c>
      <c r="J223" s="118"/>
      <c r="K223" s="120">
        <v>0.93</v>
      </c>
      <c r="L223" s="193">
        <f>SUM(H223:K223)</f>
        <v>4.1926800000000002</v>
      </c>
      <c r="M223" s="134">
        <f>+L223*G223</f>
        <v>26658.736511999999</v>
      </c>
    </row>
    <row r="224" spans="2:13" outlineLevel="3">
      <c r="B224" s="116"/>
      <c r="C224" s="158" t="s">
        <v>524</v>
      </c>
      <c r="D224" s="158" t="s">
        <v>525</v>
      </c>
      <c r="E224" s="188"/>
      <c r="F224" s="159"/>
      <c r="G224" s="131"/>
      <c r="H224" s="118"/>
      <c r="I224" s="118"/>
      <c r="J224" s="118"/>
      <c r="K224" s="120"/>
      <c r="L224" s="178"/>
      <c r="M224" s="160">
        <f>SUM(M225)</f>
        <v>317534</v>
      </c>
    </row>
    <row r="225" spans="2:13" outlineLevel="4">
      <c r="B225" s="116" t="s">
        <v>79</v>
      </c>
      <c r="C225" s="129" t="s">
        <v>526</v>
      </c>
      <c r="D225" s="129" t="s">
        <v>527</v>
      </c>
      <c r="E225" s="189" t="s">
        <v>228</v>
      </c>
      <c r="F225" s="130"/>
      <c r="G225" s="131">
        <v>1</v>
      </c>
      <c r="H225" s="118"/>
      <c r="I225" s="118"/>
      <c r="J225" s="118"/>
      <c r="K225" s="120">
        <v>317534</v>
      </c>
      <c r="L225" s="187">
        <f>SUM(H225:K225)</f>
        <v>317534</v>
      </c>
      <c r="M225" s="134">
        <f>+L225*G225</f>
        <v>317534</v>
      </c>
    </row>
    <row r="226" spans="2:13" outlineLevel="3">
      <c r="B226" s="116"/>
      <c r="C226" s="158" t="s">
        <v>528</v>
      </c>
      <c r="D226" s="158" t="s">
        <v>529</v>
      </c>
      <c r="E226" s="188"/>
      <c r="F226" s="159"/>
      <c r="G226" s="131"/>
      <c r="H226" s="118"/>
      <c r="I226" s="118"/>
      <c r="J226" s="118"/>
      <c r="K226" s="120"/>
      <c r="L226" s="178"/>
      <c r="M226" s="160">
        <f>SUM(M227:M232)</f>
        <v>25954.351627378717</v>
      </c>
    </row>
    <row r="227" spans="2:13" s="171" customFormat="1" outlineLevel="4">
      <c r="B227" s="166" t="s">
        <v>306</v>
      </c>
      <c r="C227" s="117" t="s">
        <v>530</v>
      </c>
      <c r="D227" s="220" t="s">
        <v>531</v>
      </c>
      <c r="E227" s="211" t="s">
        <v>234</v>
      </c>
      <c r="F227" s="142"/>
      <c r="G227" s="167">
        <v>1890</v>
      </c>
      <c r="H227" s="212">
        <v>0.43187025000000001</v>
      </c>
      <c r="I227" s="168"/>
      <c r="J227" s="168"/>
      <c r="K227" s="169">
        <v>25</v>
      </c>
      <c r="L227" s="213">
        <f>SUM(H227:K227)*0</f>
        <v>0</v>
      </c>
      <c r="M227" s="143">
        <f t="shared" ref="M227:M232" si="11">+L227*G227</f>
        <v>0</v>
      </c>
    </row>
    <row r="228" spans="2:13" outlineLevel="4">
      <c r="B228" s="116" t="s">
        <v>306</v>
      </c>
      <c r="C228" s="129" t="s">
        <v>532</v>
      </c>
      <c r="D228" s="210" t="s">
        <v>533</v>
      </c>
      <c r="E228" s="189" t="s">
        <v>234</v>
      </c>
      <c r="F228" s="130"/>
      <c r="G228" s="131"/>
      <c r="H228" s="183">
        <v>0.43187025000000001</v>
      </c>
      <c r="I228" s="118"/>
      <c r="J228" s="118"/>
      <c r="K228" s="120">
        <v>25</v>
      </c>
      <c r="L228" s="187">
        <f>SUM(H228:K228)</f>
        <v>25.431870249999999</v>
      </c>
      <c r="M228" s="134">
        <f t="shared" si="11"/>
        <v>0</v>
      </c>
    </row>
    <row r="229" spans="2:13" outlineLevel="4">
      <c r="B229" s="116" t="s">
        <v>306</v>
      </c>
      <c r="C229" s="129" t="s">
        <v>534</v>
      </c>
      <c r="D229" s="210" t="s">
        <v>535</v>
      </c>
      <c r="E229" s="189" t="s">
        <v>346</v>
      </c>
      <c r="F229" s="130"/>
      <c r="G229" s="131">
        <v>2786.8579999999993</v>
      </c>
      <c r="H229" s="183">
        <v>6.6372530000000003</v>
      </c>
      <c r="I229" s="118"/>
      <c r="J229" s="183">
        <v>0.19911759000000001</v>
      </c>
      <c r="K229" s="120"/>
      <c r="L229" s="187">
        <f>SUM(H229:K229)</f>
        <v>6.8363705900000005</v>
      </c>
      <c r="M229" s="134">
        <f t="shared" si="11"/>
        <v>19051.994069706216</v>
      </c>
    </row>
    <row r="230" spans="2:13" s="171" customFormat="1" outlineLevel="4">
      <c r="B230" s="166" t="s">
        <v>306</v>
      </c>
      <c r="C230" s="117" t="s">
        <v>536</v>
      </c>
      <c r="D230" s="220" t="s">
        <v>537</v>
      </c>
      <c r="E230" s="211" t="s">
        <v>234</v>
      </c>
      <c r="F230" s="142"/>
      <c r="G230" s="167">
        <v>147</v>
      </c>
      <c r="H230" s="168"/>
      <c r="I230" s="168"/>
      <c r="J230" s="168"/>
      <c r="K230" s="169"/>
      <c r="L230" s="213">
        <f>SUM(H230:K230)</f>
        <v>0</v>
      </c>
      <c r="M230" s="143">
        <f t="shared" si="11"/>
        <v>0</v>
      </c>
    </row>
    <row r="231" spans="2:13" outlineLevel="4">
      <c r="B231" s="116" t="s">
        <v>306</v>
      </c>
      <c r="C231" s="129" t="s">
        <v>538</v>
      </c>
      <c r="D231" s="210" t="s">
        <v>539</v>
      </c>
      <c r="E231" s="189" t="s">
        <v>234</v>
      </c>
      <c r="F231" s="130"/>
      <c r="G231" s="131">
        <v>176.4</v>
      </c>
      <c r="H231" s="183">
        <v>21.777571666666667</v>
      </c>
      <c r="I231" s="118"/>
      <c r="J231" s="183">
        <v>0.65332714999999997</v>
      </c>
      <c r="K231" s="120"/>
      <c r="L231" s="187">
        <f>SUM(H231:K231)</f>
        <v>22.430898816666666</v>
      </c>
      <c r="M231" s="134">
        <f t="shared" si="11"/>
        <v>3956.81055126</v>
      </c>
    </row>
    <row r="232" spans="2:13" outlineLevel="4">
      <c r="B232" s="116" t="s">
        <v>306</v>
      </c>
      <c r="C232" s="129" t="s">
        <v>540</v>
      </c>
      <c r="D232" s="210" t="s">
        <v>541</v>
      </c>
      <c r="E232" s="189" t="s">
        <v>346</v>
      </c>
      <c r="F232" s="130"/>
      <c r="G232" s="131">
        <v>294</v>
      </c>
      <c r="H232" s="183">
        <v>7.785308125000002</v>
      </c>
      <c r="I232" s="118"/>
      <c r="J232" s="183">
        <v>2.2335592437500003</v>
      </c>
      <c r="K232" s="120"/>
      <c r="L232" s="187">
        <f>SUM(H232:K232)</f>
        <v>10.018867368750001</v>
      </c>
      <c r="M232" s="134">
        <f t="shared" si="11"/>
        <v>2945.5470064125002</v>
      </c>
    </row>
    <row r="233" spans="2:13" outlineLevel="3">
      <c r="B233" s="116"/>
      <c r="C233" s="158" t="s">
        <v>542</v>
      </c>
      <c r="D233" s="158" t="s">
        <v>543</v>
      </c>
      <c r="E233" s="188"/>
      <c r="F233" s="159"/>
      <c r="G233" s="131"/>
      <c r="H233" s="118"/>
      <c r="I233" s="118"/>
      <c r="J233" s="118"/>
      <c r="K233" s="120"/>
      <c r="L233" s="178"/>
      <c r="M233" s="160">
        <f>SUM(M234)</f>
        <v>1237.1240000000003</v>
      </c>
    </row>
    <row r="234" spans="2:13" outlineLevel="4">
      <c r="B234" s="116" t="s">
        <v>79</v>
      </c>
      <c r="C234" s="129" t="s">
        <v>544</v>
      </c>
      <c r="D234" s="129" t="s">
        <v>545</v>
      </c>
      <c r="E234" s="189" t="s">
        <v>135</v>
      </c>
      <c r="F234" s="130"/>
      <c r="G234" s="131">
        <v>46</v>
      </c>
      <c r="H234" s="118"/>
      <c r="I234" s="183">
        <v>18.814000000000004</v>
      </c>
      <c r="J234" s="118"/>
      <c r="K234" s="120">
        <v>8.08</v>
      </c>
      <c r="L234" s="187">
        <f>SUM(H234:K234)</f>
        <v>26.894000000000005</v>
      </c>
      <c r="M234" s="134">
        <f>+L234*G234</f>
        <v>1237.1240000000003</v>
      </c>
    </row>
    <row r="235" spans="2:13" outlineLevel="3">
      <c r="B235" s="116"/>
      <c r="C235" s="158" t="s">
        <v>546</v>
      </c>
      <c r="D235" s="158" t="s">
        <v>547</v>
      </c>
      <c r="E235" s="188"/>
      <c r="F235" s="159"/>
      <c r="G235" s="131"/>
      <c r="H235" s="118"/>
      <c r="I235" s="118"/>
      <c r="J235" s="118"/>
      <c r="K235" s="120"/>
      <c r="L235" s="178"/>
      <c r="M235" s="160">
        <f>SUM(M236:M236)</f>
        <v>23415</v>
      </c>
    </row>
    <row r="236" spans="2:13" outlineLevel="4">
      <c r="B236" s="116" t="s">
        <v>485</v>
      </c>
      <c r="C236" s="129" t="s">
        <v>548</v>
      </c>
      <c r="D236" s="129" t="s">
        <v>549</v>
      </c>
      <c r="E236" s="189" t="s">
        <v>550</v>
      </c>
      <c r="F236" s="130"/>
      <c r="G236" s="131">
        <v>840</v>
      </c>
      <c r="H236" s="118"/>
      <c r="I236" s="183">
        <v>7.875</v>
      </c>
      <c r="J236" s="118"/>
      <c r="K236" s="120">
        <v>20</v>
      </c>
      <c r="L236" s="187">
        <f>SUM(H236:K236)</f>
        <v>27.875</v>
      </c>
      <c r="M236" s="134">
        <f>+L236*G236</f>
        <v>23415</v>
      </c>
    </row>
    <row r="237" spans="2:13" outlineLevel="3">
      <c r="B237" s="116"/>
      <c r="C237" s="158" t="s">
        <v>551</v>
      </c>
      <c r="D237" s="158" t="s">
        <v>552</v>
      </c>
      <c r="E237" s="188"/>
      <c r="F237" s="159"/>
      <c r="G237" s="131"/>
      <c r="H237" s="118"/>
      <c r="I237" s="118"/>
      <c r="J237" s="118"/>
      <c r="K237" s="120"/>
      <c r="L237" s="178"/>
      <c r="M237" s="160">
        <f>SUM(M238:M238)</f>
        <v>4715.5412000000006</v>
      </c>
    </row>
    <row r="238" spans="2:13" outlineLevel="4">
      <c r="B238" s="116" t="s">
        <v>485</v>
      </c>
      <c r="C238" s="129" t="s">
        <v>553</v>
      </c>
      <c r="D238" s="129" t="s">
        <v>554</v>
      </c>
      <c r="E238" s="189" t="s">
        <v>346</v>
      </c>
      <c r="F238" s="130"/>
      <c r="G238" s="131">
        <v>2875.3300000000004</v>
      </c>
      <c r="H238" s="118"/>
      <c r="I238" s="183">
        <v>0.44</v>
      </c>
      <c r="J238" s="118"/>
      <c r="K238" s="120">
        <v>1.2</v>
      </c>
      <c r="L238" s="187">
        <f>SUM(H238:K238)</f>
        <v>1.64</v>
      </c>
      <c r="M238" s="134">
        <f>+L238*G238</f>
        <v>4715.5412000000006</v>
      </c>
    </row>
    <row r="239" spans="2:13" outlineLevel="3">
      <c r="B239" s="116"/>
      <c r="C239" s="129"/>
      <c r="D239" s="129"/>
      <c r="E239" s="189"/>
      <c r="F239" s="130"/>
      <c r="G239" s="131"/>
      <c r="H239" s="118"/>
      <c r="I239" s="183"/>
      <c r="J239" s="118"/>
      <c r="K239" s="120"/>
      <c r="L239" s="187"/>
      <c r="M239" s="134"/>
    </row>
    <row r="240" spans="2:13" outlineLevel="2">
      <c r="B240" s="116"/>
      <c r="C240" s="129"/>
      <c r="D240" s="129"/>
      <c r="E240" s="189"/>
      <c r="F240" s="130"/>
      <c r="G240" s="131"/>
      <c r="H240" s="118"/>
      <c r="I240" s="183"/>
      <c r="J240" s="118"/>
      <c r="K240" s="120"/>
      <c r="L240" s="187"/>
      <c r="M240" s="134"/>
    </row>
    <row r="241" spans="2:13" outlineLevel="1">
      <c r="B241" s="116"/>
      <c r="C241" s="123" t="s">
        <v>555</v>
      </c>
      <c r="D241" s="123" t="s">
        <v>556</v>
      </c>
      <c r="E241" s="118" t="s">
        <v>96</v>
      </c>
      <c r="F241" s="124"/>
      <c r="G241" s="131"/>
      <c r="H241" s="118"/>
      <c r="I241" s="118"/>
      <c r="J241" s="118"/>
      <c r="K241" s="120"/>
      <c r="L241" s="178"/>
      <c r="M241" s="125">
        <f>+M242+M253+M265+M276+M289+M303</f>
        <v>1601296.6507353564</v>
      </c>
    </row>
    <row r="242" spans="2:13" outlineLevel="2">
      <c r="B242" s="116"/>
      <c r="C242" s="126" t="s">
        <v>557</v>
      </c>
      <c r="D242" s="126" t="s">
        <v>558</v>
      </c>
      <c r="E242" s="118" t="s">
        <v>99</v>
      </c>
      <c r="F242" s="127"/>
      <c r="G242" s="131"/>
      <c r="H242" s="118"/>
      <c r="I242" s="118"/>
      <c r="J242" s="118"/>
      <c r="K242" s="120"/>
      <c r="L242" s="178"/>
      <c r="M242" s="128">
        <f>+M243+M246+M248+M250</f>
        <v>53578.138136250003</v>
      </c>
    </row>
    <row r="243" spans="2:13" outlineLevel="3">
      <c r="B243" s="116"/>
      <c r="C243" s="158" t="s">
        <v>559</v>
      </c>
      <c r="D243" s="158" t="s">
        <v>560</v>
      </c>
      <c r="E243" s="188"/>
      <c r="F243" s="159"/>
      <c r="G243" s="131"/>
      <c r="H243" s="118"/>
      <c r="I243" s="118"/>
      <c r="J243" s="118"/>
      <c r="K243" s="120"/>
      <c r="L243" s="178"/>
      <c r="M243" s="160">
        <f>SUM(M244:M245)</f>
        <v>14123.513416250004</v>
      </c>
    </row>
    <row r="244" spans="2:13" outlineLevel="4">
      <c r="B244" s="116" t="s">
        <v>77</v>
      </c>
      <c r="C244" s="129" t="s">
        <v>561</v>
      </c>
      <c r="D244" s="129" t="s">
        <v>562</v>
      </c>
      <c r="E244" s="189" t="s">
        <v>234</v>
      </c>
      <c r="F244" s="130"/>
      <c r="G244" s="131">
        <v>24.038150000000002</v>
      </c>
      <c r="H244" s="118"/>
      <c r="I244" s="183">
        <v>386.40000000000003</v>
      </c>
      <c r="J244" s="118"/>
      <c r="K244" s="120">
        <v>28</v>
      </c>
      <c r="L244" s="187">
        <f>SUM(H244:K244)</f>
        <v>414.40000000000003</v>
      </c>
      <c r="M244" s="134">
        <f>+L244*G244</f>
        <v>9961.4093600000015</v>
      </c>
    </row>
    <row r="245" spans="2:13" outlineLevel="4">
      <c r="B245" s="116" t="s">
        <v>77</v>
      </c>
      <c r="C245" s="129" t="s">
        <v>563</v>
      </c>
      <c r="D245" s="129" t="s">
        <v>564</v>
      </c>
      <c r="E245" s="189" t="s">
        <v>234</v>
      </c>
      <c r="F245" s="130"/>
      <c r="G245" s="131">
        <v>10.665225000000001</v>
      </c>
      <c r="H245" s="118"/>
      <c r="I245" s="183">
        <v>362.25000000000006</v>
      </c>
      <c r="J245" s="118"/>
      <c r="K245" s="120">
        <v>28</v>
      </c>
      <c r="L245" s="187">
        <f>SUM(H245:K245)</f>
        <v>390.25000000000006</v>
      </c>
      <c r="M245" s="134">
        <f>+L245*G245</f>
        <v>4162.1040562500011</v>
      </c>
    </row>
    <row r="246" spans="2:13" outlineLevel="3">
      <c r="B246" s="116"/>
      <c r="C246" s="158" t="s">
        <v>565</v>
      </c>
      <c r="D246" s="158" t="s">
        <v>566</v>
      </c>
      <c r="E246" s="188"/>
      <c r="F246" s="159"/>
      <c r="G246" s="116"/>
      <c r="H246" s="118"/>
      <c r="I246" s="118"/>
      <c r="J246" s="118"/>
      <c r="K246" s="120"/>
      <c r="L246" s="178"/>
      <c r="M246" s="160">
        <f>SUM(M247:M247)</f>
        <v>9351.8540000000012</v>
      </c>
    </row>
    <row r="247" spans="2:13" outlineLevel="4">
      <c r="B247" s="116" t="s">
        <v>567</v>
      </c>
      <c r="C247" s="129" t="s">
        <v>568</v>
      </c>
      <c r="D247" s="195" t="s">
        <v>569</v>
      </c>
      <c r="E247" s="196" t="s">
        <v>346</v>
      </c>
      <c r="F247" s="130"/>
      <c r="G247" s="136">
        <v>228.09400000000002</v>
      </c>
      <c r="H247" s="118"/>
      <c r="I247" s="118"/>
      <c r="J247" s="118"/>
      <c r="K247" s="120">
        <v>41</v>
      </c>
      <c r="L247" s="187">
        <f>SUM(H247:K247)</f>
        <v>41</v>
      </c>
      <c r="M247" s="134">
        <f>+L247*G247</f>
        <v>9351.8540000000012</v>
      </c>
    </row>
    <row r="248" spans="2:13" outlineLevel="3">
      <c r="B248" s="116"/>
      <c r="C248" s="158" t="s">
        <v>570</v>
      </c>
      <c r="D248" s="158" t="s">
        <v>571</v>
      </c>
      <c r="E248" s="188"/>
      <c r="F248" s="159"/>
      <c r="G248" s="116"/>
      <c r="H248" s="118"/>
      <c r="I248" s="118"/>
      <c r="J248" s="118"/>
      <c r="K248" s="120"/>
      <c r="L248" s="178"/>
      <c r="M248" s="160">
        <f>SUM(M249)</f>
        <v>29728.696560000004</v>
      </c>
    </row>
    <row r="249" spans="2:13" s="228" customFormat="1" outlineLevel="4">
      <c r="B249" s="221" t="s">
        <v>572</v>
      </c>
      <c r="C249" s="222" t="s">
        <v>573</v>
      </c>
      <c r="D249" s="222" t="s">
        <v>574</v>
      </c>
      <c r="E249" s="223" t="s">
        <v>424</v>
      </c>
      <c r="F249" s="224"/>
      <c r="G249" s="229">
        <v>6862.5800000000008</v>
      </c>
      <c r="H249" s="230"/>
      <c r="I249" s="231">
        <f>+(780+80)*3.8/1000</f>
        <v>3.2679999999999998</v>
      </c>
      <c r="J249" s="231"/>
      <c r="K249" s="231">
        <f>+(280)*3.8/1000</f>
        <v>1.0640000000000001</v>
      </c>
      <c r="L249" s="226">
        <f>SUM(H249:K249)</f>
        <v>4.3319999999999999</v>
      </c>
      <c r="M249" s="227">
        <f>+L249*G249</f>
        <v>29728.696560000004</v>
      </c>
    </row>
    <row r="250" spans="2:13" outlineLevel="3">
      <c r="B250" s="116"/>
      <c r="C250" s="158" t="s">
        <v>575</v>
      </c>
      <c r="D250" s="158" t="s">
        <v>576</v>
      </c>
      <c r="E250" s="188"/>
      <c r="F250" s="159"/>
      <c r="G250" s="116"/>
      <c r="H250" s="118"/>
      <c r="I250" s="118"/>
      <c r="J250" s="118"/>
      <c r="K250" s="120"/>
      <c r="L250" s="178"/>
      <c r="M250" s="160">
        <f>SUM(M251)</f>
        <v>374.07416000000001</v>
      </c>
    </row>
    <row r="251" spans="2:13" outlineLevel="4">
      <c r="B251" s="116" t="s">
        <v>77</v>
      </c>
      <c r="C251" s="129" t="s">
        <v>577</v>
      </c>
      <c r="D251" s="129" t="s">
        <v>578</v>
      </c>
      <c r="E251" s="189" t="s">
        <v>346</v>
      </c>
      <c r="F251" s="130"/>
      <c r="G251" s="131">
        <v>228.09400000000002</v>
      </c>
      <c r="H251" s="118"/>
      <c r="I251" s="183">
        <v>0.44</v>
      </c>
      <c r="J251" s="118"/>
      <c r="K251" s="120">
        <v>1.2</v>
      </c>
      <c r="L251" s="187">
        <f>SUM(H251:K251)</f>
        <v>1.64</v>
      </c>
      <c r="M251" s="134">
        <f>+L251*G251</f>
        <v>374.07416000000001</v>
      </c>
    </row>
    <row r="252" spans="2:13" outlineLevel="3">
      <c r="B252" s="116"/>
      <c r="C252" s="129"/>
      <c r="D252" s="129"/>
      <c r="E252" s="189"/>
      <c r="F252" s="130"/>
      <c r="G252" s="131"/>
      <c r="H252" s="118"/>
      <c r="I252" s="183"/>
      <c r="J252" s="118"/>
      <c r="K252" s="120"/>
      <c r="L252" s="187"/>
      <c r="M252" s="134"/>
    </row>
    <row r="253" spans="2:13" outlineLevel="2">
      <c r="B253" s="116"/>
      <c r="C253" s="126" t="s">
        <v>579</v>
      </c>
      <c r="D253" s="126" t="s">
        <v>580</v>
      </c>
      <c r="E253" s="118" t="s">
        <v>99</v>
      </c>
      <c r="F253" s="127"/>
      <c r="G253" s="131"/>
      <c r="H253" s="118"/>
      <c r="I253" s="118"/>
      <c r="J253" s="118"/>
      <c r="K253" s="120"/>
      <c r="L253" s="178"/>
      <c r="M253" s="128">
        <f>+M254+M258+M260+M262</f>
        <v>319575.81013125001</v>
      </c>
    </row>
    <row r="254" spans="2:13" outlineLevel="3">
      <c r="B254" s="116"/>
      <c r="C254" s="158" t="s">
        <v>581</v>
      </c>
      <c r="D254" s="158" t="s">
        <v>582</v>
      </c>
      <c r="E254" s="188"/>
      <c r="F254" s="159"/>
      <c r="G254" s="131"/>
      <c r="H254" s="118"/>
      <c r="I254" s="118"/>
      <c r="J254" s="118"/>
      <c r="K254" s="120"/>
      <c r="L254" s="178"/>
      <c r="M254" s="160">
        <f>SUM(M255:M257)</f>
        <v>96083.50543125</v>
      </c>
    </row>
    <row r="255" spans="2:13" outlineLevel="4">
      <c r="B255" s="116" t="s">
        <v>77</v>
      </c>
      <c r="C255" s="129" t="s">
        <v>583</v>
      </c>
      <c r="D255" s="129" t="s">
        <v>584</v>
      </c>
      <c r="E255" s="189" t="s">
        <v>234</v>
      </c>
      <c r="F255" s="130"/>
      <c r="G255" s="131">
        <v>22.383749999999999</v>
      </c>
      <c r="H255" s="118"/>
      <c r="I255" s="183">
        <v>417.90000000000003</v>
      </c>
      <c r="J255" s="118"/>
      <c r="K255" s="120">
        <v>30</v>
      </c>
      <c r="L255" s="187">
        <f>SUM(H255:K255)</f>
        <v>447.90000000000003</v>
      </c>
      <c r="M255" s="134">
        <f>+L255*G255</f>
        <v>10025.681625000001</v>
      </c>
    </row>
    <row r="256" spans="2:13" outlineLevel="4">
      <c r="B256" s="116" t="s">
        <v>77</v>
      </c>
      <c r="C256" s="129" t="s">
        <v>585</v>
      </c>
      <c r="D256" s="129" t="s">
        <v>586</v>
      </c>
      <c r="E256" s="189" t="s">
        <v>234</v>
      </c>
      <c r="F256" s="130"/>
      <c r="G256" s="131">
        <v>99.438124999999985</v>
      </c>
      <c r="H256" s="118"/>
      <c r="I256" s="183">
        <v>386.40000000000003</v>
      </c>
      <c r="J256" s="118"/>
      <c r="K256" s="120">
        <v>30</v>
      </c>
      <c r="L256" s="187">
        <f>SUM(H256:K256)</f>
        <v>416.40000000000003</v>
      </c>
      <c r="M256" s="134">
        <f>+L256*G256</f>
        <v>41406.035250000001</v>
      </c>
    </row>
    <row r="257" spans="2:13" outlineLevel="4">
      <c r="B257" s="116" t="s">
        <v>77</v>
      </c>
      <c r="C257" s="129" t="s">
        <v>587</v>
      </c>
      <c r="D257" s="129" t="s">
        <v>588</v>
      </c>
      <c r="E257" s="189" t="s">
        <v>234</v>
      </c>
      <c r="F257" s="130"/>
      <c r="G257" s="131">
        <v>113.835025</v>
      </c>
      <c r="H257" s="118"/>
      <c r="I257" s="183">
        <v>362.25000000000006</v>
      </c>
      <c r="J257" s="118"/>
      <c r="K257" s="120">
        <v>30</v>
      </c>
      <c r="L257" s="187">
        <f>SUM(H257:K257)</f>
        <v>392.25000000000006</v>
      </c>
      <c r="M257" s="134">
        <f>+L257*G257</f>
        <v>44651.788556250009</v>
      </c>
    </row>
    <row r="258" spans="2:13" outlineLevel="3">
      <c r="B258" s="116"/>
      <c r="C258" s="158" t="s">
        <v>589</v>
      </c>
      <c r="D258" s="158" t="s">
        <v>590</v>
      </c>
      <c r="E258" s="188"/>
      <c r="F258" s="159"/>
      <c r="G258" s="131"/>
      <c r="H258" s="118"/>
      <c r="I258" s="118"/>
      <c r="J258" s="118"/>
      <c r="K258" s="120"/>
      <c r="L258" s="178"/>
      <c r="M258" s="160">
        <f>SUM(M259:M259)</f>
        <v>74249.820000000007</v>
      </c>
    </row>
    <row r="259" spans="2:13" outlineLevel="4">
      <c r="B259" s="116" t="s">
        <v>567</v>
      </c>
      <c r="C259" s="129" t="s">
        <v>591</v>
      </c>
      <c r="D259" s="129" t="s">
        <v>592</v>
      </c>
      <c r="E259" s="189" t="s">
        <v>346</v>
      </c>
      <c r="F259" s="130"/>
      <c r="G259" s="131">
        <v>1856.2455</v>
      </c>
      <c r="H259" s="118"/>
      <c r="I259" s="118"/>
      <c r="J259" s="118"/>
      <c r="K259" s="120">
        <v>40</v>
      </c>
      <c r="L259" s="187">
        <f>SUM(H259:K259)</f>
        <v>40</v>
      </c>
      <c r="M259" s="134">
        <f>+L259*G259</f>
        <v>74249.820000000007</v>
      </c>
    </row>
    <row r="260" spans="2:13" outlineLevel="3">
      <c r="B260" s="116"/>
      <c r="C260" s="158" t="s">
        <v>593</v>
      </c>
      <c r="D260" s="158" t="s">
        <v>594</v>
      </c>
      <c r="E260" s="188"/>
      <c r="F260" s="159"/>
      <c r="G260" s="131"/>
      <c r="H260" s="118"/>
      <c r="I260" s="118"/>
      <c r="J260" s="118"/>
      <c r="K260" s="120"/>
      <c r="L260" s="178"/>
      <c r="M260" s="160">
        <f>SUM(M261)</f>
        <v>146198.24208000003</v>
      </c>
    </row>
    <row r="261" spans="2:13" s="228" customFormat="1" outlineLevel="4">
      <c r="B261" s="221" t="s">
        <v>572</v>
      </c>
      <c r="C261" s="222" t="s">
        <v>595</v>
      </c>
      <c r="D261" s="222" t="s">
        <v>596</v>
      </c>
      <c r="E261" s="223" t="s">
        <v>424</v>
      </c>
      <c r="F261" s="224"/>
      <c r="G261" s="229">
        <v>33748.44000000001</v>
      </c>
      <c r="H261" s="230"/>
      <c r="I261" s="231">
        <f>+(780+80)*3.8/1000</f>
        <v>3.2679999999999998</v>
      </c>
      <c r="J261" s="231"/>
      <c r="K261" s="231">
        <f>+(280)*3.8/1000</f>
        <v>1.0640000000000001</v>
      </c>
      <c r="L261" s="226">
        <f>SUM(H261:K261)</f>
        <v>4.3319999999999999</v>
      </c>
      <c r="M261" s="227">
        <f>+L261*G261</f>
        <v>146198.24208000003</v>
      </c>
    </row>
    <row r="262" spans="2:13" outlineLevel="3">
      <c r="B262" s="116"/>
      <c r="C262" s="158" t="s">
        <v>597</v>
      </c>
      <c r="D262" s="158" t="s">
        <v>598</v>
      </c>
      <c r="E262" s="188"/>
      <c r="F262" s="159"/>
      <c r="G262" s="131"/>
      <c r="H262" s="118"/>
      <c r="I262" s="118"/>
      <c r="J262" s="118"/>
      <c r="K262" s="120"/>
      <c r="L262" s="178"/>
      <c r="M262" s="160">
        <f>SUM(M263)</f>
        <v>3044.24262</v>
      </c>
    </row>
    <row r="263" spans="2:13" outlineLevel="4">
      <c r="B263" s="116" t="s">
        <v>77</v>
      </c>
      <c r="C263" s="129" t="s">
        <v>599</v>
      </c>
      <c r="D263" s="129" t="s">
        <v>600</v>
      </c>
      <c r="E263" s="189" t="s">
        <v>346</v>
      </c>
      <c r="F263" s="130"/>
      <c r="G263" s="131">
        <v>1856.2455</v>
      </c>
      <c r="H263" s="118"/>
      <c r="I263" s="183">
        <v>0.44</v>
      </c>
      <c r="J263" s="118"/>
      <c r="K263" s="120">
        <v>1.2</v>
      </c>
      <c r="L263" s="187">
        <f>SUM(H263:K263)</f>
        <v>1.64</v>
      </c>
      <c r="M263" s="134">
        <f>+L263*G263</f>
        <v>3044.24262</v>
      </c>
    </row>
    <row r="264" spans="2:13" outlineLevel="3">
      <c r="B264" s="116"/>
      <c r="C264" s="129"/>
      <c r="D264" s="129"/>
      <c r="E264" s="189"/>
      <c r="F264" s="130"/>
      <c r="G264" s="131"/>
      <c r="H264" s="118"/>
      <c r="I264" s="183"/>
      <c r="J264" s="118"/>
      <c r="K264" s="120"/>
      <c r="L264" s="187"/>
      <c r="M264" s="134"/>
    </row>
    <row r="265" spans="2:13" outlineLevel="2">
      <c r="B265" s="116"/>
      <c r="C265" s="126" t="s">
        <v>601</v>
      </c>
      <c r="D265" s="126" t="s">
        <v>602</v>
      </c>
      <c r="E265" s="118" t="s">
        <v>99</v>
      </c>
      <c r="F265" s="127"/>
      <c r="G265" s="131"/>
      <c r="H265" s="118"/>
      <c r="I265" s="118"/>
      <c r="J265" s="118"/>
      <c r="K265" s="120"/>
      <c r="L265" s="178"/>
      <c r="M265" s="128">
        <f>+M266+M269+M271+M273</f>
        <v>361997.68949108961</v>
      </c>
    </row>
    <row r="266" spans="2:13" outlineLevel="3">
      <c r="B266" s="116"/>
      <c r="C266" s="158" t="s">
        <v>603</v>
      </c>
      <c r="D266" s="158" t="s">
        <v>604</v>
      </c>
      <c r="E266" s="188"/>
      <c r="F266" s="159"/>
      <c r="G266" s="116"/>
      <c r="H266" s="118"/>
      <c r="I266" s="118"/>
      <c r="J266" s="118"/>
      <c r="K266" s="120"/>
      <c r="L266" s="178"/>
      <c r="M266" s="160">
        <f>SUM(M267:M268)</f>
        <v>146987.70754617633</v>
      </c>
    </row>
    <row r="267" spans="2:13" outlineLevel="4">
      <c r="B267" s="116" t="s">
        <v>77</v>
      </c>
      <c r="C267" s="195" t="s">
        <v>605</v>
      </c>
      <c r="D267" s="232" t="s">
        <v>606</v>
      </c>
      <c r="E267" s="196" t="s">
        <v>500</v>
      </c>
      <c r="F267" s="130"/>
      <c r="G267" s="136">
        <v>1117.3</v>
      </c>
      <c r="H267" s="118"/>
      <c r="I267" s="183">
        <v>74</v>
      </c>
      <c r="J267" s="118"/>
      <c r="K267" s="120"/>
      <c r="L267" s="187">
        <f>SUM(H267:K267)</f>
        <v>74</v>
      </c>
      <c r="M267" s="134">
        <f>+L267*G267</f>
        <v>82680.2</v>
      </c>
    </row>
    <row r="268" spans="2:13" outlineLevel="4">
      <c r="B268" s="116" t="s">
        <v>77</v>
      </c>
      <c r="C268" s="195"/>
      <c r="D268" s="232" t="s">
        <v>607</v>
      </c>
      <c r="E268" s="189" t="s">
        <v>234</v>
      </c>
      <c r="F268" s="130"/>
      <c r="G268" s="136">
        <v>162.02445841818178</v>
      </c>
      <c r="H268" s="118">
        <v>30</v>
      </c>
      <c r="I268" s="183">
        <f>396.9-30</f>
        <v>366.9</v>
      </c>
      <c r="J268" s="118"/>
      <c r="K268" s="120"/>
      <c r="L268" s="187">
        <f>SUM(H268:K268)</f>
        <v>396.9</v>
      </c>
      <c r="M268" s="134">
        <f>+L268*G268</f>
        <v>64307.507546176348</v>
      </c>
    </row>
    <row r="269" spans="2:13" outlineLevel="3">
      <c r="B269" s="116"/>
      <c r="C269" s="158" t="s">
        <v>608</v>
      </c>
      <c r="D269" s="158" t="s">
        <v>609</v>
      </c>
      <c r="E269" s="188"/>
      <c r="F269" s="159"/>
      <c r="G269" s="116"/>
      <c r="H269" s="118"/>
      <c r="I269" s="118"/>
      <c r="J269" s="118"/>
      <c r="K269" s="120"/>
      <c r="L269" s="178"/>
      <c r="M269" s="160">
        <f>SUM(M270)</f>
        <v>66332.380499999999</v>
      </c>
    </row>
    <row r="270" spans="2:13" outlineLevel="4">
      <c r="B270" s="116" t="s">
        <v>567</v>
      </c>
      <c r="C270" s="129" t="s">
        <v>610</v>
      </c>
      <c r="D270" s="129" t="s">
        <v>611</v>
      </c>
      <c r="E270" s="189" t="s">
        <v>346</v>
      </c>
      <c r="F270" s="130"/>
      <c r="G270" s="131">
        <v>1542.6134999999999</v>
      </c>
      <c r="H270" s="118"/>
      <c r="I270" s="118"/>
      <c r="J270" s="118"/>
      <c r="K270" s="120">
        <v>43</v>
      </c>
      <c r="L270" s="187">
        <f>SUM(H270:K270)</f>
        <v>43</v>
      </c>
      <c r="M270" s="134">
        <f>+L270*G270</f>
        <v>66332.380499999999</v>
      </c>
    </row>
    <row r="271" spans="2:13" outlineLevel="3">
      <c r="B271" s="116"/>
      <c r="C271" s="158" t="s">
        <v>612</v>
      </c>
      <c r="D271" s="158" t="s">
        <v>613</v>
      </c>
      <c r="E271" s="188"/>
      <c r="F271" s="159"/>
      <c r="G271" s="116"/>
      <c r="H271" s="118"/>
      <c r="I271" s="118"/>
      <c r="J271" s="118"/>
      <c r="K271" s="120"/>
      <c r="L271" s="178"/>
      <c r="M271" s="160">
        <f>SUM(M272:M272)</f>
        <v>147998.85150491327</v>
      </c>
    </row>
    <row r="272" spans="2:13" s="228" customFormat="1" outlineLevel="4">
      <c r="B272" s="221" t="s">
        <v>572</v>
      </c>
      <c r="C272" s="222" t="s">
        <v>614</v>
      </c>
      <c r="D272" s="222" t="s">
        <v>615</v>
      </c>
      <c r="E272" s="223" t="s">
        <v>424</v>
      </c>
      <c r="F272" s="224"/>
      <c r="G272" s="229">
        <v>34164.0931451785</v>
      </c>
      <c r="H272" s="230"/>
      <c r="I272" s="231">
        <f>+(780+80)*3.8/1000</f>
        <v>3.2679999999999998</v>
      </c>
      <c r="J272" s="231"/>
      <c r="K272" s="231">
        <f>+(280)*3.8/1000</f>
        <v>1.0640000000000001</v>
      </c>
      <c r="L272" s="226">
        <f>SUM(H272:K272)</f>
        <v>4.3319999999999999</v>
      </c>
      <c r="M272" s="227">
        <f>+L272*G272</f>
        <v>147998.85150491327</v>
      </c>
    </row>
    <row r="273" spans="2:13" outlineLevel="3">
      <c r="B273" s="116"/>
      <c r="C273" s="158" t="s">
        <v>616</v>
      </c>
      <c r="D273" s="158" t="s">
        <v>617</v>
      </c>
      <c r="E273" s="188"/>
      <c r="F273" s="159"/>
      <c r="G273" s="131"/>
      <c r="H273" s="118"/>
      <c r="I273" s="118"/>
      <c r="J273" s="118"/>
      <c r="K273" s="120"/>
      <c r="L273" s="178"/>
      <c r="M273" s="160">
        <f>SUM(M274)</f>
        <v>678.74993999999992</v>
      </c>
    </row>
    <row r="274" spans="2:13" outlineLevel="4">
      <c r="B274" s="116" t="s">
        <v>77</v>
      </c>
      <c r="C274" s="129" t="s">
        <v>618</v>
      </c>
      <c r="D274" s="129" t="s">
        <v>619</v>
      </c>
      <c r="E274" s="189" t="s">
        <v>346</v>
      </c>
      <c r="F274" s="130"/>
      <c r="G274" s="131">
        <v>1542.6134999999999</v>
      </c>
      <c r="H274" s="118"/>
      <c r="I274" s="183">
        <v>0.44</v>
      </c>
      <c r="J274" s="118"/>
      <c r="K274" s="120">
        <v>0</v>
      </c>
      <c r="L274" s="187">
        <f>SUM(H274:K274)</f>
        <v>0.44</v>
      </c>
      <c r="M274" s="134">
        <f>+L274*G274</f>
        <v>678.74993999999992</v>
      </c>
    </row>
    <row r="275" spans="2:13" outlineLevel="3">
      <c r="B275" s="116"/>
      <c r="C275" s="129"/>
      <c r="D275" s="129"/>
      <c r="E275" s="189"/>
      <c r="F275" s="130"/>
      <c r="G275" s="131"/>
      <c r="H275" s="118"/>
      <c r="I275" s="183"/>
      <c r="J275" s="118"/>
      <c r="K275" s="120"/>
      <c r="L275" s="187"/>
      <c r="M275" s="134"/>
    </row>
    <row r="276" spans="2:13" outlineLevel="2">
      <c r="B276" s="116"/>
      <c r="C276" s="126" t="s">
        <v>620</v>
      </c>
      <c r="D276" s="126" t="s">
        <v>621</v>
      </c>
      <c r="E276" s="118" t="s">
        <v>99</v>
      </c>
      <c r="F276" s="127"/>
      <c r="G276" s="131"/>
      <c r="H276" s="118"/>
      <c r="I276" s="118"/>
      <c r="J276" s="118"/>
      <c r="K276" s="120"/>
      <c r="L276" s="178"/>
      <c r="M276" s="128">
        <f>+M277+M279+M281+M283+M286</f>
        <v>708601.7128618334</v>
      </c>
    </row>
    <row r="277" spans="2:13" outlineLevel="3">
      <c r="B277" s="116"/>
      <c r="C277" s="158" t="s">
        <v>622</v>
      </c>
      <c r="D277" s="158" t="s">
        <v>623</v>
      </c>
      <c r="E277" s="188"/>
      <c r="F277" s="159"/>
      <c r="G277" s="116"/>
      <c r="H277" s="118"/>
      <c r="I277" s="118"/>
      <c r="J277" s="118"/>
      <c r="K277" s="120"/>
      <c r="L277" s="178"/>
      <c r="M277" s="160">
        <f>SUM(M278)</f>
        <v>186163.0463625</v>
      </c>
    </row>
    <row r="278" spans="2:13" outlineLevel="4">
      <c r="B278" s="116" t="s">
        <v>77</v>
      </c>
      <c r="C278" s="129" t="s">
        <v>624</v>
      </c>
      <c r="D278" s="195" t="s">
        <v>625</v>
      </c>
      <c r="E278" s="196" t="s">
        <v>234</v>
      </c>
      <c r="F278" s="130"/>
      <c r="G278" s="136">
        <v>474.60304999999994</v>
      </c>
      <c r="H278" s="118"/>
      <c r="I278" s="183">
        <v>362.25000000000006</v>
      </c>
      <c r="J278" s="118"/>
      <c r="K278" s="120">
        <v>30</v>
      </c>
      <c r="L278" s="187">
        <f>SUM(H278:K278)</f>
        <v>392.25000000000006</v>
      </c>
      <c r="M278" s="134">
        <f>+L278*G278</f>
        <v>186163.0463625</v>
      </c>
    </row>
    <row r="279" spans="2:13" outlineLevel="3">
      <c r="B279" s="116"/>
      <c r="C279" s="158" t="s">
        <v>626</v>
      </c>
      <c r="D279" s="158" t="s">
        <v>613</v>
      </c>
      <c r="E279" s="188"/>
      <c r="F279" s="159"/>
      <c r="G279" s="116"/>
      <c r="H279" s="118"/>
      <c r="I279" s="118"/>
      <c r="J279" s="118"/>
      <c r="K279" s="120"/>
      <c r="L279" s="178"/>
      <c r="M279" s="160">
        <f>SUM(M280)</f>
        <v>146728.45849933336</v>
      </c>
    </row>
    <row r="280" spans="2:13" s="228" customFormat="1" outlineLevel="4">
      <c r="B280" s="221" t="s">
        <v>572</v>
      </c>
      <c r="C280" s="222" t="s">
        <v>627</v>
      </c>
      <c r="D280" s="222" t="s">
        <v>628</v>
      </c>
      <c r="E280" s="223" t="s">
        <v>424</v>
      </c>
      <c r="F280" s="224"/>
      <c r="G280" s="229">
        <v>35102.502033333338</v>
      </c>
      <c r="H280" s="230"/>
      <c r="I280" s="231">
        <f>(((780+80)*3.8/1000)+((780)*3.8/1000))/2</f>
        <v>3.1159999999999997</v>
      </c>
      <c r="J280" s="231"/>
      <c r="K280" s="231">
        <f>+(280)*3.8/1000</f>
        <v>1.0640000000000001</v>
      </c>
      <c r="L280" s="226">
        <f>SUM(H280:K280)</f>
        <v>4.18</v>
      </c>
      <c r="M280" s="227">
        <f>+L280*G280</f>
        <v>146728.45849933336</v>
      </c>
    </row>
    <row r="281" spans="2:13" outlineLevel="3">
      <c r="B281" s="116"/>
      <c r="C281" s="158" t="s">
        <v>629</v>
      </c>
      <c r="D281" s="158" t="s">
        <v>630</v>
      </c>
      <c r="E281" s="188"/>
      <c r="F281" s="159"/>
      <c r="G281" s="116"/>
      <c r="H281" s="118"/>
      <c r="I281" s="118"/>
      <c r="J281" s="118"/>
      <c r="K281" s="120"/>
      <c r="L281" s="178"/>
      <c r="M281" s="160">
        <f>SUM(M282)</f>
        <v>6404.938000000001</v>
      </c>
    </row>
    <row r="282" spans="2:13" outlineLevel="4">
      <c r="B282" s="116" t="s">
        <v>77</v>
      </c>
      <c r="C282" s="129" t="s">
        <v>631</v>
      </c>
      <c r="D282" s="129" t="s">
        <v>632</v>
      </c>
      <c r="E282" s="189" t="s">
        <v>346</v>
      </c>
      <c r="F282" s="130"/>
      <c r="G282" s="131">
        <v>3905.4500000000007</v>
      </c>
      <c r="H282" s="118"/>
      <c r="I282" s="183">
        <v>0.44</v>
      </c>
      <c r="J282" s="118"/>
      <c r="K282" s="120">
        <v>1.2</v>
      </c>
      <c r="L282" s="187">
        <f>SUM(H282:K282)</f>
        <v>1.64</v>
      </c>
      <c r="M282" s="134">
        <f>+L282*G282</f>
        <v>6404.938000000001</v>
      </c>
    </row>
    <row r="283" spans="2:13" outlineLevel="3">
      <c r="B283" s="116"/>
      <c r="C283" s="158" t="s">
        <v>633</v>
      </c>
      <c r="D283" s="158" t="s">
        <v>634</v>
      </c>
      <c r="E283" s="188"/>
      <c r="F283" s="159"/>
      <c r="G283" s="116"/>
      <c r="H283" s="118"/>
      <c r="I283" s="118"/>
      <c r="J283" s="118"/>
      <c r="K283" s="120"/>
      <c r="L283" s="178"/>
      <c r="M283" s="160">
        <f>SUM(M284:M285)</f>
        <v>251436.68000000002</v>
      </c>
    </row>
    <row r="284" spans="2:13" outlineLevel="4">
      <c r="B284" s="116" t="s">
        <v>635</v>
      </c>
      <c r="C284" s="129" t="s">
        <v>636</v>
      </c>
      <c r="D284" s="129" t="s">
        <v>637</v>
      </c>
      <c r="E284" s="189" t="s">
        <v>346</v>
      </c>
      <c r="F284" s="130"/>
      <c r="G284" s="131">
        <v>3714.01</v>
      </c>
      <c r="H284" s="118"/>
      <c r="I284" s="118"/>
      <c r="J284" s="118"/>
      <c r="K284" s="120">
        <v>61</v>
      </c>
      <c r="L284" s="187">
        <f>SUM(H284:K284)</f>
        <v>61</v>
      </c>
      <c r="M284" s="134">
        <f>+L284*G284</f>
        <v>226554.61000000002</v>
      </c>
    </row>
    <row r="285" spans="2:13" outlineLevel="4">
      <c r="B285" s="116" t="s">
        <v>635</v>
      </c>
      <c r="C285" s="129" t="s">
        <v>638</v>
      </c>
      <c r="D285" s="129" t="s">
        <v>639</v>
      </c>
      <c r="E285" s="189" t="s">
        <v>346</v>
      </c>
      <c r="F285" s="130"/>
      <c r="G285" s="131">
        <v>421.73</v>
      </c>
      <c r="H285" s="118"/>
      <c r="I285" s="118"/>
      <c r="J285" s="118"/>
      <c r="K285" s="120">
        <v>59</v>
      </c>
      <c r="L285" s="187">
        <f>SUM(H285:K285)</f>
        <v>59</v>
      </c>
      <c r="M285" s="134">
        <f>+L285*G285</f>
        <v>24882.07</v>
      </c>
    </row>
    <row r="286" spans="2:13" outlineLevel="3">
      <c r="B286" s="116"/>
      <c r="C286" s="158" t="s">
        <v>640</v>
      </c>
      <c r="D286" s="158" t="s">
        <v>641</v>
      </c>
      <c r="E286" s="188"/>
      <c r="F286" s="159"/>
      <c r="G286" s="116"/>
      <c r="H286" s="118"/>
      <c r="I286" s="118"/>
      <c r="J286" s="118"/>
      <c r="K286" s="120"/>
      <c r="L286" s="178"/>
      <c r="M286" s="160">
        <f>SUM(M287:M287)</f>
        <v>117868.59</v>
      </c>
    </row>
    <row r="287" spans="2:13" outlineLevel="4">
      <c r="B287" s="116" t="s">
        <v>567</v>
      </c>
      <c r="C287" s="129" t="s">
        <v>642</v>
      </c>
      <c r="D287" s="218" t="s">
        <v>643</v>
      </c>
      <c r="E287" s="189" t="s">
        <v>346</v>
      </c>
      <c r="F287" s="130"/>
      <c r="G287" s="131">
        <v>4135.74</v>
      </c>
      <c r="H287" s="118"/>
      <c r="I287" s="118"/>
      <c r="J287" s="118"/>
      <c r="K287" s="120">
        <v>28.5</v>
      </c>
      <c r="L287" s="187">
        <f>SUM(H287:K287)</f>
        <v>28.5</v>
      </c>
      <c r="M287" s="134">
        <f>+L287*G287</f>
        <v>117868.59</v>
      </c>
    </row>
    <row r="288" spans="2:13" outlineLevel="3">
      <c r="B288" s="116"/>
      <c r="C288" s="129"/>
      <c r="D288" s="218"/>
      <c r="E288" s="189"/>
      <c r="F288" s="130"/>
      <c r="G288" s="131"/>
      <c r="H288" s="118"/>
      <c r="I288" s="118"/>
      <c r="J288" s="118"/>
      <c r="K288" s="120"/>
      <c r="L288" s="187"/>
      <c r="M288" s="134"/>
    </row>
    <row r="289" spans="2:13" outlineLevel="2">
      <c r="B289" s="116"/>
      <c r="C289" s="126" t="s">
        <v>644</v>
      </c>
      <c r="D289" s="126" t="s">
        <v>645</v>
      </c>
      <c r="E289" s="118" t="s">
        <v>99</v>
      </c>
      <c r="F289" s="127"/>
      <c r="G289" s="131"/>
      <c r="H289" s="118"/>
      <c r="I289" s="118"/>
      <c r="J289" s="118"/>
      <c r="K289" s="120"/>
      <c r="L289" s="178"/>
      <c r="M289" s="128">
        <f>+M290+M294+M296+M298+M300</f>
        <v>121901.85471333336</v>
      </c>
    </row>
    <row r="290" spans="2:13" outlineLevel="3">
      <c r="B290" s="116"/>
      <c r="C290" s="158" t="s">
        <v>646</v>
      </c>
      <c r="D290" s="158" t="s">
        <v>647</v>
      </c>
      <c r="E290" s="188"/>
      <c r="F290" s="159"/>
      <c r="G290" s="116"/>
      <c r="H290" s="118"/>
      <c r="I290" s="118"/>
      <c r="J290" s="118"/>
      <c r="K290" s="120"/>
      <c r="L290" s="178"/>
      <c r="M290" s="160">
        <f>SUM(M291:M293)</f>
        <v>43639.402500000018</v>
      </c>
    </row>
    <row r="291" spans="2:13" outlineLevel="4">
      <c r="B291" s="116" t="s">
        <v>77</v>
      </c>
      <c r="C291" s="129" t="s">
        <v>648</v>
      </c>
      <c r="D291" s="195" t="s">
        <v>649</v>
      </c>
      <c r="E291" s="196" t="s">
        <v>234</v>
      </c>
      <c r="F291" s="130"/>
      <c r="G291" s="136">
        <v>95.190000000000026</v>
      </c>
      <c r="H291" s="118"/>
      <c r="I291" s="183">
        <v>362.25000000000006</v>
      </c>
      <c r="J291" s="118"/>
      <c r="K291" s="120">
        <v>30</v>
      </c>
      <c r="L291" s="187">
        <f>SUM(H291:K291)</f>
        <v>392.25000000000006</v>
      </c>
      <c r="M291" s="134">
        <f>+L291*G291</f>
        <v>37338.277500000018</v>
      </c>
    </row>
    <row r="292" spans="2:13" outlineLevel="4">
      <c r="B292" s="116" t="s">
        <v>77</v>
      </c>
      <c r="C292" s="129" t="s">
        <v>650</v>
      </c>
      <c r="D292" s="195" t="s">
        <v>651</v>
      </c>
      <c r="E292" s="196" t="s">
        <v>234</v>
      </c>
      <c r="F292" s="130"/>
      <c r="G292" s="136">
        <v>12.5</v>
      </c>
      <c r="H292" s="118"/>
      <c r="I292" s="183">
        <v>386.40000000000003</v>
      </c>
      <c r="J292" s="118"/>
      <c r="K292" s="120">
        <v>30</v>
      </c>
      <c r="L292" s="187">
        <f>SUM(H292:K292)</f>
        <v>416.40000000000003</v>
      </c>
      <c r="M292" s="134">
        <f>+L292*G292</f>
        <v>5205</v>
      </c>
    </row>
    <row r="293" spans="2:13" outlineLevel="4">
      <c r="B293" s="116" t="s">
        <v>77</v>
      </c>
      <c r="C293" s="129" t="s">
        <v>652</v>
      </c>
      <c r="D293" s="195" t="s">
        <v>653</v>
      </c>
      <c r="E293" s="196" t="s">
        <v>234</v>
      </c>
      <c r="F293" s="130"/>
      <c r="G293" s="136">
        <v>2.5</v>
      </c>
      <c r="H293" s="118"/>
      <c r="I293" s="183">
        <v>408.45000000000005</v>
      </c>
      <c r="J293" s="118"/>
      <c r="K293" s="120">
        <v>30</v>
      </c>
      <c r="L293" s="187">
        <f>SUM(H293:K293)</f>
        <v>438.45000000000005</v>
      </c>
      <c r="M293" s="134">
        <f>+L293*G293</f>
        <v>1096.125</v>
      </c>
    </row>
    <row r="294" spans="2:13" outlineLevel="3">
      <c r="B294" s="116"/>
      <c r="C294" s="158" t="s">
        <v>654</v>
      </c>
      <c r="D294" s="158" t="s">
        <v>613</v>
      </c>
      <c r="E294" s="188"/>
      <c r="F294" s="159"/>
      <c r="G294" s="116"/>
      <c r="H294" s="118"/>
      <c r="I294" s="118"/>
      <c r="J294" s="118"/>
      <c r="K294" s="120"/>
      <c r="L294" s="178"/>
      <c r="M294" s="160">
        <f>SUM(M295)</f>
        <v>38734.594213333337</v>
      </c>
    </row>
    <row r="295" spans="2:13" s="228" customFormat="1" outlineLevel="4">
      <c r="B295" s="221" t="s">
        <v>572</v>
      </c>
      <c r="C295" s="222" t="s">
        <v>655</v>
      </c>
      <c r="D295" s="222" t="s">
        <v>656</v>
      </c>
      <c r="E295" s="223" t="s">
        <v>424</v>
      </c>
      <c r="F295" s="224"/>
      <c r="G295" s="229">
        <v>9266.6493333333347</v>
      </c>
      <c r="H295" s="230"/>
      <c r="I295" s="231">
        <f>(((780+80)*3.8/1000)+((780)*3.8/1000))/2</f>
        <v>3.1159999999999997</v>
      </c>
      <c r="J295" s="231"/>
      <c r="K295" s="231">
        <f>+(280)*3.8/1000</f>
        <v>1.0640000000000001</v>
      </c>
      <c r="L295" s="226">
        <f>SUM(H295:K295)</f>
        <v>4.18</v>
      </c>
      <c r="M295" s="227">
        <f>+L295*G295</f>
        <v>38734.594213333337</v>
      </c>
    </row>
    <row r="296" spans="2:13" outlineLevel="3">
      <c r="B296" s="116"/>
      <c r="C296" s="158" t="s">
        <v>657</v>
      </c>
      <c r="D296" s="158" t="s">
        <v>658</v>
      </c>
      <c r="E296" s="188"/>
      <c r="F296" s="159"/>
      <c r="G296" s="116"/>
      <c r="H296" s="118"/>
      <c r="I296" s="118"/>
      <c r="J296" s="118"/>
      <c r="K296" s="120"/>
      <c r="L296" s="178"/>
      <c r="M296" s="160">
        <f>SUM(M297)</f>
        <v>903.55799999999999</v>
      </c>
    </row>
    <row r="297" spans="2:13" outlineLevel="4">
      <c r="B297" s="116" t="s">
        <v>77</v>
      </c>
      <c r="C297" s="129" t="s">
        <v>659</v>
      </c>
      <c r="D297" s="129" t="s">
        <v>660</v>
      </c>
      <c r="E297" s="189" t="s">
        <v>346</v>
      </c>
      <c r="F297" s="130"/>
      <c r="G297" s="131">
        <v>550.95000000000005</v>
      </c>
      <c r="H297" s="118"/>
      <c r="I297" s="183">
        <v>0.44</v>
      </c>
      <c r="J297" s="118"/>
      <c r="K297" s="120">
        <v>1.2</v>
      </c>
      <c r="L297" s="187">
        <f>SUM(H297:K297)</f>
        <v>1.64</v>
      </c>
      <c r="M297" s="134">
        <f>+L297*G297</f>
        <v>903.55799999999999</v>
      </c>
    </row>
    <row r="298" spans="2:13" outlineLevel="3">
      <c r="B298" s="116"/>
      <c r="C298" s="158" t="s">
        <v>661</v>
      </c>
      <c r="D298" s="158" t="s">
        <v>634</v>
      </c>
      <c r="E298" s="188"/>
      <c r="F298" s="159"/>
      <c r="G298" s="116"/>
      <c r="H298" s="118"/>
      <c r="I298" s="118"/>
      <c r="J298" s="118"/>
      <c r="K298" s="120"/>
      <c r="L298" s="178"/>
      <c r="M298" s="160">
        <f>SUM(M299)</f>
        <v>23228.600000000002</v>
      </c>
    </row>
    <row r="299" spans="2:13" outlineLevel="4">
      <c r="B299" s="116" t="s">
        <v>635</v>
      </c>
      <c r="C299" s="129" t="s">
        <v>662</v>
      </c>
      <c r="D299" s="129" t="s">
        <v>663</v>
      </c>
      <c r="E299" s="189" t="s">
        <v>346</v>
      </c>
      <c r="F299" s="130"/>
      <c r="G299" s="131">
        <v>540.20000000000005</v>
      </c>
      <c r="H299" s="118"/>
      <c r="I299" s="118"/>
      <c r="J299" s="118"/>
      <c r="K299" s="120">
        <v>43</v>
      </c>
      <c r="L299" s="187">
        <f>SUM(H299:K299)</f>
        <v>43</v>
      </c>
      <c r="M299" s="134">
        <f>+L299*G299</f>
        <v>23228.600000000002</v>
      </c>
    </row>
    <row r="300" spans="2:13" outlineLevel="3">
      <c r="B300" s="116"/>
      <c r="C300" s="158" t="s">
        <v>664</v>
      </c>
      <c r="D300" s="158" t="s">
        <v>641</v>
      </c>
      <c r="E300" s="188"/>
      <c r="F300" s="159"/>
      <c r="G300" s="116"/>
      <c r="H300" s="118"/>
      <c r="I300" s="118"/>
      <c r="J300" s="118"/>
      <c r="K300" s="120"/>
      <c r="L300" s="178"/>
      <c r="M300" s="160">
        <f>SUM(M301:M301)</f>
        <v>15395.7</v>
      </c>
    </row>
    <row r="301" spans="2:13" outlineLevel="4">
      <c r="B301" s="116" t="s">
        <v>567</v>
      </c>
      <c r="C301" s="129" t="s">
        <v>665</v>
      </c>
      <c r="D301" s="218" t="s">
        <v>643</v>
      </c>
      <c r="E301" s="189" t="s">
        <v>346</v>
      </c>
      <c r="F301" s="130"/>
      <c r="G301" s="131">
        <v>540.20000000000005</v>
      </c>
      <c r="H301" s="118"/>
      <c r="I301" s="118"/>
      <c r="J301" s="118"/>
      <c r="K301" s="120">
        <v>28.5</v>
      </c>
      <c r="L301" s="187">
        <f>SUM(H301:K301)</f>
        <v>28.5</v>
      </c>
      <c r="M301" s="134">
        <f>+L301*G301</f>
        <v>15395.7</v>
      </c>
    </row>
    <row r="302" spans="2:13" outlineLevel="3">
      <c r="B302" s="116"/>
      <c r="C302" s="129"/>
      <c r="D302" s="218"/>
      <c r="E302" s="189"/>
      <c r="F302" s="130"/>
      <c r="G302" s="131"/>
      <c r="H302" s="118"/>
      <c r="I302" s="118"/>
      <c r="J302" s="118"/>
      <c r="K302" s="120"/>
      <c r="L302" s="187"/>
      <c r="M302" s="134"/>
    </row>
    <row r="303" spans="2:13" outlineLevel="2">
      <c r="B303" s="116"/>
      <c r="C303" s="126" t="s">
        <v>666</v>
      </c>
      <c r="D303" s="126" t="s">
        <v>667</v>
      </c>
      <c r="E303" s="118" t="s">
        <v>99</v>
      </c>
      <c r="F303" s="127"/>
      <c r="G303" s="131"/>
      <c r="H303" s="118"/>
      <c r="I303" s="118"/>
      <c r="J303" s="118"/>
      <c r="K303" s="120"/>
      <c r="L303" s="178"/>
      <c r="M303" s="128">
        <f>+M304+M306+M308+M310</f>
        <v>35641.445401600002</v>
      </c>
    </row>
    <row r="304" spans="2:13" outlineLevel="3">
      <c r="B304" s="116"/>
      <c r="C304" s="158" t="s">
        <v>668</v>
      </c>
      <c r="D304" s="158" t="s">
        <v>669</v>
      </c>
      <c r="E304" s="188"/>
      <c r="F304" s="159"/>
      <c r="G304" s="116"/>
      <c r="H304" s="118"/>
      <c r="I304" s="118"/>
      <c r="J304" s="118"/>
      <c r="K304" s="120"/>
      <c r="L304" s="178"/>
      <c r="M304" s="160">
        <f>SUM(M305)</f>
        <v>29236.691200000001</v>
      </c>
    </row>
    <row r="305" spans="2:13" ht="21.6" outlineLevel="4">
      <c r="B305" s="116" t="s">
        <v>77</v>
      </c>
      <c r="C305" s="129" t="s">
        <v>670</v>
      </c>
      <c r="D305" s="155" t="s">
        <v>671</v>
      </c>
      <c r="E305" s="189" t="s">
        <v>234</v>
      </c>
      <c r="F305" s="130"/>
      <c r="G305" s="131">
        <v>16.32</v>
      </c>
      <c r="H305" s="118"/>
      <c r="I305" s="183">
        <v>1761.4639215686275</v>
      </c>
      <c r="J305" s="118"/>
      <c r="K305" s="120">
        <v>30</v>
      </c>
      <c r="L305" s="187">
        <f>SUM(H305:K305)</f>
        <v>1791.4639215686275</v>
      </c>
      <c r="M305" s="134">
        <f>+L305*G305</f>
        <v>29236.691200000001</v>
      </c>
    </row>
    <row r="306" spans="2:13" outlineLevel="3">
      <c r="B306" s="116"/>
      <c r="C306" s="158" t="s">
        <v>672</v>
      </c>
      <c r="D306" s="158" t="s">
        <v>673</v>
      </c>
      <c r="E306" s="188"/>
      <c r="F306" s="159"/>
      <c r="G306" s="116"/>
      <c r="H306" s="118"/>
      <c r="I306" s="118"/>
      <c r="J306" s="118"/>
      <c r="K306" s="120"/>
      <c r="L306" s="178"/>
      <c r="M306" s="160">
        <f>SUM(M307)</f>
        <v>1915.2</v>
      </c>
    </row>
    <row r="307" spans="2:13" outlineLevel="4">
      <c r="B307" s="116" t="s">
        <v>567</v>
      </c>
      <c r="C307" s="129" t="s">
        <v>674</v>
      </c>
      <c r="D307" s="129" t="s">
        <v>675</v>
      </c>
      <c r="E307" s="189" t="s">
        <v>346</v>
      </c>
      <c r="F307" s="130"/>
      <c r="G307" s="131">
        <f>100.8*0.5</f>
        <v>50.4</v>
      </c>
      <c r="H307" s="118"/>
      <c r="I307" s="118"/>
      <c r="J307" s="118"/>
      <c r="K307" s="120">
        <v>38</v>
      </c>
      <c r="L307" s="187">
        <f>SUM(H307:K307)</f>
        <v>38</v>
      </c>
      <c r="M307" s="134">
        <f>+L307*G307</f>
        <v>1915.2</v>
      </c>
    </row>
    <row r="308" spans="2:13" outlineLevel="3">
      <c r="B308" s="116"/>
      <c r="C308" s="158" t="s">
        <v>676</v>
      </c>
      <c r="D308" s="158" t="s">
        <v>613</v>
      </c>
      <c r="E308" s="188"/>
      <c r="F308" s="159"/>
      <c r="G308" s="116"/>
      <c r="H308" s="118"/>
      <c r="I308" s="118"/>
      <c r="J308" s="118"/>
      <c r="K308" s="120"/>
      <c r="L308" s="178"/>
      <c r="M308" s="160">
        <f>SUM(M309)</f>
        <v>4489.5542015999999</v>
      </c>
    </row>
    <row r="309" spans="2:13" s="228" customFormat="1" outlineLevel="4">
      <c r="B309" s="221" t="s">
        <v>572</v>
      </c>
      <c r="C309" s="222" t="s">
        <v>677</v>
      </c>
      <c r="D309" s="222" t="s">
        <v>678</v>
      </c>
      <c r="E309" s="223" t="s">
        <v>424</v>
      </c>
      <c r="F309" s="224"/>
      <c r="G309" s="229">
        <v>1514.6944000000001</v>
      </c>
      <c r="H309" s="230"/>
      <c r="I309" s="231">
        <f>780*3.8/1000</f>
        <v>2.964</v>
      </c>
      <c r="J309" s="230"/>
      <c r="K309" s="231"/>
      <c r="L309" s="226">
        <f>SUM(H309:K309)</f>
        <v>2.964</v>
      </c>
      <c r="M309" s="227">
        <f>+L309*G309</f>
        <v>4489.5542015999999</v>
      </c>
    </row>
    <row r="310" spans="2:13" outlineLevel="3">
      <c r="B310" s="116"/>
      <c r="C310" s="158" t="s">
        <v>679</v>
      </c>
      <c r="D310" s="158" t="s">
        <v>680</v>
      </c>
      <c r="E310" s="188"/>
      <c r="F310" s="159"/>
      <c r="G310" s="116"/>
      <c r="H310" s="118"/>
      <c r="I310" s="118"/>
      <c r="J310" s="118"/>
      <c r="K310" s="120"/>
      <c r="L310" s="178"/>
      <c r="M310" s="160">
        <f>SUM(M311)</f>
        <v>0</v>
      </c>
    </row>
    <row r="311" spans="2:13" outlineLevel="4">
      <c r="B311" s="116" t="s">
        <v>77</v>
      </c>
      <c r="C311" s="129" t="s">
        <v>681</v>
      </c>
      <c r="D311" s="129" t="s">
        <v>682</v>
      </c>
      <c r="E311" s="189" t="s">
        <v>346</v>
      </c>
      <c r="F311" s="130"/>
      <c r="G311" s="131">
        <v>100.8</v>
      </c>
      <c r="H311" s="118"/>
      <c r="I311" s="183">
        <v>0.44</v>
      </c>
      <c r="J311" s="118"/>
      <c r="K311" s="120">
        <v>1.2</v>
      </c>
      <c r="L311" s="187">
        <f>SUM(H311:K311)*0</f>
        <v>0</v>
      </c>
      <c r="M311" s="134">
        <f>+L311*G311</f>
        <v>0</v>
      </c>
    </row>
    <row r="312" spans="2:13" outlineLevel="3">
      <c r="B312" s="116"/>
      <c r="C312" s="129"/>
      <c r="D312" s="129"/>
      <c r="E312" s="189"/>
      <c r="F312" s="130"/>
      <c r="G312" s="131"/>
      <c r="H312" s="118"/>
      <c r="I312" s="183"/>
      <c r="J312" s="118"/>
      <c r="K312" s="120"/>
      <c r="L312" s="187"/>
      <c r="M312" s="134"/>
    </row>
    <row r="313" spans="2:13" outlineLevel="2">
      <c r="B313" s="116"/>
      <c r="C313" s="129"/>
      <c r="D313" s="129"/>
      <c r="E313" s="189"/>
      <c r="F313" s="130"/>
      <c r="G313" s="131"/>
      <c r="H313" s="118"/>
      <c r="I313" s="183"/>
      <c r="J313" s="118"/>
      <c r="K313" s="120"/>
      <c r="L313" s="187"/>
      <c r="M313" s="134"/>
    </row>
    <row r="314" spans="2:13" outlineLevel="1">
      <c r="B314" s="116"/>
      <c r="C314" s="123" t="s">
        <v>683</v>
      </c>
      <c r="D314" s="123" t="s">
        <v>684</v>
      </c>
      <c r="E314" s="118" t="s">
        <v>96</v>
      </c>
      <c r="F314" s="124"/>
      <c r="G314" s="131"/>
      <c r="H314" s="118"/>
      <c r="I314" s="118"/>
      <c r="J314" s="118"/>
      <c r="K314" s="120"/>
      <c r="L314" s="178"/>
      <c r="M314" s="125">
        <f>+M315+M327+M343+M355+M373+M385+M395+M400+M405+M410</f>
        <v>4153837.8637597105</v>
      </c>
    </row>
    <row r="315" spans="2:13" outlineLevel="2">
      <c r="B315" s="116"/>
      <c r="C315" s="126" t="s">
        <v>685</v>
      </c>
      <c r="D315" s="126" t="s">
        <v>558</v>
      </c>
      <c r="E315" s="118" t="s">
        <v>99</v>
      </c>
      <c r="F315" s="127"/>
      <c r="G315" s="131"/>
      <c r="H315" s="118"/>
      <c r="I315" s="118"/>
      <c r="J315" s="118"/>
      <c r="K315" s="120"/>
      <c r="L315" s="178"/>
      <c r="M315" s="128">
        <f>+M316+M320+M322+M324</f>
        <v>160364.54156700004</v>
      </c>
    </row>
    <row r="316" spans="2:13" outlineLevel="3">
      <c r="B316" s="116"/>
      <c r="C316" s="158" t="s">
        <v>686</v>
      </c>
      <c r="D316" s="158" t="s">
        <v>687</v>
      </c>
      <c r="E316" s="188"/>
      <c r="F316" s="159"/>
      <c r="G316" s="116"/>
      <c r="H316" s="118"/>
      <c r="I316" s="118"/>
      <c r="J316" s="118"/>
      <c r="K316" s="120"/>
      <c r="L316" s="178"/>
      <c r="M316" s="160">
        <f>SUM(M317:M319)</f>
        <v>44442.417375000012</v>
      </c>
    </row>
    <row r="317" spans="2:13" outlineLevel="4">
      <c r="B317" s="116" t="s">
        <v>688</v>
      </c>
      <c r="C317" s="129" t="s">
        <v>689</v>
      </c>
      <c r="D317" s="195" t="s">
        <v>690</v>
      </c>
      <c r="E317" s="196" t="s">
        <v>234</v>
      </c>
      <c r="F317" s="130"/>
      <c r="G317" s="136">
        <v>2.0160000000000005</v>
      </c>
      <c r="H317" s="118"/>
      <c r="I317" s="183">
        <v>386.40000000000003</v>
      </c>
      <c r="J317" s="118"/>
      <c r="K317" s="120">
        <v>30</v>
      </c>
      <c r="L317" s="187">
        <f>SUM(H317:K317)</f>
        <v>416.40000000000003</v>
      </c>
      <c r="M317" s="134">
        <f>+L317*G317</f>
        <v>839.46240000000023</v>
      </c>
    </row>
    <row r="318" spans="2:13" outlineLevel="4">
      <c r="B318" s="116" t="s">
        <v>688</v>
      </c>
      <c r="C318" s="129" t="s">
        <v>691</v>
      </c>
      <c r="D318" s="195" t="s">
        <v>692</v>
      </c>
      <c r="E318" s="196" t="s">
        <v>234</v>
      </c>
      <c r="F318" s="130"/>
      <c r="G318" s="136">
        <v>59.067900000000002</v>
      </c>
      <c r="H318" s="118"/>
      <c r="I318" s="183">
        <v>362.25000000000006</v>
      </c>
      <c r="J318" s="118"/>
      <c r="K318" s="120">
        <v>30</v>
      </c>
      <c r="L318" s="187">
        <f>SUM(H318:K318)</f>
        <v>392.25000000000006</v>
      </c>
      <c r="M318" s="134">
        <f>+L318*G318</f>
        <v>23169.383775000006</v>
      </c>
    </row>
    <row r="319" spans="2:13" outlineLevel="4">
      <c r="B319" s="116" t="s">
        <v>688</v>
      </c>
      <c r="C319" s="129" t="s">
        <v>693</v>
      </c>
      <c r="D319" s="195" t="s">
        <v>694</v>
      </c>
      <c r="E319" s="196" t="s">
        <v>234</v>
      </c>
      <c r="F319" s="130"/>
      <c r="G319" s="136">
        <v>53.088000000000008</v>
      </c>
      <c r="H319" s="118"/>
      <c r="I319" s="183">
        <v>354.90000000000003</v>
      </c>
      <c r="J319" s="118"/>
      <c r="K319" s="120">
        <v>30</v>
      </c>
      <c r="L319" s="187">
        <f>SUM(H319:K319)</f>
        <v>384.90000000000003</v>
      </c>
      <c r="M319" s="134">
        <f>+L319*G319</f>
        <v>20433.571200000006</v>
      </c>
    </row>
    <row r="320" spans="2:13" outlineLevel="3">
      <c r="B320" s="116"/>
      <c r="C320" s="158" t="s">
        <v>695</v>
      </c>
      <c r="D320" s="158" t="s">
        <v>566</v>
      </c>
      <c r="E320" s="188"/>
      <c r="F320" s="159"/>
      <c r="G320" s="116"/>
      <c r="H320" s="118"/>
      <c r="I320" s="118"/>
      <c r="J320" s="118"/>
      <c r="K320" s="120"/>
      <c r="L320" s="178"/>
      <c r="M320" s="160">
        <f>SUM(M321:M321)</f>
        <v>27640.314000000006</v>
      </c>
    </row>
    <row r="321" spans="2:13" outlineLevel="4">
      <c r="B321" s="116" t="s">
        <v>696</v>
      </c>
      <c r="C321" s="129" t="s">
        <v>697</v>
      </c>
      <c r="D321" s="129" t="s">
        <v>698</v>
      </c>
      <c r="E321" s="189" t="s">
        <v>346</v>
      </c>
      <c r="F321" s="130"/>
      <c r="G321" s="131">
        <v>674.15400000000011</v>
      </c>
      <c r="H321" s="118"/>
      <c r="I321" s="118"/>
      <c r="J321" s="118"/>
      <c r="K321" s="120">
        <v>41</v>
      </c>
      <c r="L321" s="187">
        <f>SUM(H321:K321)</f>
        <v>41</v>
      </c>
      <c r="M321" s="134">
        <f>+L321*G321</f>
        <v>27640.314000000006</v>
      </c>
    </row>
    <row r="322" spans="2:13" outlineLevel="3">
      <c r="B322" s="116"/>
      <c r="C322" s="158" t="s">
        <v>699</v>
      </c>
      <c r="D322" s="158" t="s">
        <v>571</v>
      </c>
      <c r="E322" s="188"/>
      <c r="F322" s="159"/>
      <c r="G322" s="116"/>
      <c r="H322" s="118"/>
      <c r="I322" s="118"/>
      <c r="J322" s="118"/>
      <c r="K322" s="120"/>
      <c r="L322" s="178"/>
      <c r="M322" s="160">
        <f>SUM(M323)</f>
        <v>87176.19763200001</v>
      </c>
    </row>
    <row r="323" spans="2:13" s="228" customFormat="1" outlineLevel="4">
      <c r="B323" s="221" t="s">
        <v>75</v>
      </c>
      <c r="C323" s="222" t="s">
        <v>700</v>
      </c>
      <c r="D323" s="222" t="s">
        <v>701</v>
      </c>
      <c r="E323" s="223" t="s">
        <v>424</v>
      </c>
      <c r="F323" s="224"/>
      <c r="G323" s="229">
        <v>20123.776000000002</v>
      </c>
      <c r="H323" s="230"/>
      <c r="I323" s="231">
        <f>+(780+80)*3.8/1000</f>
        <v>3.2679999999999998</v>
      </c>
      <c r="J323" s="231"/>
      <c r="K323" s="231">
        <f>+(280)*3.8/1000</f>
        <v>1.0640000000000001</v>
      </c>
      <c r="L323" s="226">
        <f>SUM(H323:K323)</f>
        <v>4.3319999999999999</v>
      </c>
      <c r="M323" s="227">
        <f>+L323*G323</f>
        <v>87176.19763200001</v>
      </c>
    </row>
    <row r="324" spans="2:13" outlineLevel="3">
      <c r="B324" s="116"/>
      <c r="C324" s="158" t="s">
        <v>702</v>
      </c>
      <c r="D324" s="158" t="s">
        <v>576</v>
      </c>
      <c r="E324" s="188"/>
      <c r="F324" s="159"/>
      <c r="G324" s="116"/>
      <c r="H324" s="118"/>
      <c r="I324" s="118"/>
      <c r="J324" s="118"/>
      <c r="K324" s="120"/>
      <c r="L324" s="178"/>
      <c r="M324" s="160">
        <f>SUM(M325)</f>
        <v>1105.61256</v>
      </c>
    </row>
    <row r="325" spans="2:13" outlineLevel="4">
      <c r="B325" s="116" t="s">
        <v>696</v>
      </c>
      <c r="C325" s="129" t="s">
        <v>703</v>
      </c>
      <c r="D325" s="129" t="s">
        <v>704</v>
      </c>
      <c r="E325" s="189" t="s">
        <v>346</v>
      </c>
      <c r="F325" s="130"/>
      <c r="G325" s="131">
        <v>674.15400000000011</v>
      </c>
      <c r="H325" s="118"/>
      <c r="I325" s="183">
        <v>0.44</v>
      </c>
      <c r="J325" s="118"/>
      <c r="K325" s="120">
        <v>1.2</v>
      </c>
      <c r="L325" s="187">
        <f>SUM(H325:K325)</f>
        <v>1.64</v>
      </c>
      <c r="M325" s="134">
        <f>+L325*G325</f>
        <v>1105.61256</v>
      </c>
    </row>
    <row r="326" spans="2:13" outlineLevel="3">
      <c r="B326" s="116"/>
      <c r="C326" s="129"/>
      <c r="D326" s="129"/>
      <c r="E326" s="189"/>
      <c r="F326" s="130"/>
      <c r="G326" s="131"/>
      <c r="H326" s="118"/>
      <c r="I326" s="183"/>
      <c r="J326" s="118"/>
      <c r="K326" s="120"/>
      <c r="L326" s="187"/>
      <c r="M326" s="134"/>
    </row>
    <row r="327" spans="2:13" outlineLevel="2">
      <c r="B327" s="116"/>
      <c r="C327" s="126" t="s">
        <v>705</v>
      </c>
      <c r="D327" s="126" t="s">
        <v>580</v>
      </c>
      <c r="E327" s="118" t="s">
        <v>99</v>
      </c>
      <c r="F327" s="127"/>
      <c r="G327" s="131"/>
      <c r="H327" s="118"/>
      <c r="I327" s="118"/>
      <c r="J327" s="118"/>
      <c r="K327" s="120"/>
      <c r="L327" s="178"/>
      <c r="M327" s="128">
        <f>+M328+M334+M337+M340</f>
        <v>1150073.8381605004</v>
      </c>
    </row>
    <row r="328" spans="2:13" outlineLevel="3">
      <c r="B328" s="116"/>
      <c r="C328" s="158" t="s">
        <v>706</v>
      </c>
      <c r="D328" s="158" t="s">
        <v>707</v>
      </c>
      <c r="E328" s="188"/>
      <c r="F328" s="159"/>
      <c r="G328" s="116"/>
      <c r="H328" s="118"/>
      <c r="I328" s="118"/>
      <c r="J328" s="118"/>
      <c r="K328" s="120"/>
      <c r="L328" s="178"/>
      <c r="M328" s="160">
        <f>SUM(M329:M333)</f>
        <v>398844.69953250006</v>
      </c>
    </row>
    <row r="329" spans="2:13" outlineLevel="4">
      <c r="B329" s="116" t="s">
        <v>688</v>
      </c>
      <c r="C329" s="129" t="s">
        <v>708</v>
      </c>
      <c r="D329" s="195" t="s">
        <v>709</v>
      </c>
      <c r="E329" s="196" t="s">
        <v>234</v>
      </c>
      <c r="F329" s="130"/>
      <c r="G329" s="136">
        <v>4.2300000000000004</v>
      </c>
      <c r="H329" s="118"/>
      <c r="I329" s="183">
        <v>417.90000000000003</v>
      </c>
      <c r="J329" s="118"/>
      <c r="K329" s="120">
        <v>30</v>
      </c>
      <c r="L329" s="187">
        <f>SUM(H329:K329)</f>
        <v>447.90000000000003</v>
      </c>
      <c r="M329" s="134">
        <f>+L329*G329</f>
        <v>1894.6170000000004</v>
      </c>
    </row>
    <row r="330" spans="2:13" outlineLevel="4">
      <c r="B330" s="116" t="s">
        <v>688</v>
      </c>
      <c r="C330" s="129" t="s">
        <v>710</v>
      </c>
      <c r="D330" s="195" t="s">
        <v>690</v>
      </c>
      <c r="E330" s="196" t="s">
        <v>234</v>
      </c>
      <c r="F330" s="130"/>
      <c r="G330" s="136">
        <v>66.681000000000012</v>
      </c>
      <c r="H330" s="118"/>
      <c r="I330" s="183">
        <v>386.40000000000003</v>
      </c>
      <c r="J330" s="118"/>
      <c r="K330" s="120">
        <v>30</v>
      </c>
      <c r="L330" s="187">
        <f>SUM(H330:K330)</f>
        <v>416.40000000000003</v>
      </c>
      <c r="M330" s="134">
        <f>+L330*G330</f>
        <v>27765.968400000009</v>
      </c>
    </row>
    <row r="331" spans="2:13" outlineLevel="4">
      <c r="B331" s="116" t="s">
        <v>688</v>
      </c>
      <c r="C331" s="129" t="s">
        <v>711</v>
      </c>
      <c r="D331" s="195" t="s">
        <v>692</v>
      </c>
      <c r="E331" s="196" t="s">
        <v>234</v>
      </c>
      <c r="F331" s="130"/>
      <c r="G331" s="136">
        <v>437.65316999999999</v>
      </c>
      <c r="H331" s="118"/>
      <c r="I331" s="183">
        <v>362.25000000000006</v>
      </c>
      <c r="J331" s="118"/>
      <c r="K331" s="120">
        <v>30</v>
      </c>
      <c r="L331" s="187">
        <f>SUM(H331:K331)</f>
        <v>392.25000000000006</v>
      </c>
      <c r="M331" s="134">
        <f>+L331*G331</f>
        <v>171669.45593250002</v>
      </c>
    </row>
    <row r="332" spans="2:13" outlineLevel="4">
      <c r="B332" s="116" t="s">
        <v>688</v>
      </c>
      <c r="C332" s="129" t="s">
        <v>712</v>
      </c>
      <c r="D332" s="195" t="s">
        <v>694</v>
      </c>
      <c r="E332" s="196" t="s">
        <v>234</v>
      </c>
      <c r="F332" s="130"/>
      <c r="G332" s="136">
        <v>402.66800000000006</v>
      </c>
      <c r="H332" s="118"/>
      <c r="I332" s="183">
        <v>354.90000000000003</v>
      </c>
      <c r="J332" s="118"/>
      <c r="K332" s="120">
        <v>30</v>
      </c>
      <c r="L332" s="187">
        <f>SUM(H332:K332)</f>
        <v>384.90000000000003</v>
      </c>
      <c r="M332" s="134">
        <f>+L332*G332</f>
        <v>154986.91320000004</v>
      </c>
    </row>
    <row r="333" spans="2:13" s="208" customFormat="1" outlineLevel="4">
      <c r="B333" s="233" t="s">
        <v>688</v>
      </c>
      <c r="C333" s="129" t="s">
        <v>713</v>
      </c>
      <c r="D333" s="234" t="s">
        <v>714</v>
      </c>
      <c r="E333" s="235" t="s">
        <v>234</v>
      </c>
      <c r="F333" s="236"/>
      <c r="G333" s="237">
        <v>108.42</v>
      </c>
      <c r="H333" s="238"/>
      <c r="I333" s="239">
        <v>362.25000000000006</v>
      </c>
      <c r="J333" s="238"/>
      <c r="K333" s="240">
        <v>30</v>
      </c>
      <c r="L333" s="241">
        <f>SUM(H333:K333)</f>
        <v>392.25000000000006</v>
      </c>
      <c r="M333" s="242">
        <f>+L333*G333</f>
        <v>42527.74500000001</v>
      </c>
    </row>
    <row r="334" spans="2:13" outlineLevel="3">
      <c r="B334" s="116"/>
      <c r="C334" s="158" t="s">
        <v>715</v>
      </c>
      <c r="D334" s="158" t="s">
        <v>590</v>
      </c>
      <c r="E334" s="188"/>
      <c r="F334" s="159"/>
      <c r="G334" s="116"/>
      <c r="H334" s="118"/>
      <c r="I334" s="118"/>
      <c r="J334" s="118"/>
      <c r="K334" s="120"/>
      <c r="L334" s="178"/>
      <c r="M334" s="160">
        <f>SUM(M335:M336)</f>
        <v>284557.16000000003</v>
      </c>
    </row>
    <row r="335" spans="2:13" outlineLevel="4">
      <c r="B335" s="116" t="s">
        <v>696</v>
      </c>
      <c r="C335" s="129" t="s">
        <v>716</v>
      </c>
      <c r="D335" s="129" t="s">
        <v>717</v>
      </c>
      <c r="E335" s="189" t="s">
        <v>346</v>
      </c>
      <c r="F335" s="130"/>
      <c r="G335" s="131">
        <v>6639.9290000000001</v>
      </c>
      <c r="H335" s="118"/>
      <c r="I335" s="118"/>
      <c r="J335" s="118"/>
      <c r="K335" s="120">
        <v>40</v>
      </c>
      <c r="L335" s="187">
        <f>SUM(H335:K335)</f>
        <v>40</v>
      </c>
      <c r="M335" s="134">
        <f>+L335*G335</f>
        <v>265597.16000000003</v>
      </c>
    </row>
    <row r="336" spans="2:13" s="208" customFormat="1" outlineLevel="4">
      <c r="B336" s="233" t="s">
        <v>696</v>
      </c>
      <c r="C336" s="129" t="s">
        <v>718</v>
      </c>
      <c r="D336" s="234" t="s">
        <v>719</v>
      </c>
      <c r="E336" s="235" t="s">
        <v>346</v>
      </c>
      <c r="F336" s="236"/>
      <c r="G336" s="237">
        <v>474</v>
      </c>
      <c r="H336" s="238"/>
      <c r="I336" s="238"/>
      <c r="J336" s="238"/>
      <c r="K336" s="240">
        <v>40</v>
      </c>
      <c r="L336" s="241">
        <f>SUM(H336:K336)</f>
        <v>40</v>
      </c>
      <c r="M336" s="242">
        <f>+L336*G336</f>
        <v>18960</v>
      </c>
    </row>
    <row r="337" spans="2:13" outlineLevel="3">
      <c r="B337" s="116"/>
      <c r="C337" s="158" t="s">
        <v>720</v>
      </c>
      <c r="D337" s="158" t="s">
        <v>594</v>
      </c>
      <c r="E337" s="188"/>
      <c r="F337" s="159"/>
      <c r="G337" s="116"/>
      <c r="H337" s="118"/>
      <c r="I337" s="118"/>
      <c r="J337" s="118"/>
      <c r="K337" s="120"/>
      <c r="L337" s="178"/>
      <c r="M337" s="160">
        <f>SUM(M338:M339)</f>
        <v>455782.49506800005</v>
      </c>
    </row>
    <row r="338" spans="2:13" s="228" customFormat="1" outlineLevel="4">
      <c r="B338" s="221" t="s">
        <v>75</v>
      </c>
      <c r="C338" s="222" t="s">
        <v>721</v>
      </c>
      <c r="D338" s="222" t="s">
        <v>722</v>
      </c>
      <c r="E338" s="223" t="s">
        <v>424</v>
      </c>
      <c r="F338" s="224"/>
      <c r="G338" s="229">
        <v>99206.05720000001</v>
      </c>
      <c r="H338" s="230"/>
      <c r="I338" s="231">
        <f>+(780+80)*3.8/1000</f>
        <v>3.2679999999999998</v>
      </c>
      <c r="J338" s="231"/>
      <c r="K338" s="231">
        <f>+(280)*3.8/1000</f>
        <v>1.0640000000000001</v>
      </c>
      <c r="L338" s="226">
        <f>SUM(H338:K338)</f>
        <v>4.3319999999999999</v>
      </c>
      <c r="M338" s="227">
        <f>+L338*G338</f>
        <v>429760.63979040005</v>
      </c>
    </row>
    <row r="339" spans="2:13" s="250" customFormat="1" outlineLevel="4">
      <c r="B339" s="243" t="s">
        <v>75</v>
      </c>
      <c r="C339" s="244" t="s">
        <v>723</v>
      </c>
      <c r="D339" s="245" t="s">
        <v>724</v>
      </c>
      <c r="E339" s="246" t="s">
        <v>424</v>
      </c>
      <c r="F339" s="247"/>
      <c r="G339" s="251">
        <v>6006.8918000000003</v>
      </c>
      <c r="H339" s="252"/>
      <c r="I339" s="253">
        <f>+(780+80)*3.8/1000</f>
        <v>3.2679999999999998</v>
      </c>
      <c r="J339" s="253"/>
      <c r="K339" s="253">
        <f>+(280)*3.8/1000</f>
        <v>1.0640000000000001</v>
      </c>
      <c r="L339" s="248">
        <f>SUM(H339:K339)</f>
        <v>4.3319999999999999</v>
      </c>
      <c r="M339" s="249">
        <f>+L339*G339</f>
        <v>26021.8552776</v>
      </c>
    </row>
    <row r="340" spans="2:13" outlineLevel="3">
      <c r="B340" s="116"/>
      <c r="C340" s="158" t="s">
        <v>725</v>
      </c>
      <c r="D340" s="158" t="s">
        <v>598</v>
      </c>
      <c r="E340" s="188"/>
      <c r="F340" s="159"/>
      <c r="G340" s="116"/>
      <c r="H340" s="118"/>
      <c r="I340" s="118"/>
      <c r="J340" s="118"/>
      <c r="K340" s="120"/>
      <c r="L340" s="178"/>
      <c r="M340" s="160">
        <f>SUM(M341)</f>
        <v>10889.483559999999</v>
      </c>
    </row>
    <row r="341" spans="2:13" outlineLevel="4">
      <c r="B341" s="116" t="s">
        <v>696</v>
      </c>
      <c r="C341" s="129" t="s">
        <v>726</v>
      </c>
      <c r="D341" s="129" t="s">
        <v>727</v>
      </c>
      <c r="E341" s="189" t="s">
        <v>346</v>
      </c>
      <c r="F341" s="130"/>
      <c r="G341" s="131">
        <v>6639.9290000000001</v>
      </c>
      <c r="H341" s="118"/>
      <c r="I341" s="183">
        <v>0.44</v>
      </c>
      <c r="J341" s="118"/>
      <c r="K341" s="120">
        <v>1.2</v>
      </c>
      <c r="L341" s="187">
        <f>SUM(H341:K341)</f>
        <v>1.64</v>
      </c>
      <c r="M341" s="134">
        <f>+L341*G341</f>
        <v>10889.483559999999</v>
      </c>
    </row>
    <row r="342" spans="2:13" outlineLevel="3">
      <c r="B342" s="116"/>
      <c r="C342" s="129"/>
      <c r="D342" s="129"/>
      <c r="E342" s="189"/>
      <c r="F342" s="130"/>
      <c r="G342" s="131"/>
      <c r="H342" s="118"/>
      <c r="I342" s="183"/>
      <c r="J342" s="118"/>
      <c r="K342" s="120"/>
      <c r="L342" s="187"/>
      <c r="M342" s="134"/>
    </row>
    <row r="343" spans="2:13" outlineLevel="2">
      <c r="B343" s="116"/>
      <c r="C343" s="126" t="s">
        <v>728</v>
      </c>
      <c r="D343" s="126" t="s">
        <v>602</v>
      </c>
      <c r="E343" s="118" t="s">
        <v>99</v>
      </c>
      <c r="F343" s="127"/>
      <c r="G343" s="131"/>
      <c r="H343" s="118"/>
      <c r="I343" s="118"/>
      <c r="J343" s="118"/>
      <c r="K343" s="120"/>
      <c r="L343" s="178"/>
      <c r="M343" s="128">
        <f>+M344+M347+M349+M352</f>
        <v>960357.43365781009</v>
      </c>
    </row>
    <row r="344" spans="2:13" outlineLevel="3">
      <c r="B344" s="116"/>
      <c r="C344" s="158" t="s">
        <v>729</v>
      </c>
      <c r="D344" s="158" t="s">
        <v>604</v>
      </c>
      <c r="E344" s="188"/>
      <c r="F344" s="159"/>
      <c r="G344" s="116"/>
      <c r="H344" s="118"/>
      <c r="I344" s="118"/>
      <c r="J344" s="118"/>
      <c r="K344" s="120"/>
      <c r="L344" s="178"/>
      <c r="M344" s="160">
        <f>SUM(M345:M346)</f>
        <v>250534.28188125003</v>
      </c>
    </row>
    <row r="345" spans="2:13" outlineLevel="4">
      <c r="B345" s="116" t="s">
        <v>688</v>
      </c>
      <c r="C345" s="129" t="s">
        <v>730</v>
      </c>
      <c r="D345" s="195" t="s">
        <v>731</v>
      </c>
      <c r="E345" s="196" t="s">
        <v>234</v>
      </c>
      <c r="F345" s="130"/>
      <c r="G345" s="136">
        <v>547.30072500000006</v>
      </c>
      <c r="H345" s="118"/>
      <c r="I345" s="183">
        <v>362.25000000000006</v>
      </c>
      <c r="J345" s="118"/>
      <c r="K345" s="120">
        <v>30</v>
      </c>
      <c r="L345" s="187">
        <f>SUM(H345:K345)</f>
        <v>392.25000000000006</v>
      </c>
      <c r="M345" s="134">
        <f>+L345*G345</f>
        <v>214678.70938125005</v>
      </c>
    </row>
    <row r="346" spans="2:13" s="208" customFormat="1" outlineLevel="4">
      <c r="B346" s="233" t="s">
        <v>688</v>
      </c>
      <c r="C346" s="234" t="s">
        <v>732</v>
      </c>
      <c r="D346" s="234" t="s">
        <v>733</v>
      </c>
      <c r="E346" s="235" t="s">
        <v>234</v>
      </c>
      <c r="F346" s="236"/>
      <c r="G346" s="237">
        <v>91.409999999999982</v>
      </c>
      <c r="H346" s="238"/>
      <c r="I346" s="239">
        <v>362.25000000000006</v>
      </c>
      <c r="J346" s="238"/>
      <c r="K346" s="240">
        <v>30</v>
      </c>
      <c r="L346" s="241">
        <f>SUM(H346:K346)</f>
        <v>392.25000000000006</v>
      </c>
      <c r="M346" s="242">
        <f>+L346*G346</f>
        <v>35855.572499999995</v>
      </c>
    </row>
    <row r="347" spans="2:13" outlineLevel="3">
      <c r="B347" s="116"/>
      <c r="C347" s="158" t="s">
        <v>734</v>
      </c>
      <c r="D347" s="158" t="s">
        <v>609</v>
      </c>
      <c r="E347" s="188"/>
      <c r="F347" s="159"/>
      <c r="G347" s="116"/>
      <c r="H347" s="118"/>
      <c r="I347" s="118"/>
      <c r="J347" s="118"/>
      <c r="K347" s="120"/>
      <c r="L347" s="178"/>
      <c r="M347" s="160">
        <f>SUM(M348)</f>
        <v>163636.26350000006</v>
      </c>
    </row>
    <row r="348" spans="2:13" outlineLevel="4">
      <c r="B348" s="116" t="s">
        <v>696</v>
      </c>
      <c r="C348" s="129" t="s">
        <v>735</v>
      </c>
      <c r="D348" s="129" t="s">
        <v>736</v>
      </c>
      <c r="E348" s="189" t="s">
        <v>346</v>
      </c>
      <c r="F348" s="130"/>
      <c r="G348" s="131">
        <v>3805.4945000000012</v>
      </c>
      <c r="H348" s="118"/>
      <c r="I348" s="118"/>
      <c r="J348" s="118"/>
      <c r="K348" s="120">
        <v>43</v>
      </c>
      <c r="L348" s="187">
        <f>SUM(H348:K348)</f>
        <v>43</v>
      </c>
      <c r="M348" s="134">
        <f>+L348*G348</f>
        <v>163636.26350000006</v>
      </c>
    </row>
    <row r="349" spans="2:13" outlineLevel="3">
      <c r="B349" s="116"/>
      <c r="C349" s="158" t="s">
        <v>737</v>
      </c>
      <c r="D349" s="158" t="s">
        <v>613</v>
      </c>
      <c r="E349" s="188"/>
      <c r="F349" s="159"/>
      <c r="G349" s="116"/>
      <c r="H349" s="118"/>
      <c r="I349" s="118"/>
      <c r="J349" s="118"/>
      <c r="K349" s="120"/>
      <c r="L349" s="178"/>
      <c r="M349" s="160">
        <f>SUM(M350:M351)</f>
        <v>539945.87729655998</v>
      </c>
    </row>
    <row r="350" spans="2:13" s="228" customFormat="1" outlineLevel="4">
      <c r="B350" s="221" t="s">
        <v>75</v>
      </c>
      <c r="C350" s="222" t="s">
        <v>738</v>
      </c>
      <c r="D350" s="222" t="s">
        <v>739</v>
      </c>
      <c r="E350" s="223" t="s">
        <v>424</v>
      </c>
      <c r="F350" s="224"/>
      <c r="G350" s="229">
        <v>110813.39779999999</v>
      </c>
      <c r="H350" s="230"/>
      <c r="I350" s="231">
        <f>+(780+80)*3.8/1000</f>
        <v>3.2679999999999998</v>
      </c>
      <c r="J350" s="231"/>
      <c r="K350" s="231">
        <f>+(280)*3.8/1000</f>
        <v>1.0640000000000001</v>
      </c>
      <c r="L350" s="226">
        <f>SUM(H350:K350)</f>
        <v>4.3319999999999999</v>
      </c>
      <c r="M350" s="227">
        <f>+L350*G350</f>
        <v>480043.63926959992</v>
      </c>
    </row>
    <row r="351" spans="2:13" s="250" customFormat="1" outlineLevel="4">
      <c r="B351" s="243" t="s">
        <v>75</v>
      </c>
      <c r="C351" s="245" t="s">
        <v>740</v>
      </c>
      <c r="D351" s="245" t="s">
        <v>741</v>
      </c>
      <c r="E351" s="246" t="s">
        <v>424</v>
      </c>
      <c r="F351" s="247"/>
      <c r="G351" s="251">
        <v>13827.848113333333</v>
      </c>
      <c r="H351" s="252"/>
      <c r="I351" s="253">
        <f>+(780+80)*3.8/1000</f>
        <v>3.2679999999999998</v>
      </c>
      <c r="J351" s="253"/>
      <c r="K351" s="253">
        <f>+(280)*3.8/1000</f>
        <v>1.0640000000000001</v>
      </c>
      <c r="L351" s="248">
        <f>SUM(H351:K351)</f>
        <v>4.3319999999999999</v>
      </c>
      <c r="M351" s="249">
        <f>+L351*G351</f>
        <v>59902.238026959996</v>
      </c>
    </row>
    <row r="352" spans="2:13" outlineLevel="3">
      <c r="B352" s="116"/>
      <c r="C352" s="158" t="s">
        <v>742</v>
      </c>
      <c r="D352" s="158" t="s">
        <v>617</v>
      </c>
      <c r="E352" s="188"/>
      <c r="F352" s="159"/>
      <c r="G352" s="116"/>
      <c r="H352" s="118"/>
      <c r="I352" s="118"/>
      <c r="J352" s="118"/>
      <c r="K352" s="120"/>
      <c r="L352" s="178"/>
      <c r="M352" s="160">
        <f>SUM(M353)</f>
        <v>6241.0109800000018</v>
      </c>
    </row>
    <row r="353" spans="2:13" outlineLevel="4">
      <c r="B353" s="116" t="s">
        <v>696</v>
      </c>
      <c r="C353" s="129" t="s">
        <v>743</v>
      </c>
      <c r="D353" s="129" t="s">
        <v>744</v>
      </c>
      <c r="E353" s="189" t="s">
        <v>346</v>
      </c>
      <c r="F353" s="130"/>
      <c r="G353" s="131">
        <v>3805.4945000000012</v>
      </c>
      <c r="H353" s="118"/>
      <c r="I353" s="183">
        <v>0.44</v>
      </c>
      <c r="J353" s="118"/>
      <c r="K353" s="120">
        <v>1.2</v>
      </c>
      <c r="L353" s="187">
        <f>SUM(H353:K353)</f>
        <v>1.64</v>
      </c>
      <c r="M353" s="134">
        <f>+L353*G353</f>
        <v>6241.0109800000018</v>
      </c>
    </row>
    <row r="354" spans="2:13" outlineLevel="3">
      <c r="B354" s="116"/>
      <c r="C354" s="129"/>
      <c r="D354" s="129"/>
      <c r="E354" s="189"/>
      <c r="F354" s="130"/>
      <c r="G354" s="131"/>
      <c r="H354" s="118"/>
      <c r="I354" s="183"/>
      <c r="J354" s="118"/>
      <c r="K354" s="120"/>
      <c r="L354" s="187"/>
      <c r="M354" s="134"/>
    </row>
    <row r="355" spans="2:13" outlineLevel="2">
      <c r="B355" s="116"/>
      <c r="C355" s="126" t="s">
        <v>745</v>
      </c>
      <c r="D355" s="126" t="s">
        <v>746</v>
      </c>
      <c r="E355" s="118" t="s">
        <v>99</v>
      </c>
      <c r="F355" s="127"/>
      <c r="G355" s="131"/>
      <c r="H355" s="118"/>
      <c r="I355" s="118"/>
      <c r="J355" s="118"/>
      <c r="K355" s="120"/>
      <c r="L355" s="178"/>
      <c r="M355" s="128">
        <f>+M356+M362+M364+M368+M370</f>
        <v>1497634.2626010003</v>
      </c>
    </row>
    <row r="356" spans="2:13" outlineLevel="3">
      <c r="B356" s="116"/>
      <c r="C356" s="158" t="s">
        <v>747</v>
      </c>
      <c r="D356" s="158" t="s">
        <v>748</v>
      </c>
      <c r="E356" s="188"/>
      <c r="F356" s="159"/>
      <c r="G356" s="116"/>
      <c r="H356" s="118"/>
      <c r="I356" s="118"/>
      <c r="J356" s="118"/>
      <c r="K356" s="120"/>
      <c r="L356" s="178"/>
      <c r="M356" s="160">
        <f>SUM(M357:M360)</f>
        <v>461747.50582500012</v>
      </c>
    </row>
    <row r="357" spans="2:13" outlineLevel="4">
      <c r="B357" s="116" t="s">
        <v>688</v>
      </c>
      <c r="C357" s="129" t="s">
        <v>749</v>
      </c>
      <c r="D357" s="195" t="s">
        <v>750</v>
      </c>
      <c r="E357" s="196" t="s">
        <v>234</v>
      </c>
      <c r="F357" s="130"/>
      <c r="G357" s="136">
        <v>1095.9657000000002</v>
      </c>
      <c r="H357" s="118"/>
      <c r="I357" s="183">
        <v>362.25000000000006</v>
      </c>
      <c r="J357" s="118"/>
      <c r="K357" s="120">
        <v>30</v>
      </c>
      <c r="L357" s="187">
        <f>SUM(H357:K357)</f>
        <v>392.25000000000006</v>
      </c>
      <c r="M357" s="134">
        <f>+L357*G357</f>
        <v>429892.54582500015</v>
      </c>
    </row>
    <row r="358" spans="2:13" s="208" customFormat="1" outlineLevel="4">
      <c r="B358" s="233" t="s">
        <v>688</v>
      </c>
      <c r="C358" s="234" t="s">
        <v>751</v>
      </c>
      <c r="D358" s="234" t="s">
        <v>752</v>
      </c>
      <c r="E358" s="235" t="s">
        <v>234</v>
      </c>
      <c r="F358" s="236"/>
      <c r="G358" s="237">
        <v>79.739999999999995</v>
      </c>
      <c r="H358" s="238"/>
      <c r="I358" s="239">
        <v>351.5</v>
      </c>
      <c r="J358" s="238"/>
      <c r="K358" s="240"/>
      <c r="L358" s="241">
        <f>SUM(H358:K358)</f>
        <v>351.5</v>
      </c>
      <c r="M358" s="242">
        <f>+L358*G358</f>
        <v>28028.609999999997</v>
      </c>
    </row>
    <row r="359" spans="2:13" outlineLevel="4">
      <c r="B359" s="116" t="s">
        <v>688</v>
      </c>
      <c r="C359" s="129" t="s">
        <v>753</v>
      </c>
      <c r="D359" s="195" t="s">
        <v>754</v>
      </c>
      <c r="E359" s="196" t="s">
        <v>234</v>
      </c>
      <c r="F359" s="130"/>
      <c r="G359" s="136">
        <v>6.5</v>
      </c>
      <c r="H359" s="118"/>
      <c r="I359" s="183">
        <v>386.40000000000003</v>
      </c>
      <c r="J359" s="118"/>
      <c r="K359" s="120">
        <v>30</v>
      </c>
      <c r="L359" s="187">
        <f>SUM(H359:K359)</f>
        <v>416.40000000000003</v>
      </c>
      <c r="M359" s="134">
        <f>+L359*G359</f>
        <v>2706.6000000000004</v>
      </c>
    </row>
    <row r="360" spans="2:13" outlineLevel="4">
      <c r="B360" s="116" t="s">
        <v>688</v>
      </c>
      <c r="C360" s="129" t="s">
        <v>755</v>
      </c>
      <c r="D360" s="195" t="s">
        <v>756</v>
      </c>
      <c r="E360" s="196" t="s">
        <v>234</v>
      </c>
      <c r="F360" s="130"/>
      <c r="G360" s="136">
        <v>2.5</v>
      </c>
      <c r="H360" s="118"/>
      <c r="I360" s="183">
        <v>417.90000000000003</v>
      </c>
      <c r="J360" s="118"/>
      <c r="K360" s="120">
        <v>30</v>
      </c>
      <c r="L360" s="187">
        <f>SUM(H360:K360)</f>
        <v>447.90000000000003</v>
      </c>
      <c r="M360" s="134">
        <f>+L360*G360</f>
        <v>1119.75</v>
      </c>
    </row>
    <row r="361" spans="2:13" outlineLevel="4">
      <c r="B361" s="116"/>
      <c r="C361" s="129"/>
      <c r="D361" s="195"/>
      <c r="E361" s="196"/>
      <c r="F361" s="130"/>
      <c r="G361" s="136"/>
      <c r="H361" s="118"/>
      <c r="I361" s="183"/>
      <c r="J361" s="118"/>
      <c r="K361" s="120"/>
      <c r="L361" s="187"/>
      <c r="M361" s="134"/>
    </row>
    <row r="362" spans="2:13" outlineLevel="3">
      <c r="B362" s="116"/>
      <c r="C362" s="158" t="s">
        <v>757</v>
      </c>
      <c r="D362" s="158" t="s">
        <v>613</v>
      </c>
      <c r="E362" s="188"/>
      <c r="F362" s="159"/>
      <c r="G362" s="116"/>
      <c r="H362" s="118"/>
      <c r="I362" s="118"/>
      <c r="J362" s="118"/>
      <c r="K362" s="120"/>
      <c r="L362" s="178"/>
      <c r="M362" s="160">
        <f>SUM(M363)</f>
        <v>300883.43577600003</v>
      </c>
    </row>
    <row r="363" spans="2:13" s="228" customFormat="1" outlineLevel="4">
      <c r="B363" s="221" t="s">
        <v>75</v>
      </c>
      <c r="C363" s="222" t="s">
        <v>758</v>
      </c>
      <c r="D363" s="222" t="s">
        <v>759</v>
      </c>
      <c r="E363" s="223" t="s">
        <v>424</v>
      </c>
      <c r="F363" s="224"/>
      <c r="G363" s="229">
        <v>71981.683200000014</v>
      </c>
      <c r="H363" s="230"/>
      <c r="I363" s="231">
        <f>(((780+80)*3.8/1000)+((780)*3.8/1000))/2</f>
        <v>3.1159999999999997</v>
      </c>
      <c r="J363" s="231"/>
      <c r="K363" s="231">
        <f>+(280)*3.8/1000</f>
        <v>1.0640000000000001</v>
      </c>
      <c r="L363" s="226">
        <f>SUM(H363:K363)</f>
        <v>4.18</v>
      </c>
      <c r="M363" s="227">
        <f>+L363*G363</f>
        <v>300883.43577600003</v>
      </c>
    </row>
    <row r="364" spans="2:13" outlineLevel="3">
      <c r="B364" s="116"/>
      <c r="C364" s="158" t="s">
        <v>760</v>
      </c>
      <c r="D364" s="158" t="s">
        <v>634</v>
      </c>
      <c r="E364" s="188"/>
      <c r="F364" s="159"/>
      <c r="G364" s="116"/>
      <c r="H364" s="118"/>
      <c r="I364" s="118"/>
      <c r="J364" s="118"/>
      <c r="K364" s="120"/>
      <c r="L364" s="178"/>
      <c r="M364" s="160">
        <f>SUM(M365:M367)</f>
        <v>489359.67</v>
      </c>
    </row>
    <row r="365" spans="2:13" outlineLevel="4">
      <c r="B365" s="116" t="s">
        <v>761</v>
      </c>
      <c r="C365" s="129" t="s">
        <v>762</v>
      </c>
      <c r="D365" s="129" t="s">
        <v>763</v>
      </c>
      <c r="E365" s="189" t="s">
        <v>346</v>
      </c>
      <c r="F365" s="130"/>
      <c r="G365" s="254">
        <v>132.72999999999999</v>
      </c>
      <c r="H365" s="255"/>
      <c r="I365" s="255"/>
      <c r="J365" s="255"/>
      <c r="K365" s="256">
        <v>57</v>
      </c>
      <c r="L365" s="257">
        <f>SUM(H365:K365)</f>
        <v>57</v>
      </c>
      <c r="M365" s="258">
        <f>+L365*G365</f>
        <v>7565.61</v>
      </c>
    </row>
    <row r="366" spans="2:13" outlineLevel="4">
      <c r="B366" s="116" t="s">
        <v>761</v>
      </c>
      <c r="C366" s="129" t="s">
        <v>764</v>
      </c>
      <c r="D366" s="129" t="s">
        <v>765</v>
      </c>
      <c r="E366" s="189" t="s">
        <v>346</v>
      </c>
      <c r="F366" s="130"/>
      <c r="G366" s="254">
        <v>4554.83</v>
      </c>
      <c r="H366" s="255"/>
      <c r="I366" s="255"/>
      <c r="J366" s="255"/>
      <c r="K366" s="256">
        <v>61</v>
      </c>
      <c r="L366" s="257">
        <f>SUM(H366:K366)</f>
        <v>61</v>
      </c>
      <c r="M366" s="258">
        <f>+L366*G366</f>
        <v>277844.63</v>
      </c>
    </row>
    <row r="367" spans="2:13" outlineLevel="4">
      <c r="B367" s="116" t="s">
        <v>761</v>
      </c>
      <c r="C367" s="129" t="s">
        <v>766</v>
      </c>
      <c r="D367" s="129" t="s">
        <v>767</v>
      </c>
      <c r="E367" s="189" t="s">
        <v>346</v>
      </c>
      <c r="F367" s="130"/>
      <c r="G367" s="254">
        <v>3456.77</v>
      </c>
      <c r="H367" s="255"/>
      <c r="I367" s="255"/>
      <c r="J367" s="255"/>
      <c r="K367" s="256">
        <v>59</v>
      </c>
      <c r="L367" s="257">
        <f>SUM(H367:K367)</f>
        <v>59</v>
      </c>
      <c r="M367" s="258">
        <f>+L367*G367</f>
        <v>203949.43</v>
      </c>
    </row>
    <row r="368" spans="2:13" outlineLevel="3">
      <c r="B368" s="116"/>
      <c r="C368" s="158" t="s">
        <v>768</v>
      </c>
      <c r="D368" s="158" t="s">
        <v>641</v>
      </c>
      <c r="E368" s="188"/>
      <c r="F368" s="159"/>
      <c r="G368" s="116"/>
      <c r="H368" s="118"/>
      <c r="I368" s="118"/>
      <c r="J368" s="118"/>
      <c r="K368" s="120"/>
      <c r="L368" s="178"/>
      <c r="M368" s="160">
        <f>SUM(M369:M369)</f>
        <v>232113.405</v>
      </c>
    </row>
    <row r="369" spans="2:13" outlineLevel="4">
      <c r="B369" s="116" t="s">
        <v>696</v>
      </c>
      <c r="C369" s="129" t="s">
        <v>769</v>
      </c>
      <c r="D369" s="218" t="s">
        <v>643</v>
      </c>
      <c r="E369" s="189" t="s">
        <v>346</v>
      </c>
      <c r="F369" s="130"/>
      <c r="G369" s="131">
        <v>8144.33</v>
      </c>
      <c r="H369" s="118"/>
      <c r="I369" s="118"/>
      <c r="J369" s="118"/>
      <c r="K369" s="120">
        <v>28.5</v>
      </c>
      <c r="L369" s="187">
        <f>SUM(H369:K369)</f>
        <v>28.5</v>
      </c>
      <c r="M369" s="134">
        <f>+L369*G369</f>
        <v>232113.405</v>
      </c>
    </row>
    <row r="370" spans="2:13" outlineLevel="3">
      <c r="B370" s="116"/>
      <c r="C370" s="158" t="s">
        <v>770</v>
      </c>
      <c r="D370" s="158" t="s">
        <v>771</v>
      </c>
      <c r="E370" s="188"/>
      <c r="F370" s="159"/>
      <c r="G370" s="116"/>
      <c r="H370" s="118"/>
      <c r="I370" s="118"/>
      <c r="J370" s="118"/>
      <c r="K370" s="120"/>
      <c r="L370" s="178"/>
      <c r="M370" s="160">
        <f>SUM(M371)</f>
        <v>13530.245999999999</v>
      </c>
    </row>
    <row r="371" spans="2:13" outlineLevel="4">
      <c r="B371" s="116" t="s">
        <v>696</v>
      </c>
      <c r="C371" s="129" t="s">
        <v>772</v>
      </c>
      <c r="D371" s="129" t="s">
        <v>773</v>
      </c>
      <c r="E371" s="189" t="s">
        <v>346</v>
      </c>
      <c r="F371" s="130"/>
      <c r="G371" s="131">
        <v>8250.15</v>
      </c>
      <c r="H371" s="118"/>
      <c r="I371" s="183">
        <v>0.44</v>
      </c>
      <c r="J371" s="118"/>
      <c r="K371" s="120">
        <v>1.2</v>
      </c>
      <c r="L371" s="187">
        <f>SUM(H371:K371)</f>
        <v>1.64</v>
      </c>
      <c r="M371" s="134">
        <f>+L371*G371</f>
        <v>13530.245999999999</v>
      </c>
    </row>
    <row r="372" spans="2:13" outlineLevel="3">
      <c r="B372" s="116"/>
      <c r="C372" s="129"/>
      <c r="D372" s="129"/>
      <c r="E372" s="189"/>
      <c r="F372" s="130"/>
      <c r="G372" s="131"/>
      <c r="H372" s="118"/>
      <c r="I372" s="183"/>
      <c r="J372" s="118"/>
      <c r="K372" s="120"/>
      <c r="L372" s="187"/>
      <c r="M372" s="134"/>
    </row>
    <row r="373" spans="2:13" outlineLevel="2">
      <c r="B373" s="116"/>
      <c r="C373" s="126" t="s">
        <v>774</v>
      </c>
      <c r="D373" s="126" t="s">
        <v>645</v>
      </c>
      <c r="E373" s="118" t="s">
        <v>99</v>
      </c>
      <c r="F373" s="127"/>
      <c r="G373" s="131"/>
      <c r="H373" s="118"/>
      <c r="I373" s="118"/>
      <c r="J373" s="118"/>
      <c r="K373" s="120"/>
      <c r="L373" s="178"/>
      <c r="M373" s="128">
        <f>+M374+M376+M378+M380+M382</f>
        <v>148247.32829499998</v>
      </c>
    </row>
    <row r="374" spans="2:13" outlineLevel="3">
      <c r="B374" s="116"/>
      <c r="C374" s="158" t="s">
        <v>775</v>
      </c>
      <c r="D374" s="158" t="s">
        <v>647</v>
      </c>
      <c r="E374" s="188"/>
      <c r="F374" s="159"/>
      <c r="G374" s="116"/>
      <c r="H374" s="118"/>
      <c r="I374" s="118"/>
      <c r="J374" s="118"/>
      <c r="K374" s="120"/>
      <c r="L374" s="178"/>
      <c r="M374" s="160">
        <f>SUM(M375:M375)</f>
        <v>66257.889374999999</v>
      </c>
    </row>
    <row r="375" spans="2:13" outlineLevel="4">
      <c r="B375" s="116" t="s">
        <v>688</v>
      </c>
      <c r="C375" s="129" t="s">
        <v>776</v>
      </c>
      <c r="D375" s="195" t="s">
        <v>777</v>
      </c>
      <c r="E375" s="196" t="s">
        <v>234</v>
      </c>
      <c r="F375" s="130"/>
      <c r="G375" s="136">
        <v>168.91749999999999</v>
      </c>
      <c r="H375" s="118"/>
      <c r="I375" s="183">
        <v>362.25000000000006</v>
      </c>
      <c r="J375" s="118"/>
      <c r="K375" s="120">
        <v>30</v>
      </c>
      <c r="L375" s="187">
        <f>SUM(H375:K375)</f>
        <v>392.25000000000006</v>
      </c>
      <c r="M375" s="134">
        <f>+L375*G375</f>
        <v>66257.889374999999</v>
      </c>
    </row>
    <row r="376" spans="2:13" outlineLevel="3">
      <c r="B376" s="116"/>
      <c r="C376" s="158" t="s">
        <v>778</v>
      </c>
      <c r="D376" s="158" t="s">
        <v>613</v>
      </c>
      <c r="E376" s="188"/>
      <c r="F376" s="159"/>
      <c r="G376" s="116"/>
      <c r="H376" s="118"/>
      <c r="I376" s="118"/>
      <c r="J376" s="118"/>
      <c r="K376" s="120"/>
      <c r="L376" s="178"/>
      <c r="M376" s="160">
        <f>SUM(M377)</f>
        <v>31757.94291999999</v>
      </c>
    </row>
    <row r="377" spans="2:13" s="228" customFormat="1" outlineLevel="4">
      <c r="B377" s="221" t="s">
        <v>75</v>
      </c>
      <c r="C377" s="222" t="s">
        <v>779</v>
      </c>
      <c r="D377" s="222" t="s">
        <v>656</v>
      </c>
      <c r="E377" s="223" t="s">
        <v>424</v>
      </c>
      <c r="F377" s="224"/>
      <c r="G377" s="229">
        <v>7597.5939999999982</v>
      </c>
      <c r="H377" s="230"/>
      <c r="I377" s="231">
        <f>(((780+80)*3.8/1000)+((780)*3.8/1000))/2</f>
        <v>3.1159999999999997</v>
      </c>
      <c r="J377" s="231"/>
      <c r="K377" s="231">
        <f>+(280)*3.8/1000</f>
        <v>1.0640000000000001</v>
      </c>
      <c r="L377" s="226">
        <f>SUM(H377:K377)</f>
        <v>4.18</v>
      </c>
      <c r="M377" s="227">
        <f>+L377*G377</f>
        <v>31757.94291999999</v>
      </c>
    </row>
    <row r="378" spans="2:13" outlineLevel="3">
      <c r="B378" s="116"/>
      <c r="C378" s="158" t="s">
        <v>780</v>
      </c>
      <c r="D378" s="158" t="s">
        <v>658</v>
      </c>
      <c r="E378" s="188"/>
      <c r="F378" s="159"/>
      <c r="G378" s="116"/>
      <c r="H378" s="118"/>
      <c r="I378" s="118"/>
      <c r="J378" s="118"/>
      <c r="K378" s="120"/>
      <c r="L378" s="178"/>
      <c r="M378" s="160">
        <f>SUM(M379)</f>
        <v>1128.1559999999999</v>
      </c>
    </row>
    <row r="379" spans="2:13" outlineLevel="4">
      <c r="B379" s="116" t="s">
        <v>696</v>
      </c>
      <c r="C379" s="129" t="s">
        <v>781</v>
      </c>
      <c r="D379" s="129" t="s">
        <v>660</v>
      </c>
      <c r="E379" s="189" t="s">
        <v>346</v>
      </c>
      <c r="F379" s="130"/>
      <c r="G379" s="131">
        <v>687.9</v>
      </c>
      <c r="H379" s="118"/>
      <c r="I379" s="183">
        <v>0.44</v>
      </c>
      <c r="J379" s="118"/>
      <c r="K379" s="120">
        <v>1.2</v>
      </c>
      <c r="L379" s="187">
        <f>SUM(H379:K379)</f>
        <v>1.64</v>
      </c>
      <c r="M379" s="134">
        <f>+L379*G379</f>
        <v>1128.1559999999999</v>
      </c>
    </row>
    <row r="380" spans="2:13" outlineLevel="3">
      <c r="B380" s="116"/>
      <c r="C380" s="158" t="s">
        <v>782</v>
      </c>
      <c r="D380" s="158" t="s">
        <v>634</v>
      </c>
      <c r="E380" s="188"/>
      <c r="F380" s="159"/>
      <c r="G380" s="116"/>
      <c r="H380" s="118"/>
      <c r="I380" s="118"/>
      <c r="J380" s="118"/>
      <c r="K380" s="120"/>
      <c r="L380" s="178"/>
      <c r="M380" s="160">
        <f>SUM(M381)</f>
        <v>29530.68</v>
      </c>
    </row>
    <row r="381" spans="2:13" outlineLevel="4">
      <c r="B381" s="116" t="s">
        <v>761</v>
      </c>
      <c r="C381" s="129" t="s">
        <v>783</v>
      </c>
      <c r="D381" s="129" t="s">
        <v>663</v>
      </c>
      <c r="E381" s="189" t="s">
        <v>346</v>
      </c>
      <c r="F381" s="130"/>
      <c r="G381" s="254">
        <v>686.76</v>
      </c>
      <c r="H381" s="255"/>
      <c r="I381" s="255"/>
      <c r="J381" s="255"/>
      <c r="K381" s="256">
        <v>43</v>
      </c>
      <c r="L381" s="257">
        <f>SUM(H381:K381)</f>
        <v>43</v>
      </c>
      <c r="M381" s="258">
        <f>+L381*G381</f>
        <v>29530.68</v>
      </c>
    </row>
    <row r="382" spans="2:13" outlineLevel="3">
      <c r="B382" s="116"/>
      <c r="C382" s="158" t="s">
        <v>784</v>
      </c>
      <c r="D382" s="158" t="s">
        <v>641</v>
      </c>
      <c r="E382" s="188"/>
      <c r="F382" s="159"/>
      <c r="G382" s="116"/>
      <c r="H382" s="118"/>
      <c r="I382" s="118"/>
      <c r="J382" s="118"/>
      <c r="K382" s="120"/>
      <c r="L382" s="178"/>
      <c r="M382" s="160">
        <f>SUM(M383:M383)</f>
        <v>19572.66</v>
      </c>
    </row>
    <row r="383" spans="2:13" outlineLevel="4">
      <c r="B383" s="116" t="s">
        <v>696</v>
      </c>
      <c r="C383" s="129" t="s">
        <v>785</v>
      </c>
      <c r="D383" s="218" t="s">
        <v>643</v>
      </c>
      <c r="E383" s="189" t="s">
        <v>346</v>
      </c>
      <c r="F383" s="130"/>
      <c r="G383" s="131">
        <v>686.76</v>
      </c>
      <c r="H383" s="118"/>
      <c r="I383" s="118"/>
      <c r="J383" s="118"/>
      <c r="K383" s="120">
        <v>28.5</v>
      </c>
      <c r="L383" s="187">
        <f>SUM(H383:K383)</f>
        <v>28.5</v>
      </c>
      <c r="M383" s="134">
        <f>+L383*G383</f>
        <v>19572.66</v>
      </c>
    </row>
    <row r="384" spans="2:13" outlineLevel="3">
      <c r="B384" s="116"/>
      <c r="C384" s="129"/>
      <c r="D384" s="218"/>
      <c r="E384" s="189"/>
      <c r="F384" s="130"/>
      <c r="G384" s="131"/>
      <c r="H384" s="118"/>
      <c r="I384" s="118"/>
      <c r="J384" s="118"/>
      <c r="K384" s="120"/>
      <c r="L384" s="187"/>
      <c r="M384" s="134"/>
    </row>
    <row r="385" spans="2:13" outlineLevel="2">
      <c r="B385" s="116"/>
      <c r="C385" s="126" t="s">
        <v>786</v>
      </c>
      <c r="D385" s="126" t="s">
        <v>667</v>
      </c>
      <c r="E385" s="118" t="s">
        <v>99</v>
      </c>
      <c r="F385" s="127"/>
      <c r="G385" s="131"/>
      <c r="H385" s="118"/>
      <c r="I385" s="118"/>
      <c r="J385" s="118"/>
      <c r="K385" s="120"/>
      <c r="L385" s="178"/>
      <c r="M385" s="128">
        <f>+M386+M388+M390+M392</f>
        <v>75738.071478400001</v>
      </c>
    </row>
    <row r="386" spans="2:13" outlineLevel="3">
      <c r="B386" s="116"/>
      <c r="C386" s="158" t="s">
        <v>787</v>
      </c>
      <c r="D386" s="158" t="s">
        <v>669</v>
      </c>
      <c r="E386" s="188"/>
      <c r="F386" s="159"/>
      <c r="G386" s="116"/>
      <c r="H386" s="118"/>
      <c r="I386" s="118"/>
      <c r="J386" s="118"/>
      <c r="K386" s="120"/>
      <c r="L386" s="178"/>
      <c r="M386" s="160">
        <f>SUM(M387)</f>
        <v>62127.968800000002</v>
      </c>
    </row>
    <row r="387" spans="2:13" outlineLevel="4">
      <c r="B387" s="116" t="s">
        <v>688</v>
      </c>
      <c r="C387" s="129" t="s">
        <v>788</v>
      </c>
      <c r="D387" s="129" t="s">
        <v>789</v>
      </c>
      <c r="E387" s="189" t="s">
        <v>234</v>
      </c>
      <c r="F387" s="130"/>
      <c r="G387" s="131">
        <v>34.68</v>
      </c>
      <c r="H387" s="118"/>
      <c r="I387" s="183">
        <v>1761.4639215686275</v>
      </c>
      <c r="J387" s="118"/>
      <c r="K387" s="120">
        <v>30</v>
      </c>
      <c r="L387" s="187">
        <f>SUM(H387:K387)</f>
        <v>1791.4639215686275</v>
      </c>
      <c r="M387" s="134">
        <f>+L387*G387</f>
        <v>62127.968800000002</v>
      </c>
    </row>
    <row r="388" spans="2:13" outlineLevel="3">
      <c r="B388" s="116"/>
      <c r="C388" s="158" t="s">
        <v>790</v>
      </c>
      <c r="D388" s="158" t="s">
        <v>673</v>
      </c>
      <c r="E388" s="188"/>
      <c r="F388" s="159"/>
      <c r="G388" s="116"/>
      <c r="H388" s="118"/>
      <c r="I388" s="118"/>
      <c r="J388" s="118"/>
      <c r="K388" s="120"/>
      <c r="L388" s="178"/>
      <c r="M388" s="160">
        <f>SUM(M389)</f>
        <v>4069.7999999999997</v>
      </c>
    </row>
    <row r="389" spans="2:13" outlineLevel="4">
      <c r="B389" s="116" t="s">
        <v>696</v>
      </c>
      <c r="C389" s="129" t="s">
        <v>791</v>
      </c>
      <c r="D389" s="129" t="s">
        <v>792</v>
      </c>
      <c r="E389" s="189" t="s">
        <v>346</v>
      </c>
      <c r="F389" s="130"/>
      <c r="G389" s="131">
        <f>214.2*0.5</f>
        <v>107.1</v>
      </c>
      <c r="H389" s="118"/>
      <c r="I389" s="118"/>
      <c r="J389" s="118"/>
      <c r="K389" s="120">
        <v>38</v>
      </c>
      <c r="L389" s="187">
        <f>SUM(H389:K389)</f>
        <v>38</v>
      </c>
      <c r="M389" s="134">
        <f>+L389*G389</f>
        <v>4069.7999999999997</v>
      </c>
    </row>
    <row r="390" spans="2:13" outlineLevel="3">
      <c r="B390" s="116"/>
      <c r="C390" s="158" t="s">
        <v>793</v>
      </c>
      <c r="D390" s="158" t="s">
        <v>613</v>
      </c>
      <c r="E390" s="188"/>
      <c r="F390" s="159"/>
      <c r="G390" s="116"/>
      <c r="H390" s="118"/>
      <c r="I390" s="118"/>
      <c r="J390" s="118"/>
      <c r="K390" s="120"/>
      <c r="L390" s="178"/>
      <c r="M390" s="160">
        <f>SUM(M391)</f>
        <v>9540.3026784000012</v>
      </c>
    </row>
    <row r="391" spans="2:13" s="228" customFormat="1" outlineLevel="4">
      <c r="B391" s="221" t="s">
        <v>75</v>
      </c>
      <c r="C391" s="222" t="s">
        <v>794</v>
      </c>
      <c r="D391" s="222" t="s">
        <v>795</v>
      </c>
      <c r="E391" s="223" t="s">
        <v>424</v>
      </c>
      <c r="F391" s="224"/>
      <c r="G391" s="229">
        <v>3218.7256000000002</v>
      </c>
      <c r="H391" s="230"/>
      <c r="I391" s="231">
        <f>780*3.8/1000</f>
        <v>2.964</v>
      </c>
      <c r="J391" s="230"/>
      <c r="K391" s="259">
        <v>0</v>
      </c>
      <c r="L391" s="226">
        <f>SUM(H391:K391)</f>
        <v>2.964</v>
      </c>
      <c r="M391" s="227">
        <f>+L391*G391</f>
        <v>9540.3026784000012</v>
      </c>
    </row>
    <row r="392" spans="2:13" outlineLevel="3">
      <c r="B392" s="116"/>
      <c r="C392" s="158" t="s">
        <v>796</v>
      </c>
      <c r="D392" s="158" t="s">
        <v>680</v>
      </c>
      <c r="E392" s="188"/>
      <c r="F392" s="159"/>
      <c r="G392" s="116"/>
      <c r="H392" s="118"/>
      <c r="I392" s="118"/>
      <c r="J392" s="118"/>
      <c r="K392" s="120"/>
      <c r="L392" s="178"/>
      <c r="M392" s="160">
        <f>SUM(M393)</f>
        <v>0</v>
      </c>
    </row>
    <row r="393" spans="2:13" outlineLevel="4">
      <c r="B393" s="116" t="s">
        <v>696</v>
      </c>
      <c r="C393" s="129" t="s">
        <v>797</v>
      </c>
      <c r="D393" s="129" t="s">
        <v>798</v>
      </c>
      <c r="E393" s="189" t="s">
        <v>346</v>
      </c>
      <c r="F393" s="130"/>
      <c r="G393" s="131">
        <v>214.2</v>
      </c>
      <c r="H393" s="118"/>
      <c r="I393" s="183">
        <v>0</v>
      </c>
      <c r="J393" s="118"/>
      <c r="K393" s="120">
        <v>0</v>
      </c>
      <c r="L393" s="187">
        <f>SUM(H393:K393)</f>
        <v>0</v>
      </c>
      <c r="M393" s="134">
        <f>+L393*G393</f>
        <v>0</v>
      </c>
    </row>
    <row r="394" spans="2:13" outlineLevel="3">
      <c r="B394" s="116"/>
      <c r="C394" s="129"/>
      <c r="D394" s="129"/>
      <c r="E394" s="189"/>
      <c r="F394" s="130"/>
      <c r="G394" s="131"/>
      <c r="H394" s="118"/>
      <c r="I394" s="183"/>
      <c r="J394" s="118"/>
      <c r="K394" s="120"/>
      <c r="L394" s="187"/>
      <c r="M394" s="134"/>
    </row>
    <row r="395" spans="2:13" outlineLevel="2">
      <c r="B395" s="116"/>
      <c r="C395" s="126" t="s">
        <v>799</v>
      </c>
      <c r="D395" s="260" t="s">
        <v>800</v>
      </c>
      <c r="E395" s="118" t="s">
        <v>99</v>
      </c>
      <c r="F395" s="127"/>
      <c r="G395" s="131"/>
      <c r="H395" s="118"/>
      <c r="I395" s="118"/>
      <c r="J395" s="118"/>
      <c r="K395" s="120"/>
      <c r="L395" s="178"/>
      <c r="M395" s="128">
        <f>SUM(M396:M399)</f>
        <v>113705.74799999999</v>
      </c>
    </row>
    <row r="396" spans="2:13" outlineLevel="3">
      <c r="B396" s="116" t="s">
        <v>688</v>
      </c>
      <c r="C396" s="129" t="s">
        <v>801</v>
      </c>
      <c r="D396" s="195" t="s">
        <v>802</v>
      </c>
      <c r="E396" s="196" t="s">
        <v>234</v>
      </c>
      <c r="F396" s="130"/>
      <c r="G396" s="136">
        <v>66.3</v>
      </c>
      <c r="H396" s="118"/>
      <c r="I396" s="183">
        <v>273</v>
      </c>
      <c r="J396" s="118"/>
      <c r="K396" s="120">
        <v>30</v>
      </c>
      <c r="L396" s="187">
        <f>SUM(H396:K396)</f>
        <v>303</v>
      </c>
      <c r="M396" s="134">
        <f>+L396*G396</f>
        <v>20088.899999999998</v>
      </c>
    </row>
    <row r="397" spans="2:13" outlineLevel="3">
      <c r="B397" s="116" t="s">
        <v>696</v>
      </c>
      <c r="C397" s="129" t="s">
        <v>803</v>
      </c>
      <c r="D397" s="195" t="s">
        <v>804</v>
      </c>
      <c r="E397" s="196" t="s">
        <v>346</v>
      </c>
      <c r="F397" s="130"/>
      <c r="G397" s="136">
        <v>774</v>
      </c>
      <c r="H397" s="118"/>
      <c r="I397" s="118"/>
      <c r="J397" s="118"/>
      <c r="K397" s="120">
        <v>50</v>
      </c>
      <c r="L397" s="187">
        <f>SUM(H397:K397)</f>
        <v>50</v>
      </c>
      <c r="M397" s="134">
        <f>+L397*G397</f>
        <v>38700</v>
      </c>
    </row>
    <row r="398" spans="2:13" s="228" customFormat="1" outlineLevel="3">
      <c r="B398" s="221" t="s">
        <v>75</v>
      </c>
      <c r="C398" s="222" t="s">
        <v>805</v>
      </c>
      <c r="D398" s="222" t="s">
        <v>806</v>
      </c>
      <c r="E398" s="223" t="s">
        <v>424</v>
      </c>
      <c r="F398" s="224"/>
      <c r="G398" s="229">
        <v>12384</v>
      </c>
      <c r="H398" s="230"/>
      <c r="I398" s="231">
        <f>+(780+80)*3.8/1000</f>
        <v>3.2679999999999998</v>
      </c>
      <c r="J398" s="231"/>
      <c r="K398" s="231">
        <f>+(280)*3.8/1000</f>
        <v>1.0640000000000001</v>
      </c>
      <c r="L398" s="226">
        <f>SUM(H398:K398)</f>
        <v>4.3319999999999999</v>
      </c>
      <c r="M398" s="227">
        <f>+L398*G398</f>
        <v>53647.487999999998</v>
      </c>
    </row>
    <row r="399" spans="2:13" outlineLevel="3">
      <c r="B399" s="116" t="s">
        <v>696</v>
      </c>
      <c r="C399" s="129" t="s">
        <v>807</v>
      </c>
      <c r="D399" s="195" t="s">
        <v>400</v>
      </c>
      <c r="E399" s="196" t="s">
        <v>346</v>
      </c>
      <c r="F399" s="130"/>
      <c r="G399" s="136">
        <v>774</v>
      </c>
      <c r="H399" s="118"/>
      <c r="I399" s="183">
        <v>0.44</v>
      </c>
      <c r="J399" s="118"/>
      <c r="K399" s="120">
        <v>1.2</v>
      </c>
      <c r="L399" s="187">
        <f>SUM(H399:K399)</f>
        <v>1.64</v>
      </c>
      <c r="M399" s="134">
        <f>+L399*G399</f>
        <v>1269.3599999999999</v>
      </c>
    </row>
    <row r="400" spans="2:13" outlineLevel="2">
      <c r="B400" s="116"/>
      <c r="C400" s="126" t="s">
        <v>808</v>
      </c>
      <c r="D400" s="260" t="s">
        <v>809</v>
      </c>
      <c r="E400" s="118" t="s">
        <v>99</v>
      </c>
      <c r="F400" s="127"/>
      <c r="G400" s="131"/>
      <c r="H400" s="118"/>
      <c r="I400" s="118"/>
      <c r="J400" s="118"/>
      <c r="K400" s="120"/>
      <c r="L400" s="178"/>
      <c r="M400" s="128">
        <f>SUM(M401:M404)</f>
        <v>6804.7999999999993</v>
      </c>
    </row>
    <row r="401" spans="2:13" outlineLevel="3">
      <c r="B401" s="116" t="s">
        <v>688</v>
      </c>
      <c r="C401" s="129" t="s">
        <v>810</v>
      </c>
      <c r="D401" s="195" t="s">
        <v>802</v>
      </c>
      <c r="E401" s="196" t="s">
        <v>234</v>
      </c>
      <c r="F401" s="130"/>
      <c r="G401" s="136">
        <v>3.75</v>
      </c>
      <c r="H401" s="118"/>
      <c r="I401" s="183">
        <v>273</v>
      </c>
      <c r="J401" s="118"/>
      <c r="K401" s="120">
        <v>30</v>
      </c>
      <c r="L401" s="187">
        <f>SUM(H401:K401)</f>
        <v>303</v>
      </c>
      <c r="M401" s="134">
        <f>+L401*G401</f>
        <v>1136.25</v>
      </c>
    </row>
    <row r="402" spans="2:13" outlineLevel="3">
      <c r="B402" s="116" t="s">
        <v>696</v>
      </c>
      <c r="C402" s="129" t="s">
        <v>811</v>
      </c>
      <c r="D402" s="195" t="s">
        <v>804</v>
      </c>
      <c r="E402" s="196" t="s">
        <v>346</v>
      </c>
      <c r="F402" s="130"/>
      <c r="G402" s="136">
        <v>50</v>
      </c>
      <c r="H402" s="118"/>
      <c r="I402" s="118"/>
      <c r="J402" s="118"/>
      <c r="K402" s="120">
        <v>50</v>
      </c>
      <c r="L402" s="187">
        <f>SUM(H402:K402)</f>
        <v>50</v>
      </c>
      <c r="M402" s="134">
        <f>+L402*G402</f>
        <v>2500</v>
      </c>
    </row>
    <row r="403" spans="2:13" s="228" customFormat="1" outlineLevel="3">
      <c r="B403" s="221" t="s">
        <v>75</v>
      </c>
      <c r="C403" s="222" t="s">
        <v>812</v>
      </c>
      <c r="D403" s="222" t="s">
        <v>806</v>
      </c>
      <c r="E403" s="223" t="s">
        <v>424</v>
      </c>
      <c r="F403" s="224"/>
      <c r="G403" s="229">
        <v>712.5</v>
      </c>
      <c r="H403" s="230"/>
      <c r="I403" s="231">
        <f>+(780+80)*3.8/1000</f>
        <v>3.2679999999999998</v>
      </c>
      <c r="J403" s="231"/>
      <c r="K403" s="231">
        <f>+(280)*3.8/1000</f>
        <v>1.0640000000000001</v>
      </c>
      <c r="L403" s="226">
        <f>SUM(H403:K403)</f>
        <v>4.3319999999999999</v>
      </c>
      <c r="M403" s="227">
        <f>+L403*G403</f>
        <v>3086.5499999999997</v>
      </c>
    </row>
    <row r="404" spans="2:13" outlineLevel="3">
      <c r="B404" s="116" t="s">
        <v>696</v>
      </c>
      <c r="C404" s="129" t="s">
        <v>813</v>
      </c>
      <c r="D404" s="195" t="s">
        <v>400</v>
      </c>
      <c r="E404" s="196" t="s">
        <v>346</v>
      </c>
      <c r="F404" s="130"/>
      <c r="G404" s="136">
        <v>50</v>
      </c>
      <c r="H404" s="118"/>
      <c r="I404" s="183">
        <v>0.44</v>
      </c>
      <c r="J404" s="118"/>
      <c r="K404" s="120">
        <v>1.2</v>
      </c>
      <c r="L404" s="187">
        <f>SUM(H404:K404)</f>
        <v>1.64</v>
      </c>
      <c r="M404" s="134">
        <f>+L404*G404</f>
        <v>82</v>
      </c>
    </row>
    <row r="405" spans="2:13" outlineLevel="2">
      <c r="B405" s="116"/>
      <c r="C405" s="126" t="s">
        <v>814</v>
      </c>
      <c r="D405" s="260" t="s">
        <v>815</v>
      </c>
      <c r="E405" s="118" t="s">
        <v>99</v>
      </c>
      <c r="F405" s="127"/>
      <c r="G405" s="131"/>
      <c r="H405" s="118"/>
      <c r="I405" s="118"/>
      <c r="J405" s="118"/>
      <c r="K405" s="120"/>
      <c r="L405" s="178"/>
      <c r="M405" s="128">
        <f>SUM(M406:M409)</f>
        <v>37656.016000000003</v>
      </c>
    </row>
    <row r="406" spans="2:13" outlineLevel="3">
      <c r="B406" s="116" t="s">
        <v>688</v>
      </c>
      <c r="C406" s="129" t="s">
        <v>816</v>
      </c>
      <c r="D406" s="195" t="s">
        <v>802</v>
      </c>
      <c r="E406" s="196" t="s">
        <v>234</v>
      </c>
      <c r="F406" s="130"/>
      <c r="G406" s="136">
        <v>27.6</v>
      </c>
      <c r="H406" s="118"/>
      <c r="I406" s="183">
        <v>273</v>
      </c>
      <c r="J406" s="118"/>
      <c r="K406" s="120">
        <v>30</v>
      </c>
      <c r="L406" s="187">
        <f>SUM(H406:K406)</f>
        <v>303</v>
      </c>
      <c r="M406" s="134">
        <f>+L406*G406</f>
        <v>8362.8000000000011</v>
      </c>
    </row>
    <row r="407" spans="2:13" outlineLevel="3">
      <c r="B407" s="116" t="s">
        <v>696</v>
      </c>
      <c r="C407" s="129" t="s">
        <v>817</v>
      </c>
      <c r="D407" s="195" t="s">
        <v>804</v>
      </c>
      <c r="E407" s="196" t="s">
        <v>346</v>
      </c>
      <c r="F407" s="130"/>
      <c r="G407" s="136">
        <v>226</v>
      </c>
      <c r="H407" s="118"/>
      <c r="I407" s="118"/>
      <c r="J407" s="118"/>
      <c r="K407" s="120">
        <v>50</v>
      </c>
      <c r="L407" s="187">
        <f>SUM(H407:K407)</f>
        <v>50</v>
      </c>
      <c r="M407" s="134">
        <f>+L407*G407</f>
        <v>11300</v>
      </c>
    </row>
    <row r="408" spans="2:13" s="228" customFormat="1" outlineLevel="3">
      <c r="B408" s="221" t="s">
        <v>75</v>
      </c>
      <c r="C408" s="222" t="s">
        <v>818</v>
      </c>
      <c r="D408" s="222" t="s">
        <v>806</v>
      </c>
      <c r="E408" s="223" t="s">
        <v>424</v>
      </c>
      <c r="F408" s="224"/>
      <c r="G408" s="229">
        <v>4068</v>
      </c>
      <c r="H408" s="230"/>
      <c r="I408" s="231">
        <f>+(780+80)*3.8/1000</f>
        <v>3.2679999999999998</v>
      </c>
      <c r="J408" s="231"/>
      <c r="K408" s="231">
        <f>+(280)*3.8/1000</f>
        <v>1.0640000000000001</v>
      </c>
      <c r="L408" s="226">
        <f>SUM(H408:K408)</f>
        <v>4.3319999999999999</v>
      </c>
      <c r="M408" s="227">
        <f>+L408*G408</f>
        <v>17622.576000000001</v>
      </c>
    </row>
    <row r="409" spans="2:13" outlineLevel="3">
      <c r="B409" s="116" t="s">
        <v>696</v>
      </c>
      <c r="C409" s="129" t="s">
        <v>819</v>
      </c>
      <c r="D409" s="195" t="s">
        <v>400</v>
      </c>
      <c r="E409" s="196" t="s">
        <v>346</v>
      </c>
      <c r="F409" s="130"/>
      <c r="G409" s="136">
        <v>226</v>
      </c>
      <c r="H409" s="118"/>
      <c r="I409" s="183">
        <v>0.44</v>
      </c>
      <c r="J409" s="118"/>
      <c r="K409" s="120">
        <v>1.2</v>
      </c>
      <c r="L409" s="187">
        <f>SUM(H409:K409)</f>
        <v>1.64</v>
      </c>
      <c r="M409" s="134">
        <f>+L409*G409</f>
        <v>370.64</v>
      </c>
    </row>
    <row r="410" spans="2:13" outlineLevel="2">
      <c r="B410" s="116"/>
      <c r="C410" s="126" t="s">
        <v>820</v>
      </c>
      <c r="D410" s="260" t="s">
        <v>821</v>
      </c>
      <c r="E410" s="118" t="s">
        <v>99</v>
      </c>
      <c r="F410" s="127"/>
      <c r="G410" s="131"/>
      <c r="H410" s="118"/>
      <c r="I410" s="118"/>
      <c r="J410" s="118"/>
      <c r="K410" s="120"/>
      <c r="L410" s="178"/>
      <c r="M410" s="128">
        <f>SUM(M411:M414)</f>
        <v>3255.8240000000001</v>
      </c>
    </row>
    <row r="411" spans="2:13" outlineLevel="3">
      <c r="B411" s="116" t="s">
        <v>688</v>
      </c>
      <c r="C411" s="129" t="s">
        <v>822</v>
      </c>
      <c r="D411" s="195" t="s">
        <v>802</v>
      </c>
      <c r="E411" s="196" t="s">
        <v>234</v>
      </c>
      <c r="F411" s="130"/>
      <c r="G411" s="136">
        <v>3.5</v>
      </c>
      <c r="H411" s="118"/>
      <c r="I411" s="183">
        <v>273</v>
      </c>
      <c r="J411" s="118"/>
      <c r="K411" s="120">
        <v>30</v>
      </c>
      <c r="L411" s="187">
        <f>SUM(H411:K411)</f>
        <v>303</v>
      </c>
      <c r="M411" s="134">
        <f>+L411*G411</f>
        <v>1060.5</v>
      </c>
    </row>
    <row r="412" spans="2:13" outlineLevel="3">
      <c r="B412" s="116" t="s">
        <v>696</v>
      </c>
      <c r="C412" s="129" t="s">
        <v>823</v>
      </c>
      <c r="D412" s="195" t="s">
        <v>804</v>
      </c>
      <c r="E412" s="196" t="s">
        <v>346</v>
      </c>
      <c r="F412" s="130"/>
      <c r="G412" s="136">
        <v>15.5</v>
      </c>
      <c r="H412" s="118"/>
      <c r="I412" s="118"/>
      <c r="J412" s="118"/>
      <c r="K412" s="120">
        <v>50</v>
      </c>
      <c r="L412" s="187">
        <f>SUM(H412:K412)</f>
        <v>50</v>
      </c>
      <c r="M412" s="134">
        <f>+L412*G412</f>
        <v>775</v>
      </c>
    </row>
    <row r="413" spans="2:13" s="230" customFormat="1" ht="10.199999999999999" outlineLevel="3">
      <c r="B413" s="221" t="s">
        <v>75</v>
      </c>
      <c r="C413" s="222" t="s">
        <v>824</v>
      </c>
      <c r="D413" s="222" t="s">
        <v>806</v>
      </c>
      <c r="E413" s="223" t="s">
        <v>424</v>
      </c>
      <c r="F413" s="224"/>
      <c r="G413" s="229">
        <v>322</v>
      </c>
      <c r="I413" s="231">
        <f>+(780+80)*3.8/1000</f>
        <v>3.2679999999999998</v>
      </c>
      <c r="J413" s="231"/>
      <c r="K413" s="231">
        <f>+(280)*3.8/1000</f>
        <v>1.0640000000000001</v>
      </c>
      <c r="L413" s="226">
        <f>SUM(H413:K413)</f>
        <v>4.3319999999999999</v>
      </c>
      <c r="M413" s="227">
        <f>+L413*G413</f>
        <v>1394.904</v>
      </c>
    </row>
    <row r="414" spans="2:13" s="118" customFormat="1" ht="10.199999999999999" outlineLevel="3">
      <c r="B414" s="116" t="s">
        <v>696</v>
      </c>
      <c r="C414" s="129" t="s">
        <v>825</v>
      </c>
      <c r="D414" s="195" t="s">
        <v>400</v>
      </c>
      <c r="E414" s="196" t="s">
        <v>346</v>
      </c>
      <c r="F414" s="130"/>
      <c r="G414" s="136">
        <v>15.5</v>
      </c>
      <c r="I414" s="183">
        <v>0.44</v>
      </c>
      <c r="K414" s="120">
        <v>1.2</v>
      </c>
      <c r="L414" s="187">
        <f>SUM(H414:K414)</f>
        <v>1.64</v>
      </c>
      <c r="M414" s="134">
        <f>+L414*G414</f>
        <v>25.419999999999998</v>
      </c>
    </row>
    <row r="415" spans="2:13" s="118" customFormat="1" ht="10.199999999999999" outlineLevel="2">
      <c r="B415" s="116"/>
      <c r="C415" s="129"/>
      <c r="D415" s="195"/>
      <c r="E415" s="196"/>
      <c r="F415" s="130"/>
      <c r="G415" s="136"/>
      <c r="I415" s="183"/>
      <c r="K415" s="120"/>
      <c r="L415" s="187"/>
      <c r="M415" s="134"/>
    </row>
    <row r="416" spans="2:13" s="118" customFormat="1" ht="10.199999999999999" outlineLevel="1">
      <c r="B416" s="116"/>
      <c r="C416" s="129"/>
      <c r="D416" s="195"/>
      <c r="E416" s="196"/>
      <c r="F416" s="130"/>
      <c r="G416" s="136"/>
      <c r="I416" s="183"/>
      <c r="K416" s="120"/>
      <c r="L416" s="187"/>
      <c r="M416" s="134"/>
    </row>
    <row r="417" spans="2:13" s="118" customFormat="1" ht="10.199999999999999">
      <c r="B417" s="116"/>
      <c r="C417" s="129"/>
      <c r="D417" s="195"/>
      <c r="E417" s="196"/>
      <c r="F417" s="130"/>
      <c r="G417" s="136"/>
      <c r="I417" s="183"/>
      <c r="K417" s="120"/>
      <c r="L417" s="187"/>
      <c r="M417" s="134"/>
    </row>
    <row r="418" spans="2:13" s="118" customFormat="1" ht="10.199999999999999">
      <c r="B418" s="116"/>
      <c r="C418" s="117" t="s">
        <v>826</v>
      </c>
      <c r="D418" s="117" t="s">
        <v>827</v>
      </c>
      <c r="F418" s="119"/>
      <c r="G418" s="116"/>
      <c r="I418" s="120"/>
      <c r="J418" s="120"/>
      <c r="K418" s="120"/>
      <c r="L418" s="133"/>
      <c r="M418" s="122">
        <f>+M419+M541</f>
        <v>13567484.965185057</v>
      </c>
    </row>
    <row r="419" spans="2:13" s="118" customFormat="1" ht="10.199999999999999" outlineLevel="1">
      <c r="B419" s="116"/>
      <c r="C419" s="123" t="s">
        <v>828</v>
      </c>
      <c r="D419" s="123" t="s">
        <v>829</v>
      </c>
      <c r="F419" s="262"/>
      <c r="G419" s="116"/>
      <c r="I419" s="120"/>
      <c r="J419" s="120"/>
      <c r="K419" s="120"/>
      <c r="L419" s="133"/>
      <c r="M419" s="263">
        <f>+M420+M439+M458+M470+M477+M486+M500+M504</f>
        <v>869562.39123695658</v>
      </c>
    </row>
    <row r="420" spans="2:13" s="118" customFormat="1" ht="10.199999999999999" outlineLevel="2">
      <c r="B420" s="116"/>
      <c r="C420" s="126" t="s">
        <v>830</v>
      </c>
      <c r="D420" s="126" t="s">
        <v>831</v>
      </c>
      <c r="F420" s="161"/>
      <c r="G420" s="116"/>
      <c r="I420" s="120"/>
      <c r="J420" s="120"/>
      <c r="K420" s="120"/>
      <c r="L420" s="133"/>
      <c r="M420" s="264">
        <f>+M421+M423+M433</f>
        <v>177133.68037706663</v>
      </c>
    </row>
    <row r="421" spans="2:13" s="118" customFormat="1" ht="10.199999999999999" outlineLevel="3">
      <c r="B421" s="116"/>
      <c r="C421" s="158" t="s">
        <v>832</v>
      </c>
      <c r="D421" s="158" t="s">
        <v>833</v>
      </c>
      <c r="F421" s="266"/>
      <c r="G421" s="116"/>
      <c r="I421" s="120"/>
      <c r="J421" s="120"/>
      <c r="K421" s="120"/>
      <c r="L421" s="133"/>
      <c r="M421" s="267">
        <f>SUM(M422:M422)</f>
        <v>5466.9999999999964</v>
      </c>
    </row>
    <row r="422" spans="2:13" s="118" customFormat="1" ht="10.199999999999999" outlineLevel="4">
      <c r="B422" s="269" t="s">
        <v>834</v>
      </c>
      <c r="C422" s="129" t="s">
        <v>835</v>
      </c>
      <c r="D422" s="210" t="s">
        <v>836</v>
      </c>
      <c r="E422" s="129" t="s">
        <v>251</v>
      </c>
      <c r="F422" s="130"/>
      <c r="G422" s="131">
        <v>70.999999999999957</v>
      </c>
      <c r="I422" s="120"/>
      <c r="J422" s="120"/>
      <c r="K422" s="120">
        <f>110*0.7</f>
        <v>77</v>
      </c>
      <c r="L422" s="270">
        <f>SUM(H422:K422)</f>
        <v>77</v>
      </c>
      <c r="M422" s="134">
        <f>+L422*G422</f>
        <v>5466.9999999999964</v>
      </c>
    </row>
    <row r="423" spans="2:13" s="118" customFormat="1" ht="10.199999999999999" outlineLevel="3">
      <c r="B423" s="116"/>
      <c r="C423" s="158" t="s">
        <v>837</v>
      </c>
      <c r="D423" s="158" t="s">
        <v>838</v>
      </c>
      <c r="F423" s="266"/>
      <c r="G423" s="116"/>
      <c r="I423" s="120"/>
      <c r="J423" s="120"/>
      <c r="K423" s="120"/>
      <c r="L423" s="133"/>
      <c r="M423" s="267">
        <f>SUM(M424:M432)</f>
        <v>152362.13637706664</v>
      </c>
    </row>
    <row r="424" spans="2:13" s="255" customFormat="1" ht="10.199999999999999" outlineLevel="4">
      <c r="B424" s="269" t="s">
        <v>839</v>
      </c>
      <c r="C424" s="244" t="s">
        <v>840</v>
      </c>
      <c r="D424" s="244" t="s">
        <v>841</v>
      </c>
      <c r="E424" s="244" t="s">
        <v>346</v>
      </c>
      <c r="F424" s="271"/>
      <c r="G424" s="254">
        <v>394.39599999999996</v>
      </c>
      <c r="I424" s="256"/>
      <c r="J424" s="256"/>
      <c r="K424" s="256">
        <v>95</v>
      </c>
      <c r="L424" s="272">
        <f>SUM(H424:K424)</f>
        <v>95</v>
      </c>
      <c r="M424" s="258">
        <f t="shared" ref="M424:M432" si="12">+L424*G424</f>
        <v>37467.619999999995</v>
      </c>
    </row>
    <row r="425" spans="2:13" s="255" customFormat="1" ht="10.199999999999999" outlineLevel="4">
      <c r="B425" s="269" t="s">
        <v>839</v>
      </c>
      <c r="C425" s="244" t="s">
        <v>842</v>
      </c>
      <c r="D425" s="244" t="s">
        <v>843</v>
      </c>
      <c r="E425" s="244" t="s">
        <v>346</v>
      </c>
      <c r="F425" s="271"/>
      <c r="G425" s="254">
        <v>176.97099999999998</v>
      </c>
      <c r="I425" s="256"/>
      <c r="J425" s="256"/>
      <c r="K425" s="256">
        <v>96.5</v>
      </c>
      <c r="L425" s="272">
        <f>SUM(H425:K425)</f>
        <v>96.5</v>
      </c>
      <c r="M425" s="258">
        <f t="shared" si="12"/>
        <v>17077.701499999999</v>
      </c>
    </row>
    <row r="426" spans="2:13" s="168" customFormat="1" ht="10.199999999999999" outlineLevel="4">
      <c r="B426" s="166" t="s">
        <v>839</v>
      </c>
      <c r="C426" s="117" t="s">
        <v>844</v>
      </c>
      <c r="D426" s="117" t="s">
        <v>845</v>
      </c>
      <c r="E426" s="117" t="s">
        <v>346</v>
      </c>
      <c r="F426" s="142"/>
      <c r="G426" s="167">
        <v>45.664999999999992</v>
      </c>
      <c r="I426" s="169"/>
      <c r="J426" s="169"/>
      <c r="K426" s="169">
        <v>106.5</v>
      </c>
      <c r="L426" s="273">
        <f>SUM(H426:K426)*0</f>
        <v>0</v>
      </c>
      <c r="M426" s="143">
        <f t="shared" si="12"/>
        <v>0</v>
      </c>
    </row>
    <row r="427" spans="2:13" s="255" customFormat="1" ht="10.199999999999999" outlineLevel="4">
      <c r="B427" s="269" t="s">
        <v>839</v>
      </c>
      <c r="C427" s="244" t="s">
        <v>846</v>
      </c>
      <c r="D427" s="244" t="s">
        <v>847</v>
      </c>
      <c r="E427" s="244" t="s">
        <v>346</v>
      </c>
      <c r="F427" s="271"/>
      <c r="G427" s="254">
        <v>821.94100000000003</v>
      </c>
      <c r="I427" s="256"/>
      <c r="J427" s="256"/>
      <c r="K427" s="256">
        <v>104.5</v>
      </c>
      <c r="L427" s="272">
        <f>SUM(H427:K427)</f>
        <v>104.5</v>
      </c>
      <c r="M427" s="258">
        <f t="shared" si="12"/>
        <v>85892.834499999997</v>
      </c>
    </row>
    <row r="428" spans="2:13" s="168" customFormat="1" ht="10.199999999999999" outlineLevel="4">
      <c r="B428" s="166" t="s">
        <v>839</v>
      </c>
      <c r="C428" s="117" t="s">
        <v>848</v>
      </c>
      <c r="D428" s="117" t="s">
        <v>849</v>
      </c>
      <c r="E428" s="117" t="s">
        <v>346</v>
      </c>
      <c r="F428" s="142"/>
      <c r="G428" s="167">
        <v>405.73230000000001</v>
      </c>
      <c r="I428" s="169"/>
      <c r="J428" s="169"/>
      <c r="K428" s="169">
        <v>104.5</v>
      </c>
      <c r="L428" s="273">
        <f>SUM(H428:K428)*0</f>
        <v>0</v>
      </c>
      <c r="M428" s="143">
        <f t="shared" si="12"/>
        <v>0</v>
      </c>
    </row>
    <row r="429" spans="2:13" s="168" customFormat="1" ht="10.199999999999999" outlineLevel="4">
      <c r="B429" s="166" t="s">
        <v>839</v>
      </c>
      <c r="C429" s="117" t="s">
        <v>850</v>
      </c>
      <c r="D429" s="117" t="s">
        <v>851</v>
      </c>
      <c r="E429" s="117" t="s">
        <v>346</v>
      </c>
      <c r="F429" s="142"/>
      <c r="G429" s="167">
        <v>3.5684999999999998</v>
      </c>
      <c r="I429" s="169"/>
      <c r="J429" s="169"/>
      <c r="K429" s="169">
        <v>225</v>
      </c>
      <c r="L429" s="273">
        <f>SUM(H429:K429)*0</f>
        <v>0</v>
      </c>
      <c r="M429" s="143">
        <f t="shared" si="12"/>
        <v>0</v>
      </c>
    </row>
    <row r="430" spans="2:13" s="255" customFormat="1" ht="10.199999999999999" outlineLevel="4">
      <c r="B430" s="269" t="s">
        <v>839</v>
      </c>
      <c r="C430" s="244" t="s">
        <v>846</v>
      </c>
      <c r="D430" s="274" t="s">
        <v>852</v>
      </c>
      <c r="E430" s="244" t="s">
        <v>424</v>
      </c>
      <c r="F430" s="271"/>
      <c r="G430" s="254">
        <f>+(G427+G425+G424)*2.8</f>
        <v>3901.2623999999996</v>
      </c>
      <c r="I430" s="256">
        <f>795*3.8/1000</f>
        <v>3.0209999999999999</v>
      </c>
      <c r="J430" s="256"/>
      <c r="K430" s="256">
        <v>0</v>
      </c>
      <c r="L430" s="272">
        <f>SUM(H430:K430)</f>
        <v>3.0209999999999999</v>
      </c>
      <c r="M430" s="258">
        <f t="shared" si="12"/>
        <v>11785.713710399998</v>
      </c>
    </row>
    <row r="431" spans="2:13" s="168" customFormat="1" ht="10.199999999999999" outlineLevel="4">
      <c r="B431" s="166" t="s">
        <v>839</v>
      </c>
      <c r="C431" s="117" t="s">
        <v>853</v>
      </c>
      <c r="D431" s="220" t="s">
        <v>854</v>
      </c>
      <c r="E431" s="117" t="s">
        <v>135</v>
      </c>
      <c r="F431" s="142"/>
      <c r="G431" s="167">
        <v>323.39999999999958</v>
      </c>
      <c r="H431" s="168">
        <v>41</v>
      </c>
      <c r="I431" s="169">
        <v>10</v>
      </c>
      <c r="J431" s="169"/>
      <c r="K431" s="169"/>
      <c r="L431" s="273">
        <f>SUM(H431:K431)*0</f>
        <v>0</v>
      </c>
      <c r="M431" s="143">
        <f t="shared" si="12"/>
        <v>0</v>
      </c>
    </row>
    <row r="432" spans="2:13" s="118" customFormat="1" ht="10.199999999999999" outlineLevel="4">
      <c r="B432" s="116" t="s">
        <v>855</v>
      </c>
      <c r="C432" s="129" t="s">
        <v>856</v>
      </c>
      <c r="D432" s="181" t="s">
        <v>857</v>
      </c>
      <c r="E432" s="129" t="s">
        <v>135</v>
      </c>
      <c r="F432" s="130"/>
      <c r="G432" s="131">
        <v>1.7</v>
      </c>
      <c r="I432" s="120"/>
      <c r="J432" s="120"/>
      <c r="K432" s="120">
        <v>81.333333333333329</v>
      </c>
      <c r="L432" s="270">
        <f>SUM(H432:K432)</f>
        <v>81.333333333333329</v>
      </c>
      <c r="M432" s="134">
        <f t="shared" si="12"/>
        <v>138.26666666666665</v>
      </c>
    </row>
    <row r="433" spans="1:13" s="118" customFormat="1" ht="10.199999999999999" outlineLevel="3">
      <c r="B433" s="116"/>
      <c r="C433" s="158" t="s">
        <v>858</v>
      </c>
      <c r="D433" s="158" t="s">
        <v>859</v>
      </c>
      <c r="F433" s="266"/>
      <c r="G433" s="116"/>
      <c r="I433" s="120"/>
      <c r="J433" s="120"/>
      <c r="K433" s="120"/>
      <c r="L433" s="133"/>
      <c r="M433" s="267">
        <f>SUM(M434:M437)</f>
        <v>19304.544000000002</v>
      </c>
    </row>
    <row r="434" spans="1:13" s="118" customFormat="1" ht="10.199999999999999" outlineLevel="4">
      <c r="B434" s="116" t="s">
        <v>834</v>
      </c>
      <c r="C434" s="129" t="s">
        <v>860</v>
      </c>
      <c r="D434" s="129" t="s">
        <v>861</v>
      </c>
      <c r="E434" s="129" t="s">
        <v>251</v>
      </c>
      <c r="F434" s="130"/>
      <c r="G434" s="131">
        <v>4</v>
      </c>
      <c r="I434" s="120"/>
      <c r="J434" s="120"/>
      <c r="K434" s="120">
        <f>120*0.7</f>
        <v>84</v>
      </c>
      <c r="L434" s="270">
        <f>SUM(H434:K434)</f>
        <v>84</v>
      </c>
      <c r="M434" s="134">
        <f>+L434*G434</f>
        <v>336</v>
      </c>
    </row>
    <row r="435" spans="1:13" s="118" customFormat="1" ht="10.199999999999999" outlineLevel="4">
      <c r="B435" s="116" t="s">
        <v>834</v>
      </c>
      <c r="C435" s="129" t="s">
        <v>862</v>
      </c>
      <c r="D435" s="129" t="s">
        <v>863</v>
      </c>
      <c r="E435" s="129" t="s">
        <v>346</v>
      </c>
      <c r="F435" s="130"/>
      <c r="G435" s="131">
        <v>18.055999999999997</v>
      </c>
      <c r="I435" s="120"/>
      <c r="J435" s="120"/>
      <c r="K435" s="120">
        <f>120*0.7</f>
        <v>84</v>
      </c>
      <c r="L435" s="270">
        <f>SUM(H435:K435)</f>
        <v>84</v>
      </c>
      <c r="M435" s="134">
        <f>+L435*G435</f>
        <v>1516.7039999999997</v>
      </c>
    </row>
    <row r="436" spans="1:13" s="118" customFormat="1" ht="10.199999999999999" outlineLevel="4">
      <c r="B436" s="116" t="s">
        <v>834</v>
      </c>
      <c r="C436" s="129" t="s">
        <v>864</v>
      </c>
      <c r="D436" s="129" t="s">
        <v>865</v>
      </c>
      <c r="E436" s="129" t="s">
        <v>251</v>
      </c>
      <c r="F436" s="130"/>
      <c r="G436" s="131">
        <v>49</v>
      </c>
      <c r="I436" s="120"/>
      <c r="J436" s="120"/>
      <c r="K436" s="120">
        <f>120*0.7</f>
        <v>84</v>
      </c>
      <c r="L436" s="270">
        <f>SUM(H436:K436)</f>
        <v>84</v>
      </c>
      <c r="M436" s="134">
        <f>+L436*G436</f>
        <v>4116</v>
      </c>
    </row>
    <row r="437" spans="1:13" s="118" customFormat="1" ht="10.199999999999999" outlineLevel="4">
      <c r="B437" s="116" t="s">
        <v>834</v>
      </c>
      <c r="C437" s="129" t="s">
        <v>866</v>
      </c>
      <c r="D437" s="129" t="s">
        <v>867</v>
      </c>
      <c r="E437" s="129" t="s">
        <v>346</v>
      </c>
      <c r="F437" s="130"/>
      <c r="G437" s="131">
        <v>158.76</v>
      </c>
      <c r="I437" s="120"/>
      <c r="J437" s="120"/>
      <c r="K437" s="120">
        <f>120*0.7</f>
        <v>84</v>
      </c>
      <c r="L437" s="270">
        <f>SUM(H437:K437)</f>
        <v>84</v>
      </c>
      <c r="M437" s="134">
        <f>+L437*G437</f>
        <v>13335.84</v>
      </c>
    </row>
    <row r="438" spans="1:13" s="118" customFormat="1" ht="10.199999999999999" outlineLevel="3">
      <c r="B438" s="116"/>
      <c r="C438" s="129"/>
      <c r="D438" s="129"/>
      <c r="E438" s="129"/>
      <c r="F438" s="130"/>
      <c r="G438" s="131"/>
      <c r="I438" s="120"/>
      <c r="J438" s="120"/>
      <c r="K438" s="120"/>
      <c r="L438" s="270"/>
      <c r="M438" s="134"/>
    </row>
    <row r="439" spans="1:13" s="118" customFormat="1" ht="10.199999999999999" outlineLevel="2">
      <c r="B439" s="116"/>
      <c r="C439" s="126" t="s">
        <v>868</v>
      </c>
      <c r="D439" s="126" t="s">
        <v>869</v>
      </c>
      <c r="F439" s="161"/>
      <c r="G439" s="116"/>
      <c r="I439" s="120"/>
      <c r="J439" s="120"/>
      <c r="K439" s="120"/>
      <c r="L439" s="133"/>
      <c r="M439" s="264">
        <f>+M440+M445+M451</f>
        <v>68117.896392208437</v>
      </c>
    </row>
    <row r="440" spans="1:13" s="118" customFormat="1" ht="10.199999999999999" outlineLevel="3">
      <c r="B440" s="116"/>
      <c r="C440" s="158" t="s">
        <v>870</v>
      </c>
      <c r="D440" s="158" t="s">
        <v>871</v>
      </c>
      <c r="F440" s="266"/>
      <c r="G440" s="116"/>
      <c r="I440" s="120"/>
      <c r="J440" s="120"/>
      <c r="K440" s="120"/>
      <c r="L440" s="133"/>
      <c r="M440" s="267">
        <f>SUM(M441:M444)</f>
        <v>22395.185524072858</v>
      </c>
    </row>
    <row r="441" spans="1:13" s="230" customFormat="1" ht="10.199999999999999" outlineLevel="4">
      <c r="A441" s="230" t="s">
        <v>872</v>
      </c>
      <c r="B441" s="221" t="s">
        <v>873</v>
      </c>
      <c r="C441" s="222" t="s">
        <v>874</v>
      </c>
      <c r="D441" s="275" t="s">
        <v>875</v>
      </c>
      <c r="E441" s="222" t="s">
        <v>346</v>
      </c>
      <c r="F441" s="224"/>
      <c r="G441" s="225">
        <v>294.78559999999999</v>
      </c>
      <c r="I441" s="259"/>
      <c r="J441" s="259"/>
      <c r="K441" s="259">
        <v>53.052112932604736</v>
      </c>
      <c r="L441" s="276">
        <f>SUM(H441:K441)</f>
        <v>53.052112932604736</v>
      </c>
      <c r="M441" s="227">
        <f>+L441*G441</f>
        <v>15638.998942105645</v>
      </c>
    </row>
    <row r="442" spans="1:13" s="230" customFormat="1" ht="10.199999999999999" outlineLevel="4">
      <c r="A442" s="230" t="s">
        <v>872</v>
      </c>
      <c r="B442" s="221" t="s">
        <v>873</v>
      </c>
      <c r="C442" s="222" t="s">
        <v>876</v>
      </c>
      <c r="D442" s="275" t="s">
        <v>877</v>
      </c>
      <c r="E442" s="222" t="s">
        <v>346</v>
      </c>
      <c r="F442" s="224"/>
      <c r="G442" s="225">
        <v>127.35</v>
      </c>
      <c r="I442" s="259"/>
      <c r="J442" s="259"/>
      <c r="K442" s="259">
        <v>53.052112932604736</v>
      </c>
      <c r="L442" s="276">
        <f>SUM(H442:K442)</f>
        <v>53.052112932604736</v>
      </c>
      <c r="M442" s="227">
        <f>+L442*G442</f>
        <v>6756.186581967213</v>
      </c>
    </row>
    <row r="443" spans="1:13" s="168" customFormat="1" ht="10.199999999999999" outlineLevel="4">
      <c r="B443" s="166" t="s">
        <v>873</v>
      </c>
      <c r="C443" s="117" t="s">
        <v>878</v>
      </c>
      <c r="D443" s="117" t="s">
        <v>879</v>
      </c>
      <c r="E443" s="117" t="s">
        <v>346</v>
      </c>
      <c r="F443" s="142"/>
      <c r="G443" s="167">
        <v>55.032000000000004</v>
      </c>
      <c r="I443" s="169"/>
      <c r="J443" s="169"/>
      <c r="K443" s="169">
        <v>31.63</v>
      </c>
      <c r="L443" s="273">
        <f>SUM(H443:K443)*0</f>
        <v>0</v>
      </c>
      <c r="M443" s="143">
        <f>+L443*G443</f>
        <v>0</v>
      </c>
    </row>
    <row r="444" spans="1:13" s="168" customFormat="1" ht="10.199999999999999" outlineLevel="4">
      <c r="B444" s="166" t="s">
        <v>873</v>
      </c>
      <c r="C444" s="117" t="s">
        <v>880</v>
      </c>
      <c r="D444" s="220" t="s">
        <v>881</v>
      </c>
      <c r="E444" s="117" t="s">
        <v>346</v>
      </c>
      <c r="F444" s="142"/>
      <c r="G444" s="167">
        <v>7.0799999999999983</v>
      </c>
      <c r="I444" s="169"/>
      <c r="J444" s="169"/>
      <c r="K444" s="169">
        <v>31.63</v>
      </c>
      <c r="L444" s="273">
        <f>SUM(H444:K444)*0</f>
        <v>0</v>
      </c>
      <c r="M444" s="143">
        <f>+L444*G444</f>
        <v>0</v>
      </c>
    </row>
    <row r="445" spans="1:13" s="118" customFormat="1" ht="10.199999999999999" outlineLevel="3">
      <c r="B445" s="116"/>
      <c r="C445" s="158" t="s">
        <v>882</v>
      </c>
      <c r="D445" s="158" t="s">
        <v>883</v>
      </c>
      <c r="F445" s="266"/>
      <c r="G445" s="116"/>
      <c r="I445" s="120"/>
      <c r="J445" s="120"/>
      <c r="K445" s="120"/>
      <c r="L445" s="133"/>
      <c r="M445" s="267">
        <f>SUM(M446:M450)</f>
        <v>3517.6352881355933</v>
      </c>
    </row>
    <row r="446" spans="1:13" s="118" customFormat="1" ht="10.199999999999999" outlineLevel="4">
      <c r="B446" s="116" t="s">
        <v>73</v>
      </c>
      <c r="C446" s="129" t="s">
        <v>884</v>
      </c>
      <c r="D446" s="129" t="s">
        <v>885</v>
      </c>
      <c r="E446" s="129" t="s">
        <v>500</v>
      </c>
      <c r="F446" s="130"/>
      <c r="G446" s="131">
        <v>142.80000000000001</v>
      </c>
      <c r="I446" s="120"/>
      <c r="J446" s="120"/>
      <c r="K446" s="120">
        <v>36.97</v>
      </c>
      <c r="L446" s="270">
        <f>SUM(H446:K446)*0</f>
        <v>0</v>
      </c>
      <c r="M446" s="134">
        <f>+L446*G446</f>
        <v>0</v>
      </c>
    </row>
    <row r="447" spans="1:13" s="118" customFormat="1" ht="10.199999999999999" outlineLevel="4">
      <c r="B447" s="116" t="s">
        <v>73</v>
      </c>
      <c r="C447" s="129" t="s">
        <v>886</v>
      </c>
      <c r="D447" s="129" t="s">
        <v>887</v>
      </c>
      <c r="E447" s="129" t="s">
        <v>346</v>
      </c>
      <c r="F447" s="130"/>
      <c r="G447" s="131">
        <v>19.950000000000003</v>
      </c>
      <c r="I447" s="120"/>
      <c r="J447" s="120"/>
      <c r="K447" s="120">
        <v>36.97</v>
      </c>
      <c r="L447" s="270">
        <f>SUM(H447:K447)*0</f>
        <v>0</v>
      </c>
      <c r="M447" s="134">
        <f>+L447*G447</f>
        <v>0</v>
      </c>
    </row>
    <row r="448" spans="1:13" s="118" customFormat="1" ht="10.199999999999999" outlineLevel="4">
      <c r="B448" s="116" t="s">
        <v>73</v>
      </c>
      <c r="C448" s="129" t="s">
        <v>888</v>
      </c>
      <c r="D448" s="210" t="s">
        <v>889</v>
      </c>
      <c r="E448" s="129" t="s">
        <v>890</v>
      </c>
      <c r="F448" s="130"/>
      <c r="G448" s="131">
        <v>124</v>
      </c>
      <c r="H448" s="118">
        <v>7</v>
      </c>
      <c r="I448" s="120">
        <v>17.372881355932204</v>
      </c>
      <c r="J448" s="120"/>
      <c r="K448" s="120"/>
      <c r="L448" s="270">
        <f>SUM(H448:K448)</f>
        <v>24.372881355932204</v>
      </c>
      <c r="M448" s="134">
        <f>+L448*G448</f>
        <v>3022.2372881355932</v>
      </c>
    </row>
    <row r="449" spans="1:13" s="118" customFormat="1" ht="10.199999999999999" outlineLevel="4">
      <c r="B449" s="116" t="s">
        <v>73</v>
      </c>
      <c r="C449" s="129" t="s">
        <v>891</v>
      </c>
      <c r="D449" s="210" t="s">
        <v>892</v>
      </c>
      <c r="E449" s="129" t="s">
        <v>500</v>
      </c>
      <c r="F449" s="130"/>
      <c r="G449" s="131">
        <v>13.4</v>
      </c>
      <c r="I449" s="120"/>
      <c r="J449" s="120"/>
      <c r="K449" s="120">
        <v>36.97</v>
      </c>
      <c r="L449" s="270">
        <f>SUM(H449:K449)</f>
        <v>36.97</v>
      </c>
      <c r="M449" s="134">
        <f>+L449*G449</f>
        <v>495.39800000000002</v>
      </c>
    </row>
    <row r="450" spans="1:13" s="168" customFormat="1" ht="10.199999999999999" outlineLevel="4">
      <c r="B450" s="166" t="s">
        <v>839</v>
      </c>
      <c r="C450" s="117" t="s">
        <v>893</v>
      </c>
      <c r="D450" s="220" t="s">
        <v>894</v>
      </c>
      <c r="E450" s="117" t="s">
        <v>135</v>
      </c>
      <c r="F450" s="142"/>
      <c r="G450" s="167">
        <v>358.6</v>
      </c>
      <c r="H450" s="212">
        <v>13.921395490625002</v>
      </c>
      <c r="I450" s="169">
        <v>1.9325000000000001</v>
      </c>
      <c r="J450" s="169"/>
      <c r="K450" s="169"/>
      <c r="L450" s="273">
        <f>SUM(H450:K450)*0</f>
        <v>0</v>
      </c>
      <c r="M450" s="143">
        <f>+L450*G450</f>
        <v>0</v>
      </c>
    </row>
    <row r="451" spans="1:13" s="118" customFormat="1" ht="10.199999999999999" outlineLevel="3">
      <c r="B451" s="116"/>
      <c r="C451" s="158" t="s">
        <v>895</v>
      </c>
      <c r="D451" s="158" t="s">
        <v>896</v>
      </c>
      <c r="F451" s="266"/>
      <c r="G451" s="116"/>
      <c r="I451" s="120"/>
      <c r="J451" s="120"/>
      <c r="K451" s="120"/>
      <c r="L451" s="133"/>
      <c r="M451" s="267">
        <f>SUM(M452:M456)</f>
        <v>42205.07557999999</v>
      </c>
    </row>
    <row r="452" spans="1:13" s="118" customFormat="1" ht="10.199999999999999" outlineLevel="4">
      <c r="A452" s="118" t="s">
        <v>897</v>
      </c>
      <c r="B452" s="116" t="s">
        <v>873</v>
      </c>
      <c r="C452" s="129" t="s">
        <v>898</v>
      </c>
      <c r="D452" s="129" t="s">
        <v>899</v>
      </c>
      <c r="E452" s="129" t="s">
        <v>135</v>
      </c>
      <c r="F452" s="130"/>
      <c r="G452" s="131">
        <v>5207.7999999999975</v>
      </c>
      <c r="I452" s="120"/>
      <c r="J452" s="120"/>
      <c r="K452" s="120">
        <v>3.5</v>
      </c>
      <c r="L452" s="270">
        <f>SUM(H452:K452)</f>
        <v>3.5</v>
      </c>
      <c r="M452" s="134">
        <f>+L452*G452</f>
        <v>18227.299999999992</v>
      </c>
    </row>
    <row r="453" spans="1:13" s="168" customFormat="1" ht="10.199999999999999" outlineLevel="4">
      <c r="B453" s="166" t="s">
        <v>839</v>
      </c>
      <c r="C453" s="117" t="s">
        <v>900</v>
      </c>
      <c r="D453" s="220" t="s">
        <v>901</v>
      </c>
      <c r="E453" s="117" t="s">
        <v>346</v>
      </c>
      <c r="F453" s="142"/>
      <c r="G453" s="167">
        <v>2349.7150999999994</v>
      </c>
      <c r="I453" s="169"/>
      <c r="J453" s="169"/>
      <c r="K453" s="169">
        <v>19.600000000000001</v>
      </c>
      <c r="L453" s="273">
        <f>SUM(H453:K453)*0</f>
        <v>0</v>
      </c>
      <c r="M453" s="143">
        <f>+L453*G453</f>
        <v>0</v>
      </c>
    </row>
    <row r="454" spans="1:13" s="118" customFormat="1" ht="10.199999999999999" outlineLevel="4">
      <c r="A454" s="118" t="s">
        <v>897</v>
      </c>
      <c r="B454" s="116" t="s">
        <v>873</v>
      </c>
      <c r="C454" s="129" t="s">
        <v>902</v>
      </c>
      <c r="D454" s="129" t="s">
        <v>903</v>
      </c>
      <c r="E454" s="129" t="s">
        <v>346</v>
      </c>
      <c r="F454" s="130"/>
      <c r="G454" s="131">
        <v>878.93400000000008</v>
      </c>
      <c r="I454" s="120"/>
      <c r="J454" s="120"/>
      <c r="K454" s="120">
        <v>19.600000000000001</v>
      </c>
      <c r="L454" s="270">
        <f>SUM(H454:K454)</f>
        <v>19.600000000000001</v>
      </c>
      <c r="M454" s="134">
        <f>+L454*G454</f>
        <v>17227.106400000004</v>
      </c>
    </row>
    <row r="455" spans="1:13" s="118" customFormat="1" ht="10.199999999999999" outlineLevel="4">
      <c r="B455" s="116" t="s">
        <v>73</v>
      </c>
      <c r="C455" s="129" t="s">
        <v>904</v>
      </c>
      <c r="D455" s="210" t="s">
        <v>905</v>
      </c>
      <c r="E455" s="129" t="s">
        <v>251</v>
      </c>
      <c r="F455" s="130"/>
      <c r="G455" s="131">
        <v>12</v>
      </c>
      <c r="I455" s="120"/>
      <c r="J455" s="120"/>
      <c r="K455" s="120">
        <v>250</v>
      </c>
      <c r="L455" s="270">
        <f>SUM(H455:K455)</f>
        <v>250</v>
      </c>
      <c r="M455" s="134">
        <f>+L455*G455</f>
        <v>3000</v>
      </c>
    </row>
    <row r="456" spans="1:13" s="118" customFormat="1" ht="10.199999999999999" outlineLevel="4">
      <c r="A456" s="118" t="s">
        <v>897</v>
      </c>
      <c r="B456" s="116" t="s">
        <v>873</v>
      </c>
      <c r="C456" s="129" t="s">
        <v>906</v>
      </c>
      <c r="D456" s="129" t="s">
        <v>907</v>
      </c>
      <c r="E456" s="129" t="s">
        <v>346</v>
      </c>
      <c r="F456" s="130"/>
      <c r="G456" s="131">
        <v>212.02199999999999</v>
      </c>
      <c r="I456" s="120"/>
      <c r="J456" s="120"/>
      <c r="K456" s="120">
        <v>17.690000000000001</v>
      </c>
      <c r="L456" s="270">
        <f>SUM(H456:K456)</f>
        <v>17.690000000000001</v>
      </c>
      <c r="M456" s="134">
        <f>+L456*G456</f>
        <v>3750.6691800000003</v>
      </c>
    </row>
    <row r="457" spans="1:13" s="118" customFormat="1" ht="10.199999999999999" outlineLevel="3">
      <c r="B457" s="116"/>
      <c r="C457" s="129"/>
      <c r="D457" s="129"/>
      <c r="E457" s="129"/>
      <c r="F457" s="130"/>
      <c r="G457" s="131"/>
      <c r="I457" s="120"/>
      <c r="J457" s="120"/>
      <c r="K457" s="120"/>
      <c r="L457" s="270"/>
      <c r="M457" s="134"/>
    </row>
    <row r="458" spans="1:13" s="118" customFormat="1" ht="10.199999999999999" outlineLevel="2">
      <c r="B458" s="116"/>
      <c r="C458" s="126" t="s">
        <v>908</v>
      </c>
      <c r="D458" s="126" t="s">
        <v>909</v>
      </c>
      <c r="F458" s="161"/>
      <c r="G458" s="116"/>
      <c r="I458" s="120"/>
      <c r="J458" s="120"/>
      <c r="K458" s="120"/>
      <c r="L458" s="133"/>
      <c r="M458" s="264">
        <f>+M459</f>
        <v>168471.1817819672</v>
      </c>
    </row>
    <row r="459" spans="1:13" s="118" customFormat="1" ht="10.199999999999999" outlineLevel="3">
      <c r="B459" s="116"/>
      <c r="C459" s="158" t="s">
        <v>910</v>
      </c>
      <c r="D459" s="158" t="s">
        <v>911</v>
      </c>
      <c r="F459" s="266"/>
      <c r="G459" s="116"/>
      <c r="I459" s="120"/>
      <c r="J459" s="120"/>
      <c r="K459" s="120"/>
      <c r="L459" s="133"/>
      <c r="M459" s="267">
        <f>SUM(M460:M468)</f>
        <v>168471.1817819672</v>
      </c>
    </row>
    <row r="460" spans="1:13" s="118" customFormat="1" ht="10.199999999999999" outlineLevel="4">
      <c r="B460" s="116" t="s">
        <v>73</v>
      </c>
      <c r="C460" s="129" t="s">
        <v>912</v>
      </c>
      <c r="D460" s="129" t="s">
        <v>913</v>
      </c>
      <c r="E460" s="129" t="s">
        <v>346</v>
      </c>
      <c r="F460" s="130"/>
      <c r="G460" s="131">
        <v>141.39999999999998</v>
      </c>
      <c r="I460" s="120"/>
      <c r="J460" s="120"/>
      <c r="K460" s="120">
        <v>27</v>
      </c>
      <c r="L460" s="270">
        <f t="shared" ref="L460:L468" si="13">SUM(H460:K460)</f>
        <v>27</v>
      </c>
      <c r="M460" s="134">
        <f t="shared" ref="M460:M468" si="14">+L460*G460</f>
        <v>3817.7999999999993</v>
      </c>
    </row>
    <row r="461" spans="1:13" s="118" customFormat="1" ht="10.199999999999999" outlineLevel="4">
      <c r="B461" s="116" t="s">
        <v>73</v>
      </c>
      <c r="C461" s="129" t="s">
        <v>914</v>
      </c>
      <c r="D461" s="129" t="s">
        <v>915</v>
      </c>
      <c r="E461" s="129" t="s">
        <v>346</v>
      </c>
      <c r="F461" s="130"/>
      <c r="G461" s="131">
        <v>2478.5100000000002</v>
      </c>
      <c r="I461" s="120"/>
      <c r="J461" s="120"/>
      <c r="K461" s="120">
        <v>20.2</v>
      </c>
      <c r="L461" s="270">
        <f t="shared" si="13"/>
        <v>20.2</v>
      </c>
      <c r="M461" s="134">
        <f t="shared" si="14"/>
        <v>50065.902000000002</v>
      </c>
    </row>
    <row r="462" spans="1:13" s="118" customFormat="1" ht="10.199999999999999" outlineLevel="4">
      <c r="B462" s="116" t="s">
        <v>73</v>
      </c>
      <c r="C462" s="129" t="s">
        <v>916</v>
      </c>
      <c r="D462" s="129" t="s">
        <v>917</v>
      </c>
      <c r="E462" s="129" t="s">
        <v>346</v>
      </c>
      <c r="F462" s="130"/>
      <c r="G462" s="131">
        <v>2024.6000000000001</v>
      </c>
      <c r="I462" s="120"/>
      <c r="J462" s="120"/>
      <c r="K462" s="120">
        <v>31.93</v>
      </c>
      <c r="L462" s="270">
        <f t="shared" si="13"/>
        <v>31.93</v>
      </c>
      <c r="M462" s="134">
        <f t="shared" si="14"/>
        <v>64645.478000000003</v>
      </c>
    </row>
    <row r="463" spans="1:13" s="118" customFormat="1" ht="10.199999999999999" outlineLevel="4">
      <c r="B463" s="116" t="s">
        <v>73</v>
      </c>
      <c r="C463" s="129" t="s">
        <v>918</v>
      </c>
      <c r="D463" s="129" t="s">
        <v>919</v>
      </c>
      <c r="E463" s="129" t="s">
        <v>346</v>
      </c>
      <c r="F463" s="130"/>
      <c r="G463" s="131">
        <v>336.39000000000004</v>
      </c>
      <c r="I463" s="120"/>
      <c r="J463" s="120"/>
      <c r="K463" s="120">
        <v>31.93</v>
      </c>
      <c r="L463" s="270">
        <f t="shared" si="13"/>
        <v>31.93</v>
      </c>
      <c r="M463" s="134">
        <f t="shared" si="14"/>
        <v>10740.932700000001</v>
      </c>
    </row>
    <row r="464" spans="1:13" s="230" customFormat="1" ht="10.199999999999999" outlineLevel="4">
      <c r="B464" s="221" t="s">
        <v>73</v>
      </c>
      <c r="C464" s="222" t="s">
        <v>920</v>
      </c>
      <c r="D464" s="277" t="s">
        <v>921</v>
      </c>
      <c r="E464" s="222" t="s">
        <v>346</v>
      </c>
      <c r="F464" s="224"/>
      <c r="G464" s="225">
        <v>127.35</v>
      </c>
      <c r="I464" s="259"/>
      <c r="J464" s="259"/>
      <c r="K464" s="259">
        <v>45</v>
      </c>
      <c r="L464" s="276">
        <v>53.052112932604736</v>
      </c>
      <c r="M464" s="227">
        <f t="shared" si="14"/>
        <v>6756.186581967213</v>
      </c>
    </row>
    <row r="465" spans="1:13" s="118" customFormat="1" ht="10.199999999999999" outlineLevel="4">
      <c r="B465" s="116" t="s">
        <v>73</v>
      </c>
      <c r="C465" s="129" t="s">
        <v>922</v>
      </c>
      <c r="D465" s="210" t="s">
        <v>923</v>
      </c>
      <c r="E465" s="129" t="s">
        <v>346</v>
      </c>
      <c r="F465" s="130"/>
      <c r="G465" s="131">
        <v>60.09</v>
      </c>
      <c r="I465" s="120"/>
      <c r="J465" s="120"/>
      <c r="K465" s="120">
        <v>45</v>
      </c>
      <c r="L465" s="270">
        <f t="shared" si="13"/>
        <v>45</v>
      </c>
      <c r="M465" s="134">
        <f t="shared" si="14"/>
        <v>2704.05</v>
      </c>
    </row>
    <row r="466" spans="1:13" s="255" customFormat="1" ht="10.199999999999999" outlineLevel="4">
      <c r="B466" s="269" t="s">
        <v>855</v>
      </c>
      <c r="C466" s="244" t="s">
        <v>924</v>
      </c>
      <c r="D466" s="278" t="s">
        <v>925</v>
      </c>
      <c r="E466" s="244" t="s">
        <v>346</v>
      </c>
      <c r="F466" s="271"/>
      <c r="G466" s="254">
        <v>17</v>
      </c>
      <c r="I466" s="256">
        <f>+((12*3.8)+8+1)*1.15</f>
        <v>62.789999999999992</v>
      </c>
      <c r="J466" s="256"/>
      <c r="K466" s="256">
        <v>30</v>
      </c>
      <c r="L466" s="272">
        <f t="shared" si="13"/>
        <v>92.789999999999992</v>
      </c>
      <c r="M466" s="258">
        <f t="shared" si="14"/>
        <v>1577.4299999999998</v>
      </c>
    </row>
    <row r="467" spans="1:13" s="255" customFormat="1" ht="10.199999999999999" outlineLevel="4">
      <c r="B467" s="269" t="s">
        <v>855</v>
      </c>
      <c r="C467" s="244" t="s">
        <v>926</v>
      </c>
      <c r="D467" s="278" t="s">
        <v>927</v>
      </c>
      <c r="E467" s="244" t="s">
        <v>346</v>
      </c>
      <c r="F467" s="271"/>
      <c r="G467" s="254">
        <v>119.43</v>
      </c>
      <c r="H467" s="256"/>
      <c r="I467" s="256">
        <f>(36+8+1)*1.15</f>
        <v>51.749999999999993</v>
      </c>
      <c r="J467" s="256"/>
      <c r="K467" s="256">
        <v>30</v>
      </c>
      <c r="L467" s="272">
        <f t="shared" si="13"/>
        <v>81.75</v>
      </c>
      <c r="M467" s="258">
        <f t="shared" si="14"/>
        <v>9763.4025000000001</v>
      </c>
    </row>
    <row r="468" spans="1:13" s="118" customFormat="1" ht="10.199999999999999" outlineLevel="4">
      <c r="A468" s="118" t="s">
        <v>928</v>
      </c>
      <c r="B468" s="116" t="s">
        <v>929</v>
      </c>
      <c r="C468" s="129" t="s">
        <v>930</v>
      </c>
      <c r="D468" s="155" t="s">
        <v>931</v>
      </c>
      <c r="E468" s="129" t="s">
        <v>251</v>
      </c>
      <c r="F468" s="130"/>
      <c r="G468" s="131">
        <v>230</v>
      </c>
      <c r="I468" s="120"/>
      <c r="J468" s="120"/>
      <c r="K468" s="120">
        <v>80</v>
      </c>
      <c r="L468" s="270">
        <f t="shared" si="13"/>
        <v>80</v>
      </c>
      <c r="M468" s="134">
        <f t="shared" si="14"/>
        <v>18400</v>
      </c>
    </row>
    <row r="469" spans="1:13" s="118" customFormat="1" ht="10.199999999999999" outlineLevel="3">
      <c r="B469" s="116"/>
      <c r="C469" s="129"/>
      <c r="D469" s="129"/>
      <c r="E469" s="129"/>
      <c r="F469" s="130"/>
      <c r="G469" s="131"/>
      <c r="I469" s="120"/>
      <c r="J469" s="120"/>
      <c r="K469" s="120"/>
      <c r="L469" s="270"/>
      <c r="M469" s="134"/>
    </row>
    <row r="470" spans="1:13" s="118" customFormat="1" ht="10.199999999999999" outlineLevel="2">
      <c r="B470" s="116"/>
      <c r="C470" s="126" t="s">
        <v>932</v>
      </c>
      <c r="D470" s="126" t="s">
        <v>933</v>
      </c>
      <c r="F470" s="161"/>
      <c r="G470" s="116"/>
      <c r="I470" s="120"/>
      <c r="J470" s="120"/>
      <c r="K470" s="120"/>
      <c r="L470" s="133"/>
      <c r="M470" s="264">
        <f>+M471+M473</f>
        <v>9975.957485714287</v>
      </c>
    </row>
    <row r="471" spans="1:13" s="118" customFormat="1" ht="10.199999999999999" outlineLevel="3">
      <c r="B471" s="116"/>
      <c r="C471" s="158" t="s">
        <v>934</v>
      </c>
      <c r="D471" s="158" t="s">
        <v>935</v>
      </c>
      <c r="F471" s="266"/>
      <c r="G471" s="116"/>
      <c r="I471" s="120"/>
      <c r="J471" s="120"/>
      <c r="K471" s="120"/>
      <c r="L471" s="133"/>
      <c r="M471" s="267">
        <f>SUM(M472:M472)</f>
        <v>3526.0199999999995</v>
      </c>
    </row>
    <row r="472" spans="1:13" s="255" customFormat="1" ht="20.399999999999999" outlineLevel="4">
      <c r="B472" s="269" t="s">
        <v>855</v>
      </c>
      <c r="C472" s="244" t="s">
        <v>936</v>
      </c>
      <c r="D472" s="284" t="s">
        <v>937</v>
      </c>
      <c r="E472" s="244" t="s">
        <v>346</v>
      </c>
      <c r="F472" s="271"/>
      <c r="G472" s="254">
        <v>38</v>
      </c>
      <c r="I472" s="256">
        <f>+((12*3.8)+8+1)*1.15</f>
        <v>62.789999999999992</v>
      </c>
      <c r="J472" s="256"/>
      <c r="K472" s="256">
        <v>30</v>
      </c>
      <c r="L472" s="272">
        <f>SUM(H472:K472)</f>
        <v>92.789999999999992</v>
      </c>
      <c r="M472" s="258">
        <f>+L472*G472</f>
        <v>3526.0199999999995</v>
      </c>
    </row>
    <row r="473" spans="1:13" s="118" customFormat="1" ht="10.199999999999999" outlineLevel="3">
      <c r="B473" s="116"/>
      <c r="C473" s="158" t="s">
        <v>938</v>
      </c>
      <c r="D473" s="158" t="s">
        <v>939</v>
      </c>
      <c r="F473" s="266"/>
      <c r="G473" s="116"/>
      <c r="I473" s="120"/>
      <c r="J473" s="120"/>
      <c r="K473" s="120"/>
      <c r="L473" s="133"/>
      <c r="M473" s="267">
        <f>SUM(M474:M475)</f>
        <v>6449.9374857142866</v>
      </c>
    </row>
    <row r="474" spans="1:13" s="118" customFormat="1" ht="10.199999999999999" outlineLevel="4">
      <c r="B474" s="116" t="s">
        <v>73</v>
      </c>
      <c r="C474" s="129" t="s">
        <v>940</v>
      </c>
      <c r="D474" s="129" t="s">
        <v>941</v>
      </c>
      <c r="E474" s="129" t="s">
        <v>135</v>
      </c>
      <c r="F474" s="130"/>
      <c r="G474" s="131">
        <v>308.73000000000008</v>
      </c>
      <c r="I474" s="120"/>
      <c r="J474" s="120"/>
      <c r="K474" s="120">
        <v>12</v>
      </c>
      <c r="L474" s="270">
        <f>SUM(H474:K474)</f>
        <v>12</v>
      </c>
      <c r="M474" s="134">
        <f>+L474*G474</f>
        <v>3704.7600000000011</v>
      </c>
    </row>
    <row r="475" spans="1:13" s="255" customFormat="1" ht="20.399999999999999" outlineLevel="4">
      <c r="B475" s="269" t="s">
        <v>855</v>
      </c>
      <c r="C475" s="244"/>
      <c r="D475" s="285" t="s">
        <v>942</v>
      </c>
      <c r="E475" s="244" t="s">
        <v>500</v>
      </c>
      <c r="F475" s="271"/>
      <c r="G475" s="254">
        <v>115</v>
      </c>
      <c r="I475" s="256">
        <v>8.8711085714285716</v>
      </c>
      <c r="J475" s="256"/>
      <c r="K475" s="256">
        <v>15</v>
      </c>
      <c r="L475" s="272">
        <f>SUM(H475:K475)</f>
        <v>23.871108571428572</v>
      </c>
      <c r="M475" s="258">
        <f>+L475*G475</f>
        <v>2745.1774857142859</v>
      </c>
    </row>
    <row r="476" spans="1:13" s="118" customFormat="1" ht="10.199999999999999" outlineLevel="3">
      <c r="B476" s="116"/>
      <c r="C476" s="129"/>
      <c r="D476" s="129"/>
      <c r="E476" s="129"/>
      <c r="F476" s="130"/>
      <c r="G476" s="131"/>
      <c r="I476" s="120"/>
      <c r="J476" s="120"/>
      <c r="K476" s="120"/>
      <c r="L476" s="270"/>
      <c r="M476" s="134"/>
    </row>
    <row r="477" spans="1:13" s="118" customFormat="1" ht="10.199999999999999" outlineLevel="2">
      <c r="B477" s="116"/>
      <c r="C477" s="126" t="s">
        <v>943</v>
      </c>
      <c r="D477" s="286" t="s">
        <v>944</v>
      </c>
      <c r="F477" s="161"/>
      <c r="G477" s="116"/>
      <c r="I477" s="120"/>
      <c r="J477" s="120"/>
      <c r="K477" s="120"/>
      <c r="L477" s="133"/>
      <c r="M477" s="264">
        <f>+M478+M482</f>
        <v>49422.5</v>
      </c>
    </row>
    <row r="478" spans="1:13" s="118" customFormat="1" ht="10.199999999999999" outlineLevel="3">
      <c r="B478" s="116"/>
      <c r="C478" s="158" t="s">
        <v>945</v>
      </c>
      <c r="D478" s="158" t="s">
        <v>946</v>
      </c>
      <c r="F478" s="266"/>
      <c r="G478" s="116"/>
      <c r="I478" s="120"/>
      <c r="J478" s="120"/>
      <c r="K478" s="120"/>
      <c r="L478" s="133"/>
      <c r="M478" s="267">
        <f>SUM(M479:M481)</f>
        <v>40540.5</v>
      </c>
    </row>
    <row r="479" spans="1:13" s="118" customFormat="1" ht="20.399999999999999" outlineLevel="4">
      <c r="A479" s="118" t="s">
        <v>947</v>
      </c>
      <c r="B479" s="116" t="s">
        <v>948</v>
      </c>
      <c r="C479" s="129" t="s">
        <v>949</v>
      </c>
      <c r="D479" s="180" t="s">
        <v>950</v>
      </c>
      <c r="E479" s="129" t="s">
        <v>251</v>
      </c>
      <c r="F479" s="130"/>
      <c r="G479" s="131">
        <v>65</v>
      </c>
      <c r="I479" s="120"/>
      <c r="J479" s="120"/>
      <c r="K479" s="120">
        <v>579.15</v>
      </c>
      <c r="L479" s="270">
        <f>SUM(H479:K479)</f>
        <v>579.15</v>
      </c>
      <c r="M479" s="134">
        <f>+L479*G479</f>
        <v>37644.75</v>
      </c>
    </row>
    <row r="480" spans="1:13" s="118" customFormat="1" ht="10.199999999999999" outlineLevel="4">
      <c r="A480" s="118" t="s">
        <v>947</v>
      </c>
      <c r="B480" s="116" t="s">
        <v>948</v>
      </c>
      <c r="C480" s="129" t="s">
        <v>951</v>
      </c>
      <c r="D480" s="180" t="s">
        <v>952</v>
      </c>
      <c r="E480" s="129" t="s">
        <v>251</v>
      </c>
      <c r="F480" s="130"/>
      <c r="G480" s="131">
        <v>2</v>
      </c>
      <c r="I480" s="120"/>
      <c r="J480" s="120"/>
      <c r="K480" s="120">
        <v>579.15</v>
      </c>
      <c r="L480" s="270">
        <f>SUM(H480:K480)</f>
        <v>579.15</v>
      </c>
      <c r="M480" s="134">
        <f>+L480*G480</f>
        <v>1158.3</v>
      </c>
    </row>
    <row r="481" spans="1:13" s="118" customFormat="1" ht="10.199999999999999" outlineLevel="4">
      <c r="A481" s="118" t="s">
        <v>947</v>
      </c>
      <c r="B481" s="116" t="s">
        <v>948</v>
      </c>
      <c r="C481" s="129" t="s">
        <v>953</v>
      </c>
      <c r="D481" s="180" t="s">
        <v>954</v>
      </c>
      <c r="E481" s="129" t="s">
        <v>251</v>
      </c>
      <c r="F481" s="130"/>
      <c r="G481" s="131">
        <v>3</v>
      </c>
      <c r="I481" s="120"/>
      <c r="J481" s="120"/>
      <c r="K481" s="120">
        <v>579.15</v>
      </c>
      <c r="L481" s="270">
        <f>SUM(H481:K481)</f>
        <v>579.15</v>
      </c>
      <c r="M481" s="134">
        <f>+L481*G481</f>
        <v>1737.4499999999998</v>
      </c>
    </row>
    <row r="482" spans="1:13" s="118" customFormat="1" ht="10.199999999999999" outlineLevel="3">
      <c r="B482" s="116"/>
      <c r="C482" s="158" t="s">
        <v>955</v>
      </c>
      <c r="D482" s="158" t="s">
        <v>956</v>
      </c>
      <c r="F482" s="266"/>
      <c r="G482" s="116"/>
      <c r="I482" s="120"/>
      <c r="J482" s="120"/>
      <c r="K482" s="120"/>
      <c r="L482" s="133"/>
      <c r="M482" s="267">
        <f>SUM(M483:M484)</f>
        <v>8882</v>
      </c>
    </row>
    <row r="483" spans="1:13" s="118" customFormat="1" ht="10.199999999999999" outlineLevel="4">
      <c r="B483" s="116" t="s">
        <v>957</v>
      </c>
      <c r="C483" s="129" t="s">
        <v>958</v>
      </c>
      <c r="D483" s="129" t="s">
        <v>959</v>
      </c>
      <c r="E483" s="129" t="s">
        <v>251</v>
      </c>
      <c r="F483" s="130"/>
      <c r="G483" s="131">
        <v>201</v>
      </c>
      <c r="I483" s="120"/>
      <c r="J483" s="120"/>
      <c r="K483" s="120">
        <v>25</v>
      </c>
      <c r="L483" s="270">
        <f>SUM(H483:K483)</f>
        <v>25</v>
      </c>
      <c r="M483" s="134">
        <f>+L483*G483</f>
        <v>5025</v>
      </c>
    </row>
    <row r="484" spans="1:13" s="118" customFormat="1" ht="10.199999999999999" outlineLevel="4">
      <c r="B484" s="116" t="s">
        <v>957</v>
      </c>
      <c r="C484" s="129" t="s">
        <v>960</v>
      </c>
      <c r="D484" s="129" t="s">
        <v>961</v>
      </c>
      <c r="E484" s="129" t="s">
        <v>251</v>
      </c>
      <c r="F484" s="130"/>
      <c r="G484" s="131">
        <v>70</v>
      </c>
      <c r="I484" s="120">
        <v>24.3</v>
      </c>
      <c r="J484" s="120"/>
      <c r="K484" s="120">
        <v>30.8</v>
      </c>
      <c r="L484" s="270">
        <f>SUM(H484:K484)</f>
        <v>55.1</v>
      </c>
      <c r="M484" s="134">
        <f>+L484*G484</f>
        <v>3857</v>
      </c>
    </row>
    <row r="485" spans="1:13" s="118" customFormat="1" ht="10.199999999999999" outlineLevel="3">
      <c r="B485" s="116"/>
      <c r="C485" s="129"/>
      <c r="D485" s="129"/>
      <c r="E485" s="129"/>
      <c r="F485" s="130"/>
      <c r="G485" s="131"/>
      <c r="I485" s="120"/>
      <c r="J485" s="120"/>
      <c r="K485" s="120"/>
      <c r="L485" s="270"/>
      <c r="M485" s="134"/>
    </row>
    <row r="486" spans="1:13" s="118" customFormat="1" ht="10.199999999999999" outlineLevel="2">
      <c r="B486" s="116"/>
      <c r="C486" s="126" t="s">
        <v>962</v>
      </c>
      <c r="D486" s="126" t="s">
        <v>963</v>
      </c>
      <c r="F486" s="161"/>
      <c r="G486" s="116"/>
      <c r="I486" s="120"/>
      <c r="J486" s="120"/>
      <c r="K486" s="120"/>
      <c r="L486" s="133"/>
      <c r="M486" s="264">
        <f>+M487+M490</f>
        <v>84316.099999999991</v>
      </c>
    </row>
    <row r="487" spans="1:13" s="118" customFormat="1" ht="10.199999999999999" outlineLevel="3">
      <c r="B487" s="116"/>
      <c r="C487" s="158" t="s">
        <v>964</v>
      </c>
      <c r="D487" s="158" t="s">
        <v>965</v>
      </c>
      <c r="F487" s="266"/>
      <c r="G487" s="116"/>
      <c r="I487" s="120"/>
      <c r="J487" s="120"/>
      <c r="K487" s="120"/>
      <c r="L487" s="133"/>
      <c r="M487" s="267">
        <f>SUM(M488:M489)</f>
        <v>0</v>
      </c>
    </row>
    <row r="488" spans="1:13" s="287" customFormat="1" ht="20.399999999999999" outlineLevel="4">
      <c r="A488" s="287" t="s">
        <v>966</v>
      </c>
      <c r="B488" s="288" t="s">
        <v>967</v>
      </c>
      <c r="C488" s="289" t="s">
        <v>968</v>
      </c>
      <c r="D488" s="290" t="s">
        <v>969</v>
      </c>
      <c r="E488" s="289" t="s">
        <v>251</v>
      </c>
      <c r="F488" s="291"/>
      <c r="G488" s="292">
        <v>7</v>
      </c>
      <c r="I488" s="293"/>
      <c r="J488" s="293"/>
      <c r="K488" s="293">
        <f>1336.5*0</f>
        <v>0</v>
      </c>
      <c r="L488" s="294">
        <f>SUM(H488:K488)</f>
        <v>0</v>
      </c>
      <c r="M488" s="295">
        <f>+L488*G488</f>
        <v>0</v>
      </c>
    </row>
    <row r="489" spans="1:13" s="287" customFormat="1" ht="20.399999999999999" outlineLevel="4">
      <c r="A489" s="287" t="s">
        <v>966</v>
      </c>
      <c r="B489" s="288" t="s">
        <v>967</v>
      </c>
      <c r="C489" s="289" t="s">
        <v>970</v>
      </c>
      <c r="D489" s="290" t="s">
        <v>971</v>
      </c>
      <c r="E489" s="289" t="s">
        <v>251</v>
      </c>
      <c r="F489" s="291"/>
      <c r="G489" s="292">
        <v>3</v>
      </c>
      <c r="I489" s="293"/>
      <c r="J489" s="293"/>
      <c r="K489" s="293">
        <f>3850*0</f>
        <v>0</v>
      </c>
      <c r="L489" s="294">
        <f>SUM(H489:K489)</f>
        <v>0</v>
      </c>
      <c r="M489" s="295">
        <f>+L489*G489</f>
        <v>0</v>
      </c>
    </row>
    <row r="490" spans="1:13" s="118" customFormat="1" ht="10.199999999999999" outlineLevel="3">
      <c r="B490" s="116"/>
      <c r="C490" s="158" t="s">
        <v>972</v>
      </c>
      <c r="D490" s="158" t="s">
        <v>973</v>
      </c>
      <c r="F490" s="266"/>
      <c r="G490" s="116"/>
      <c r="I490" s="120"/>
      <c r="J490" s="120"/>
      <c r="K490" s="120"/>
      <c r="L490" s="133"/>
      <c r="M490" s="267">
        <f>SUM(M491:M498)</f>
        <v>84316.099999999991</v>
      </c>
    </row>
    <row r="491" spans="1:13" s="255" customFormat="1" ht="10.199999999999999" outlineLevel="4">
      <c r="A491" s="255" t="s">
        <v>974</v>
      </c>
      <c r="B491" s="269" t="s">
        <v>967</v>
      </c>
      <c r="C491" s="244" t="s">
        <v>975</v>
      </c>
      <c r="D491" s="296" t="s">
        <v>976</v>
      </c>
      <c r="E491" s="244" t="s">
        <v>251</v>
      </c>
      <c r="F491" s="271"/>
      <c r="G491" s="254">
        <v>5</v>
      </c>
      <c r="I491" s="256"/>
      <c r="J491" s="256"/>
      <c r="K491" s="256">
        <v>1800</v>
      </c>
      <c r="L491" s="272">
        <f t="shared" ref="L491:L498" si="15">SUM(H491:K491)</f>
        <v>1800</v>
      </c>
      <c r="M491" s="258">
        <f t="shared" ref="M491:M498" si="16">+L491*G491</f>
        <v>9000</v>
      </c>
    </row>
    <row r="492" spans="1:13" s="255" customFormat="1" ht="10.199999999999999" outlineLevel="4">
      <c r="A492" s="255" t="s">
        <v>974</v>
      </c>
      <c r="B492" s="269" t="s">
        <v>967</v>
      </c>
      <c r="C492" s="244" t="s">
        <v>977</v>
      </c>
      <c r="D492" s="285" t="s">
        <v>978</v>
      </c>
      <c r="E492" s="244" t="s">
        <v>251</v>
      </c>
      <c r="F492" s="271"/>
      <c r="G492" s="254">
        <v>5</v>
      </c>
      <c r="I492" s="256"/>
      <c r="J492" s="256"/>
      <c r="K492" s="256">
        <v>450</v>
      </c>
      <c r="L492" s="272">
        <f t="shared" si="15"/>
        <v>450</v>
      </c>
      <c r="M492" s="258">
        <f t="shared" si="16"/>
        <v>2250</v>
      </c>
    </row>
    <row r="493" spans="1:13" s="255" customFormat="1" ht="10.199999999999999" outlineLevel="4">
      <c r="A493" s="255" t="s">
        <v>974</v>
      </c>
      <c r="B493" s="269" t="s">
        <v>967</v>
      </c>
      <c r="C493" s="244" t="s">
        <v>979</v>
      </c>
      <c r="D493" s="285" t="s">
        <v>980</v>
      </c>
      <c r="E493" s="244" t="s">
        <v>135</v>
      </c>
      <c r="F493" s="271"/>
      <c r="G493" s="254">
        <v>12.86</v>
      </c>
      <c r="I493" s="256"/>
      <c r="J493" s="256"/>
      <c r="K493" s="256">
        <v>175</v>
      </c>
      <c r="L493" s="272">
        <f t="shared" si="15"/>
        <v>175</v>
      </c>
      <c r="M493" s="258">
        <f t="shared" si="16"/>
        <v>2250.5</v>
      </c>
    </row>
    <row r="494" spans="1:13" s="255" customFormat="1" ht="10.199999999999999" outlineLevel="4">
      <c r="A494" s="255" t="s">
        <v>974</v>
      </c>
      <c r="B494" s="269" t="s">
        <v>967</v>
      </c>
      <c r="C494" s="244" t="s">
        <v>981</v>
      </c>
      <c r="D494" s="285" t="s">
        <v>982</v>
      </c>
      <c r="E494" s="244" t="s">
        <v>135</v>
      </c>
      <c r="F494" s="271"/>
      <c r="G494" s="254">
        <v>164.51999999999998</v>
      </c>
      <c r="I494" s="256"/>
      <c r="J494" s="256"/>
      <c r="K494" s="256">
        <v>175</v>
      </c>
      <c r="L494" s="272">
        <f t="shared" si="15"/>
        <v>175</v>
      </c>
      <c r="M494" s="258">
        <f t="shared" si="16"/>
        <v>28790.999999999996</v>
      </c>
    </row>
    <row r="495" spans="1:13" s="255" customFormat="1" ht="10.199999999999999" outlineLevel="4">
      <c r="A495" s="255" t="s">
        <v>974</v>
      </c>
      <c r="B495" s="269" t="s">
        <v>967</v>
      </c>
      <c r="C495" s="244" t="s">
        <v>983</v>
      </c>
      <c r="D495" s="296" t="s">
        <v>984</v>
      </c>
      <c r="E495" s="244" t="s">
        <v>135</v>
      </c>
      <c r="F495" s="271"/>
      <c r="G495" s="254">
        <v>175.46</v>
      </c>
      <c r="I495" s="256"/>
      <c r="J495" s="256"/>
      <c r="K495" s="256">
        <v>150</v>
      </c>
      <c r="L495" s="272">
        <f t="shared" si="15"/>
        <v>150</v>
      </c>
      <c r="M495" s="258">
        <f t="shared" si="16"/>
        <v>26319</v>
      </c>
    </row>
    <row r="496" spans="1:13" s="255" customFormat="1" ht="10.199999999999999" outlineLevel="4">
      <c r="A496" s="255" t="s">
        <v>974</v>
      </c>
      <c r="B496" s="269" t="s">
        <v>967</v>
      </c>
      <c r="C496" s="244" t="s">
        <v>985</v>
      </c>
      <c r="D496" s="296" t="s">
        <v>986</v>
      </c>
      <c r="E496" s="244" t="s">
        <v>135</v>
      </c>
      <c r="F496" s="271"/>
      <c r="G496" s="254">
        <v>33.28</v>
      </c>
      <c r="I496" s="256"/>
      <c r="J496" s="256"/>
      <c r="K496" s="256">
        <v>240</v>
      </c>
      <c r="L496" s="272">
        <f t="shared" si="15"/>
        <v>240</v>
      </c>
      <c r="M496" s="258">
        <f t="shared" si="16"/>
        <v>7987.2000000000007</v>
      </c>
    </row>
    <row r="497" spans="1:17" s="297" customFormat="1" ht="10.199999999999999" outlineLevel="4">
      <c r="A497" s="297" t="s">
        <v>987</v>
      </c>
      <c r="B497" s="298" t="s">
        <v>967</v>
      </c>
      <c r="C497" s="299" t="s">
        <v>988</v>
      </c>
      <c r="D497" s="300" t="s">
        <v>989</v>
      </c>
      <c r="E497" s="299" t="s">
        <v>135</v>
      </c>
      <c r="F497" s="301"/>
      <c r="G497" s="302">
        <v>2.2000000000000002</v>
      </c>
      <c r="I497" s="303"/>
      <c r="J497" s="303"/>
      <c r="K497" s="303">
        <v>120</v>
      </c>
      <c r="L497" s="304">
        <f t="shared" si="15"/>
        <v>120</v>
      </c>
      <c r="M497" s="305">
        <f t="shared" si="16"/>
        <v>264</v>
      </c>
    </row>
    <row r="498" spans="1:17" s="297" customFormat="1" ht="10.199999999999999" outlineLevel="4">
      <c r="A498" s="297" t="s">
        <v>987</v>
      </c>
      <c r="B498" s="298" t="s">
        <v>967</v>
      </c>
      <c r="C498" s="299" t="s">
        <v>990</v>
      </c>
      <c r="D498" s="306" t="s">
        <v>991</v>
      </c>
      <c r="E498" s="299" t="s">
        <v>135</v>
      </c>
      <c r="F498" s="301"/>
      <c r="G498" s="302">
        <v>62.120000000000005</v>
      </c>
      <c r="I498" s="303"/>
      <c r="J498" s="303"/>
      <c r="K498" s="303">
        <v>120</v>
      </c>
      <c r="L498" s="304">
        <f t="shared" si="15"/>
        <v>120</v>
      </c>
      <c r="M498" s="305">
        <f t="shared" si="16"/>
        <v>7454.4000000000005</v>
      </c>
    </row>
    <row r="499" spans="1:17" s="118" customFormat="1" ht="10.199999999999999" outlineLevel="3">
      <c r="B499" s="116"/>
      <c r="C499" s="129"/>
      <c r="D499" s="129"/>
      <c r="E499" s="129"/>
      <c r="F499" s="130"/>
      <c r="G499" s="131"/>
      <c r="I499" s="120"/>
      <c r="J499" s="120"/>
      <c r="K499" s="120"/>
      <c r="L499" s="270"/>
      <c r="M499" s="134"/>
    </row>
    <row r="500" spans="1:17" s="118" customFormat="1" ht="10.199999999999999" outlineLevel="2">
      <c r="B500" s="116"/>
      <c r="C500" s="126" t="s">
        <v>992</v>
      </c>
      <c r="D500" s="126" t="s">
        <v>993</v>
      </c>
      <c r="F500" s="161"/>
      <c r="G500" s="116"/>
      <c r="I500" s="120"/>
      <c r="J500" s="120"/>
      <c r="K500" s="120"/>
      <c r="L500" s="133"/>
      <c r="M500" s="264">
        <f>+M501</f>
        <v>244</v>
      </c>
    </row>
    <row r="501" spans="1:17" s="118" customFormat="1" ht="10.199999999999999" outlineLevel="3">
      <c r="B501" s="116"/>
      <c r="C501" s="158" t="s">
        <v>994</v>
      </c>
      <c r="D501" s="158" t="s">
        <v>995</v>
      </c>
      <c r="F501" s="266"/>
      <c r="G501" s="116"/>
      <c r="I501" s="120"/>
      <c r="J501" s="120"/>
      <c r="K501" s="120"/>
      <c r="L501" s="133"/>
      <c r="M501" s="267">
        <f>SUM(M502:M502)</f>
        <v>244</v>
      </c>
    </row>
    <row r="502" spans="1:17" s="137" customFormat="1" ht="10.199999999999999" outlineLevel="4">
      <c r="B502" s="214" t="s">
        <v>996</v>
      </c>
      <c r="C502" s="195" t="s">
        <v>997</v>
      </c>
      <c r="D502" s="307" t="s">
        <v>998</v>
      </c>
      <c r="E502" s="195" t="s">
        <v>890</v>
      </c>
      <c r="F502" s="135"/>
      <c r="G502" s="136">
        <v>1</v>
      </c>
      <c r="I502" s="138">
        <v>159</v>
      </c>
      <c r="J502" s="138"/>
      <c r="K502" s="138">
        <v>85</v>
      </c>
      <c r="L502" s="308">
        <f>SUM(H502:K502)</f>
        <v>244</v>
      </c>
      <c r="M502" s="140">
        <f>+L502*G502</f>
        <v>244</v>
      </c>
    </row>
    <row r="503" spans="1:17" s="118" customFormat="1" ht="10.199999999999999" outlineLevel="3">
      <c r="B503" s="116"/>
      <c r="C503" s="129"/>
      <c r="D503" s="218"/>
      <c r="E503" s="129"/>
      <c r="F503" s="130"/>
      <c r="G503" s="131"/>
      <c r="I503" s="120"/>
      <c r="J503" s="120"/>
      <c r="K503" s="120"/>
      <c r="L503" s="270"/>
      <c r="M503" s="134"/>
    </row>
    <row r="504" spans="1:17" s="118" customFormat="1" ht="10.199999999999999" outlineLevel="2">
      <c r="B504" s="116"/>
      <c r="C504" s="126" t="s">
        <v>999</v>
      </c>
      <c r="D504" s="126" t="s">
        <v>1000</v>
      </c>
      <c r="F504" s="161"/>
      <c r="G504" s="116"/>
      <c r="I504" s="120"/>
      <c r="J504" s="120"/>
      <c r="K504" s="120"/>
      <c r="L504" s="133"/>
      <c r="M504" s="264">
        <f>+M505+M514+M526+M533+M536</f>
        <v>311881.07519999996</v>
      </c>
    </row>
    <row r="505" spans="1:17" s="118" customFormat="1" ht="10.199999999999999" outlineLevel="3">
      <c r="B505" s="116"/>
      <c r="C505" s="158" t="s">
        <v>1001</v>
      </c>
      <c r="D505" s="158" t="s">
        <v>1002</v>
      </c>
      <c r="F505" s="266"/>
      <c r="G505" s="116"/>
      <c r="I505" s="120"/>
      <c r="J505" s="120"/>
      <c r="K505" s="120"/>
      <c r="L505" s="133"/>
      <c r="M505" s="267">
        <f>SUM(M506:M513)</f>
        <v>223420.27519999997</v>
      </c>
    </row>
    <row r="506" spans="1:17" s="309" customFormat="1" ht="10.199999999999999" outlineLevel="4">
      <c r="A506" s="309" t="s">
        <v>1003</v>
      </c>
      <c r="B506" s="310" t="s">
        <v>1004</v>
      </c>
      <c r="C506" s="311" t="s">
        <v>1005</v>
      </c>
      <c r="D506" s="312" t="s">
        <v>1006</v>
      </c>
      <c r="E506" s="311" t="s">
        <v>346</v>
      </c>
      <c r="F506" s="313"/>
      <c r="G506" s="314">
        <v>322.39100000000002</v>
      </c>
      <c r="I506" s="315"/>
      <c r="J506" s="315"/>
      <c r="K506" s="315">
        <v>18.5</v>
      </c>
      <c r="L506" s="316">
        <f>SUM(H506:K506)*0</f>
        <v>0</v>
      </c>
      <c r="M506" s="317">
        <f t="shared" ref="M506:M513" si="17">+L506*G506</f>
        <v>0</v>
      </c>
    </row>
    <row r="507" spans="1:17" s="318" customFormat="1" ht="10.199999999999999" outlineLevel="4">
      <c r="A507" s="318" t="s">
        <v>1003</v>
      </c>
      <c r="B507" s="319" t="s">
        <v>1004</v>
      </c>
      <c r="C507" s="320" t="s">
        <v>1007</v>
      </c>
      <c r="D507" s="320" t="s">
        <v>1008</v>
      </c>
      <c r="E507" s="320" t="s">
        <v>346</v>
      </c>
      <c r="F507" s="321"/>
      <c r="G507" s="322">
        <f>2198.6927+322.39</f>
        <v>2521.0826999999999</v>
      </c>
      <c r="I507" s="323"/>
      <c r="J507" s="323"/>
      <c r="K507" s="323">
        <v>25</v>
      </c>
      <c r="L507" s="324">
        <f t="shared" ref="L507:L513" si="18">SUM(H507:K507)</f>
        <v>25</v>
      </c>
      <c r="M507" s="325">
        <f t="shared" si="17"/>
        <v>63027.067499999997</v>
      </c>
      <c r="P507" s="318">
        <f>+G507*9</f>
        <v>22689.744299999998</v>
      </c>
      <c r="Q507" s="318">
        <f>+P507/6</f>
        <v>3781.6240499999999</v>
      </c>
    </row>
    <row r="508" spans="1:17" s="318" customFormat="1" ht="10.199999999999999" outlineLevel="4">
      <c r="A508" s="318" t="s">
        <v>1003</v>
      </c>
      <c r="B508" s="319" t="s">
        <v>1004</v>
      </c>
      <c r="C508" s="320" t="s">
        <v>1009</v>
      </c>
      <c r="D508" s="320" t="s">
        <v>1010</v>
      </c>
      <c r="E508" s="320" t="s">
        <v>346</v>
      </c>
      <c r="F508" s="321"/>
      <c r="G508" s="322">
        <v>1457.8564999999999</v>
      </c>
      <c r="I508" s="323"/>
      <c r="J508" s="323"/>
      <c r="K508" s="323">
        <v>25</v>
      </c>
      <c r="L508" s="324">
        <f t="shared" si="18"/>
        <v>25</v>
      </c>
      <c r="M508" s="325">
        <f t="shared" si="17"/>
        <v>36446.412499999999</v>
      </c>
      <c r="Q508" s="318">
        <f>+Q507/20</f>
        <v>189.08120249999999</v>
      </c>
    </row>
    <row r="509" spans="1:17" s="318" customFormat="1" ht="10.199999999999999" outlineLevel="4">
      <c r="A509" s="318" t="s">
        <v>1003</v>
      </c>
      <c r="B509" s="319" t="s">
        <v>1004</v>
      </c>
      <c r="C509" s="320" t="s">
        <v>1009</v>
      </c>
      <c r="D509" s="326" t="s">
        <v>1011</v>
      </c>
      <c r="E509" s="320" t="s">
        <v>346</v>
      </c>
      <c r="F509" s="321"/>
      <c r="G509" s="322">
        <v>1427.5464999999999</v>
      </c>
      <c r="I509" s="323"/>
      <c r="J509" s="323"/>
      <c r="K509" s="323">
        <v>16</v>
      </c>
      <c r="L509" s="324">
        <f t="shared" si="18"/>
        <v>16</v>
      </c>
      <c r="M509" s="325">
        <f t="shared" si="17"/>
        <v>22840.743999999999</v>
      </c>
    </row>
    <row r="510" spans="1:17" s="318" customFormat="1" ht="10.199999999999999" outlineLevel="4">
      <c r="A510" s="318" t="s">
        <v>1003</v>
      </c>
      <c r="B510" s="319" t="s">
        <v>1004</v>
      </c>
      <c r="C510" s="320" t="s">
        <v>1012</v>
      </c>
      <c r="D510" s="327" t="s">
        <v>1013</v>
      </c>
      <c r="E510" s="320" t="s">
        <v>346</v>
      </c>
      <c r="F510" s="321"/>
      <c r="G510" s="322">
        <v>242.79840000000004</v>
      </c>
      <c r="I510" s="323"/>
      <c r="J510" s="323"/>
      <c r="K510" s="323">
        <v>20.5</v>
      </c>
      <c r="L510" s="324">
        <f t="shared" si="18"/>
        <v>20.5</v>
      </c>
      <c r="M510" s="325">
        <f t="shared" si="17"/>
        <v>4977.3672000000006</v>
      </c>
    </row>
    <row r="511" spans="1:17" s="318" customFormat="1" ht="10.199999999999999" outlineLevel="4">
      <c r="A511" s="318" t="s">
        <v>1003</v>
      </c>
      <c r="B511" s="319" t="s">
        <v>1004</v>
      </c>
      <c r="C511" s="320" t="s">
        <v>1014</v>
      </c>
      <c r="D511" s="327" t="s">
        <v>1015</v>
      </c>
      <c r="E511" s="320" t="s">
        <v>346</v>
      </c>
      <c r="F511" s="321"/>
      <c r="G511" s="322">
        <v>98.3</v>
      </c>
      <c r="I511" s="323"/>
      <c r="J511" s="323"/>
      <c r="K511" s="323">
        <v>16</v>
      </c>
      <c r="L511" s="324">
        <f t="shared" si="18"/>
        <v>16</v>
      </c>
      <c r="M511" s="325">
        <f t="shared" si="17"/>
        <v>1572.8</v>
      </c>
    </row>
    <row r="512" spans="1:17" s="318" customFormat="1" ht="10.199999999999999" outlineLevel="4">
      <c r="A512" s="318" t="s">
        <v>1003</v>
      </c>
      <c r="B512" s="319" t="s">
        <v>1004</v>
      </c>
      <c r="C512" s="320" t="s">
        <v>1016</v>
      </c>
      <c r="D512" s="327" t="s">
        <v>1017</v>
      </c>
      <c r="E512" s="320" t="s">
        <v>346</v>
      </c>
      <c r="F512" s="321"/>
      <c r="G512" s="322">
        <v>878.93400000000008</v>
      </c>
      <c r="I512" s="323"/>
      <c r="J512" s="323"/>
      <c r="K512" s="323">
        <v>16</v>
      </c>
      <c r="L512" s="324">
        <f t="shared" si="18"/>
        <v>16</v>
      </c>
      <c r="M512" s="325">
        <f t="shared" si="17"/>
        <v>14062.944000000001</v>
      </c>
    </row>
    <row r="513" spans="1:13" s="318" customFormat="1" ht="10.199999999999999" outlineLevel="4">
      <c r="A513" s="318" t="s">
        <v>1003</v>
      </c>
      <c r="B513" s="319" t="s">
        <v>1004</v>
      </c>
      <c r="C513" s="320" t="s">
        <v>1018</v>
      </c>
      <c r="D513" s="327" t="s">
        <v>1019</v>
      </c>
      <c r="E513" s="320" t="s">
        <v>346</v>
      </c>
      <c r="F513" s="321"/>
      <c r="G513" s="322">
        <v>4878.3599999999997</v>
      </c>
      <c r="I513" s="323"/>
      <c r="J513" s="323"/>
      <c r="K513" s="323">
        <v>16.5</v>
      </c>
      <c r="L513" s="324">
        <f t="shared" si="18"/>
        <v>16.5</v>
      </c>
      <c r="M513" s="325">
        <f t="shared" si="17"/>
        <v>80492.939999999988</v>
      </c>
    </row>
    <row r="514" spans="1:13" s="118" customFormat="1" ht="10.199999999999999" outlineLevel="3">
      <c r="B514" s="116"/>
      <c r="C514" s="158" t="s">
        <v>1020</v>
      </c>
      <c r="D514" s="158" t="s">
        <v>1021</v>
      </c>
      <c r="F514" s="266"/>
      <c r="G514" s="116"/>
      <c r="I514" s="120"/>
      <c r="J514" s="120"/>
      <c r="K514" s="120"/>
      <c r="L514" s="133"/>
      <c r="M514" s="267">
        <f>SUM(M515:M523)</f>
        <v>55890.799999999988</v>
      </c>
    </row>
    <row r="515" spans="1:13" s="255" customFormat="1" ht="10.199999999999999" outlineLevel="4">
      <c r="A515" s="255" t="s">
        <v>1022</v>
      </c>
      <c r="B515" s="269" t="s">
        <v>1004</v>
      </c>
      <c r="C515" s="244" t="s">
        <v>1023</v>
      </c>
      <c r="D515" s="278" t="s">
        <v>1024</v>
      </c>
      <c r="E515" s="244" t="s">
        <v>1025</v>
      </c>
      <c r="F515" s="271"/>
      <c r="G515" s="254">
        <v>563.16999999999985</v>
      </c>
      <c r="I515" s="256"/>
      <c r="J515" s="256"/>
      <c r="K515" s="256">
        <v>35</v>
      </c>
      <c r="L515" s="272">
        <f t="shared" ref="L515:L523" si="19">SUM(H515:K515)</f>
        <v>35</v>
      </c>
      <c r="M515" s="258">
        <f t="shared" ref="M515:M523" si="20">+L515*G515</f>
        <v>19710.949999999993</v>
      </c>
    </row>
    <row r="516" spans="1:13" s="255" customFormat="1" ht="10.199999999999999" outlineLevel="4">
      <c r="A516" s="255" t="s">
        <v>1022</v>
      </c>
      <c r="B516" s="269" t="s">
        <v>1004</v>
      </c>
      <c r="C516" s="244" t="s">
        <v>1026</v>
      </c>
      <c r="D516" s="278" t="s">
        <v>1027</v>
      </c>
      <c r="E516" s="244" t="s">
        <v>550</v>
      </c>
      <c r="F516" s="271"/>
      <c r="G516" s="254">
        <v>427.40999999999997</v>
      </c>
      <c r="I516" s="256"/>
      <c r="J516" s="256"/>
      <c r="K516" s="256">
        <v>35</v>
      </c>
      <c r="L516" s="272">
        <f t="shared" si="19"/>
        <v>35</v>
      </c>
      <c r="M516" s="258">
        <f t="shared" si="20"/>
        <v>14959.349999999999</v>
      </c>
    </row>
    <row r="517" spans="1:13" s="255" customFormat="1" ht="10.199999999999999" outlineLevel="4">
      <c r="A517" s="255" t="s">
        <v>1022</v>
      </c>
      <c r="B517" s="269" t="s">
        <v>1004</v>
      </c>
      <c r="C517" s="244" t="s">
        <v>1028</v>
      </c>
      <c r="D517" s="278" t="s">
        <v>1029</v>
      </c>
      <c r="E517" s="244" t="s">
        <v>550</v>
      </c>
      <c r="F517" s="271"/>
      <c r="G517" s="254">
        <v>85.2</v>
      </c>
      <c r="I517" s="256"/>
      <c r="J517" s="256"/>
      <c r="K517" s="256">
        <v>35</v>
      </c>
      <c r="L517" s="272">
        <f t="shared" si="19"/>
        <v>35</v>
      </c>
      <c r="M517" s="258">
        <f t="shared" si="20"/>
        <v>2982</v>
      </c>
    </row>
    <row r="518" spans="1:13" s="255" customFormat="1" ht="10.199999999999999" outlineLevel="4">
      <c r="A518" s="255" t="s">
        <v>1022</v>
      </c>
      <c r="B518" s="269" t="s">
        <v>1004</v>
      </c>
      <c r="C518" s="244" t="s">
        <v>1030</v>
      </c>
      <c r="D518" s="278" t="s">
        <v>1031</v>
      </c>
      <c r="E518" s="244" t="s">
        <v>890</v>
      </c>
      <c r="F518" s="271"/>
      <c r="G518" s="254">
        <v>1</v>
      </c>
      <c r="I518" s="256"/>
      <c r="J518" s="256"/>
      <c r="K518" s="256">
        <v>36</v>
      </c>
      <c r="L518" s="272">
        <f t="shared" si="19"/>
        <v>36</v>
      </c>
      <c r="M518" s="258">
        <f t="shared" si="20"/>
        <v>36</v>
      </c>
    </row>
    <row r="519" spans="1:13" s="255" customFormat="1" ht="10.199999999999999" outlineLevel="4">
      <c r="A519" s="255" t="s">
        <v>1022</v>
      </c>
      <c r="B519" s="269" t="s">
        <v>1004</v>
      </c>
      <c r="C519" s="244" t="s">
        <v>1032</v>
      </c>
      <c r="D519" s="278" t="s">
        <v>1033</v>
      </c>
      <c r="E519" s="244" t="s">
        <v>890</v>
      </c>
      <c r="F519" s="271"/>
      <c r="G519" s="254">
        <v>266</v>
      </c>
      <c r="I519" s="256"/>
      <c r="J519" s="256"/>
      <c r="K519" s="256">
        <v>37</v>
      </c>
      <c r="L519" s="272">
        <f t="shared" si="19"/>
        <v>37</v>
      </c>
      <c r="M519" s="258">
        <f t="shared" si="20"/>
        <v>9842</v>
      </c>
    </row>
    <row r="520" spans="1:13" s="255" customFormat="1" ht="10.199999999999999" outlineLevel="4">
      <c r="A520" s="255" t="s">
        <v>1022</v>
      </c>
      <c r="B520" s="269" t="s">
        <v>1004</v>
      </c>
      <c r="C520" s="244" t="s">
        <v>1034</v>
      </c>
      <c r="D520" s="278" t="s">
        <v>1035</v>
      </c>
      <c r="E520" s="244" t="s">
        <v>890</v>
      </c>
      <c r="F520" s="271"/>
      <c r="G520" s="254">
        <v>12</v>
      </c>
      <c r="I520" s="256"/>
      <c r="J520" s="256"/>
      <c r="K520" s="256">
        <v>38</v>
      </c>
      <c r="L520" s="272">
        <f t="shared" si="19"/>
        <v>38</v>
      </c>
      <c r="M520" s="258">
        <f t="shared" si="20"/>
        <v>456</v>
      </c>
    </row>
    <row r="521" spans="1:13" s="255" customFormat="1" ht="10.199999999999999" outlineLevel="4">
      <c r="A521" s="255" t="s">
        <v>1022</v>
      </c>
      <c r="B521" s="269" t="s">
        <v>1004</v>
      </c>
      <c r="C521" s="244" t="s">
        <v>1036</v>
      </c>
      <c r="D521" s="278" t="s">
        <v>1037</v>
      </c>
      <c r="E521" s="244" t="s">
        <v>890</v>
      </c>
      <c r="F521" s="271"/>
      <c r="G521" s="254">
        <v>192</v>
      </c>
      <c r="I521" s="256"/>
      <c r="J521" s="256"/>
      <c r="K521" s="256">
        <v>39</v>
      </c>
      <c r="L521" s="272">
        <f t="shared" si="19"/>
        <v>39</v>
      </c>
      <c r="M521" s="258">
        <f t="shared" si="20"/>
        <v>7488</v>
      </c>
    </row>
    <row r="522" spans="1:13" s="118" customFormat="1" ht="10.199999999999999" outlineLevel="4">
      <c r="B522" s="116" t="s">
        <v>834</v>
      </c>
      <c r="C522" s="129" t="s">
        <v>1038</v>
      </c>
      <c r="D522" s="129" t="s">
        <v>1039</v>
      </c>
      <c r="E522" s="129" t="s">
        <v>251</v>
      </c>
      <c r="F522" s="130"/>
      <c r="G522" s="131">
        <v>7</v>
      </c>
      <c r="H522" s="255"/>
      <c r="I522" s="256"/>
      <c r="J522" s="256"/>
      <c r="K522" s="256">
        <f>85*0.7</f>
        <v>59.499999999999993</v>
      </c>
      <c r="L522" s="270">
        <f t="shared" si="19"/>
        <v>59.499999999999993</v>
      </c>
      <c r="M522" s="134">
        <f t="shared" si="20"/>
        <v>416.49999999999994</v>
      </c>
    </row>
    <row r="523" spans="1:13" s="255" customFormat="1" ht="10.199999999999999" outlineLevel="4">
      <c r="A523" s="255" t="s">
        <v>1022</v>
      </c>
      <c r="B523" s="269" t="s">
        <v>1004</v>
      </c>
      <c r="C523" s="244" t="s">
        <v>1040</v>
      </c>
      <c r="D523" s="244" t="s">
        <v>1041</v>
      </c>
      <c r="E523" s="244" t="s">
        <v>251</v>
      </c>
      <c r="F523" s="271"/>
      <c r="G523" s="254"/>
      <c r="I523" s="256"/>
      <c r="J523" s="256"/>
      <c r="K523" s="256"/>
      <c r="L523" s="272">
        <f t="shared" si="19"/>
        <v>0</v>
      </c>
      <c r="M523" s="258">
        <f t="shared" si="20"/>
        <v>0</v>
      </c>
    </row>
    <row r="524" spans="1:13" s="118" customFormat="1" ht="10.199999999999999" outlineLevel="3">
      <c r="B524" s="116"/>
      <c r="C524" s="129"/>
      <c r="D524" s="129"/>
      <c r="E524" s="129"/>
      <c r="F524" s="130"/>
      <c r="G524" s="131"/>
      <c r="I524" s="120"/>
      <c r="J524" s="120"/>
      <c r="K524" s="120"/>
      <c r="L524" s="270"/>
      <c r="M524" s="134"/>
    </row>
    <row r="525" spans="1:13" s="118" customFormat="1" ht="10.199999999999999" outlineLevel="2">
      <c r="B525" s="116"/>
      <c r="C525" s="126" t="s">
        <v>999</v>
      </c>
      <c r="D525" s="260" t="s">
        <v>1042</v>
      </c>
      <c r="E525" s="129"/>
      <c r="F525" s="130"/>
      <c r="G525" s="131"/>
      <c r="I525" s="120"/>
      <c r="J525" s="120"/>
      <c r="K525" s="120"/>
      <c r="L525" s="270"/>
      <c r="M525" s="264">
        <f>+M526+M533+M536</f>
        <v>32570</v>
      </c>
    </row>
    <row r="526" spans="1:13" s="328" customFormat="1" ht="10.199999999999999" outlineLevel="3">
      <c r="B526" s="329"/>
      <c r="C526" s="330"/>
      <c r="D526" s="331" t="s">
        <v>1043</v>
      </c>
      <c r="E526" s="330"/>
      <c r="F526" s="332"/>
      <c r="G526" s="333"/>
      <c r="I526" s="334"/>
      <c r="J526" s="334"/>
      <c r="K526" s="334"/>
      <c r="L526" s="335"/>
      <c r="M526" s="336">
        <f>SUM(M527:M532)</f>
        <v>16920</v>
      </c>
    </row>
    <row r="527" spans="1:13" s="328" customFormat="1" ht="20.399999999999999" outlineLevel="4">
      <c r="A527" s="328" t="s">
        <v>1044</v>
      </c>
      <c r="B527" s="329" t="s">
        <v>929</v>
      </c>
      <c r="C527" s="330"/>
      <c r="D527" s="337" t="s">
        <v>1045</v>
      </c>
      <c r="E527" s="330" t="s">
        <v>1046</v>
      </c>
      <c r="F527" s="332"/>
      <c r="G527" s="333">
        <v>73</v>
      </c>
      <c r="I527" s="334">
        <v>60</v>
      </c>
      <c r="J527" s="334"/>
      <c r="K527" s="334"/>
      <c r="L527" s="335">
        <f t="shared" ref="L527:L532" si="21">SUM(H527:K527)</f>
        <v>60</v>
      </c>
      <c r="M527" s="338">
        <f t="shared" ref="M527:M532" si="22">+L527*G527</f>
        <v>4380</v>
      </c>
    </row>
    <row r="528" spans="1:13" s="328" customFormat="1" ht="10.199999999999999" outlineLevel="4">
      <c r="A528" s="328" t="s">
        <v>1044</v>
      </c>
      <c r="B528" s="329" t="s">
        <v>929</v>
      </c>
      <c r="C528" s="330"/>
      <c r="D528" s="337" t="s">
        <v>1047</v>
      </c>
      <c r="E528" s="330" t="s">
        <v>1046</v>
      </c>
      <c r="F528" s="332"/>
      <c r="G528" s="333">
        <v>40</v>
      </c>
      <c r="I528" s="334">
        <v>40</v>
      </c>
      <c r="J528" s="334"/>
      <c r="K528" s="334"/>
      <c r="L528" s="335">
        <f t="shared" si="21"/>
        <v>40</v>
      </c>
      <c r="M528" s="338">
        <f t="shared" si="22"/>
        <v>1600</v>
      </c>
    </row>
    <row r="529" spans="1:13" s="328" customFormat="1" ht="20.399999999999999" outlineLevel="4">
      <c r="A529" s="328" t="s">
        <v>1044</v>
      </c>
      <c r="B529" s="329" t="s">
        <v>929</v>
      </c>
      <c r="C529" s="330"/>
      <c r="D529" s="337" t="s">
        <v>1048</v>
      </c>
      <c r="E529" s="330" t="s">
        <v>1046</v>
      </c>
      <c r="F529" s="332"/>
      <c r="G529" s="333">
        <v>83</v>
      </c>
      <c r="I529" s="334">
        <v>60</v>
      </c>
      <c r="J529" s="334"/>
      <c r="K529" s="334"/>
      <c r="L529" s="335">
        <f t="shared" si="21"/>
        <v>60</v>
      </c>
      <c r="M529" s="338">
        <f t="shared" si="22"/>
        <v>4980</v>
      </c>
    </row>
    <row r="530" spans="1:13" s="328" customFormat="1" ht="10.199999999999999" outlineLevel="4">
      <c r="A530" s="328" t="s">
        <v>1044</v>
      </c>
      <c r="B530" s="329" t="s">
        <v>929</v>
      </c>
      <c r="C530" s="330"/>
      <c r="D530" s="337" t="s">
        <v>1049</v>
      </c>
      <c r="E530" s="330" t="s">
        <v>1046</v>
      </c>
      <c r="F530" s="332"/>
      <c r="G530" s="333">
        <v>69</v>
      </c>
      <c r="I530" s="334">
        <v>50</v>
      </c>
      <c r="J530" s="334"/>
      <c r="K530" s="334"/>
      <c r="L530" s="335">
        <f t="shared" si="21"/>
        <v>50</v>
      </c>
      <c r="M530" s="338">
        <f t="shared" si="22"/>
        <v>3450</v>
      </c>
    </row>
    <row r="531" spans="1:13" s="328" customFormat="1" ht="10.199999999999999" outlineLevel="4">
      <c r="A531" s="328" t="s">
        <v>1044</v>
      </c>
      <c r="B531" s="329" t="s">
        <v>929</v>
      </c>
      <c r="C531" s="330"/>
      <c r="D531" s="337" t="s">
        <v>1050</v>
      </c>
      <c r="E531" s="330" t="s">
        <v>1046</v>
      </c>
      <c r="F531" s="332"/>
      <c r="G531" s="333">
        <v>39</v>
      </c>
      <c r="I531" s="334">
        <v>50</v>
      </c>
      <c r="J531" s="334"/>
      <c r="K531" s="334"/>
      <c r="L531" s="335">
        <f t="shared" si="21"/>
        <v>50</v>
      </c>
      <c r="M531" s="338">
        <f t="shared" si="22"/>
        <v>1950</v>
      </c>
    </row>
    <row r="532" spans="1:13" s="328" customFormat="1" ht="10.199999999999999" outlineLevel="4">
      <c r="A532" s="328" t="s">
        <v>1044</v>
      </c>
      <c r="B532" s="329" t="s">
        <v>929</v>
      </c>
      <c r="C532" s="330"/>
      <c r="D532" s="337" t="s">
        <v>1051</v>
      </c>
      <c r="E532" s="330" t="s">
        <v>1046</v>
      </c>
      <c r="F532" s="332"/>
      <c r="G532" s="333">
        <v>8</v>
      </c>
      <c r="I532" s="334">
        <v>70</v>
      </c>
      <c r="J532" s="334"/>
      <c r="K532" s="334"/>
      <c r="L532" s="335">
        <f t="shared" si="21"/>
        <v>70</v>
      </c>
      <c r="M532" s="338">
        <f t="shared" si="22"/>
        <v>560</v>
      </c>
    </row>
    <row r="533" spans="1:13" s="328" customFormat="1" ht="10.199999999999999" outlineLevel="3">
      <c r="B533" s="329"/>
      <c r="C533" s="330"/>
      <c r="D533" s="331" t="s">
        <v>1052</v>
      </c>
      <c r="E533" s="330"/>
      <c r="F533" s="332"/>
      <c r="G533" s="333"/>
      <c r="I533" s="334"/>
      <c r="J533" s="334"/>
      <c r="K533" s="334"/>
      <c r="L533" s="335"/>
      <c r="M533" s="336">
        <f>SUM(M534:M535)</f>
        <v>13350</v>
      </c>
    </row>
    <row r="534" spans="1:13" s="328" customFormat="1" ht="10.199999999999999" outlineLevel="4">
      <c r="A534" s="328" t="s">
        <v>1044</v>
      </c>
      <c r="B534" s="329" t="s">
        <v>929</v>
      </c>
      <c r="C534" s="330"/>
      <c r="D534" s="337" t="s">
        <v>1053</v>
      </c>
      <c r="E534" s="330" t="s">
        <v>1046</v>
      </c>
      <c r="F534" s="332"/>
      <c r="G534" s="333">
        <v>205</v>
      </c>
      <c r="I534" s="334">
        <v>50</v>
      </c>
      <c r="J534" s="334"/>
      <c r="K534" s="334"/>
      <c r="L534" s="335">
        <f>SUM(H534:K534)</f>
        <v>50</v>
      </c>
      <c r="M534" s="338">
        <f>+L534*G534</f>
        <v>10250</v>
      </c>
    </row>
    <row r="535" spans="1:13" s="328" customFormat="1" ht="20.399999999999999" outlineLevel="4">
      <c r="A535" s="328" t="s">
        <v>1044</v>
      </c>
      <c r="B535" s="329" t="s">
        <v>929</v>
      </c>
      <c r="C535" s="330"/>
      <c r="D535" s="337" t="s">
        <v>1054</v>
      </c>
      <c r="E535" s="330" t="s">
        <v>1046</v>
      </c>
      <c r="F535" s="332"/>
      <c r="G535" s="333">
        <v>62</v>
      </c>
      <c r="I535" s="334">
        <v>50</v>
      </c>
      <c r="J535" s="334"/>
      <c r="K535" s="334"/>
      <c r="L535" s="335">
        <f>SUM(H535:K535)</f>
        <v>50</v>
      </c>
      <c r="M535" s="338">
        <f>+L535*G535</f>
        <v>3100</v>
      </c>
    </row>
    <row r="536" spans="1:13" s="328" customFormat="1" ht="10.199999999999999" outlineLevel="3">
      <c r="B536" s="329"/>
      <c r="C536" s="330"/>
      <c r="D536" s="331" t="s">
        <v>1055</v>
      </c>
      <c r="E536" s="330"/>
      <c r="F536" s="332"/>
      <c r="G536" s="333"/>
      <c r="I536" s="334"/>
      <c r="J536" s="334"/>
      <c r="K536" s="334"/>
      <c r="L536" s="335"/>
      <c r="M536" s="336">
        <f>SUM(M537)</f>
        <v>2300</v>
      </c>
    </row>
    <row r="537" spans="1:13" s="328" customFormat="1" ht="10.199999999999999" outlineLevel="4">
      <c r="A537" s="328" t="s">
        <v>1044</v>
      </c>
      <c r="B537" s="329" t="s">
        <v>929</v>
      </c>
      <c r="C537" s="330"/>
      <c r="D537" s="337" t="s">
        <v>1056</v>
      </c>
      <c r="E537" s="330" t="s">
        <v>1046</v>
      </c>
      <c r="F537" s="332"/>
      <c r="G537" s="333">
        <v>46</v>
      </c>
      <c r="I537" s="334">
        <v>50</v>
      </c>
      <c r="J537" s="334"/>
      <c r="K537" s="334"/>
      <c r="L537" s="335">
        <f>SUM(H537:K537)</f>
        <v>50</v>
      </c>
      <c r="M537" s="338">
        <f>+L537*G537</f>
        <v>2300</v>
      </c>
    </row>
    <row r="538" spans="1:13" s="118" customFormat="1" ht="10.199999999999999" outlineLevel="3">
      <c r="B538" s="116"/>
      <c r="C538" s="129"/>
      <c r="D538" s="141"/>
      <c r="E538" s="129"/>
      <c r="F538" s="130"/>
      <c r="G538" s="131"/>
      <c r="I538" s="120"/>
      <c r="J538" s="120"/>
      <c r="K538" s="120"/>
      <c r="L538" s="270"/>
      <c r="M538" s="134"/>
    </row>
    <row r="539" spans="1:13" s="118" customFormat="1" ht="10.199999999999999" outlineLevel="2">
      <c r="B539" s="116"/>
      <c r="C539" s="129"/>
      <c r="D539" s="129"/>
      <c r="E539" s="129"/>
      <c r="F539" s="130"/>
      <c r="G539" s="131"/>
      <c r="I539" s="120"/>
      <c r="J539" s="120"/>
      <c r="K539" s="120"/>
      <c r="L539" s="270"/>
      <c r="M539" s="134"/>
    </row>
    <row r="540" spans="1:13" s="118" customFormat="1" ht="10.199999999999999" outlineLevel="1">
      <c r="B540" s="116"/>
      <c r="C540" s="129"/>
      <c r="D540" s="129"/>
      <c r="E540" s="129"/>
      <c r="F540" s="132"/>
      <c r="G540" s="131"/>
      <c r="I540" s="120"/>
      <c r="J540" s="120"/>
      <c r="K540" s="120"/>
      <c r="L540" s="270"/>
      <c r="M540" s="339"/>
    </row>
    <row r="541" spans="1:13" s="118" customFormat="1" ht="10.199999999999999" outlineLevel="1">
      <c r="B541" s="116"/>
      <c r="C541" s="123" t="s">
        <v>1057</v>
      </c>
      <c r="D541" s="123" t="s">
        <v>1058</v>
      </c>
      <c r="F541" s="262"/>
      <c r="G541" s="116"/>
      <c r="I541" s="120"/>
      <c r="J541" s="120"/>
      <c r="K541" s="120"/>
      <c r="L541" s="133"/>
      <c r="M541" s="263">
        <f>+M542+M569+M619+M656+M699+M743+M751+M763+M766+M775+M797+M888+M925+M945+M1102</f>
        <v>12697922.5739481</v>
      </c>
    </row>
    <row r="542" spans="1:13" s="118" customFormat="1" ht="10.199999999999999" outlineLevel="2">
      <c r="B542" s="116"/>
      <c r="C542" s="126" t="s">
        <v>1059</v>
      </c>
      <c r="D542" s="126" t="s">
        <v>831</v>
      </c>
      <c r="F542" s="161"/>
      <c r="G542" s="116"/>
      <c r="I542" s="120"/>
      <c r="J542" s="120"/>
      <c r="K542" s="120"/>
      <c r="L542" s="133"/>
      <c r="M542" s="264">
        <f>SUM(M543:M568)</f>
        <v>1547079.2840792667</v>
      </c>
    </row>
    <row r="543" spans="1:13" s="118" customFormat="1" ht="10.199999999999999" outlineLevel="3">
      <c r="B543" s="269" t="s">
        <v>834</v>
      </c>
      <c r="C543" s="129" t="s">
        <v>1060</v>
      </c>
      <c r="D543" s="129" t="s">
        <v>1061</v>
      </c>
      <c r="E543" s="129" t="s">
        <v>251</v>
      </c>
      <c r="F543" s="130"/>
      <c r="G543" s="131">
        <f>607.7-125</f>
        <v>482.70000000000005</v>
      </c>
      <c r="I543" s="120"/>
      <c r="J543" s="120"/>
      <c r="K543" s="120">
        <f>110*0.7</f>
        <v>77</v>
      </c>
      <c r="L543" s="270">
        <f>SUM(H543:K543)</f>
        <v>77</v>
      </c>
      <c r="M543" s="134">
        <f t="shared" ref="M543:M568" si="23">+L543*G543</f>
        <v>37167.9</v>
      </c>
    </row>
    <row r="544" spans="1:13" s="255" customFormat="1" ht="10.199999999999999" outlineLevel="3">
      <c r="B544" s="269" t="s">
        <v>839</v>
      </c>
      <c r="C544" s="244" t="s">
        <v>1060</v>
      </c>
      <c r="D544" s="244" t="s">
        <v>1062</v>
      </c>
      <c r="E544" s="244" t="s">
        <v>251</v>
      </c>
      <c r="F544" s="271"/>
      <c r="G544" s="254">
        <v>125</v>
      </c>
      <c r="I544" s="256"/>
      <c r="J544" s="256"/>
      <c r="K544" s="256">
        <v>110</v>
      </c>
      <c r="L544" s="272">
        <f>SUM(H544:K544)</f>
        <v>110</v>
      </c>
      <c r="M544" s="258">
        <f t="shared" si="23"/>
        <v>13750</v>
      </c>
    </row>
    <row r="545" spans="2:13" s="255" customFormat="1" ht="10.199999999999999" outlineLevel="3">
      <c r="B545" s="269" t="s">
        <v>839</v>
      </c>
      <c r="C545" s="244" t="s">
        <v>1063</v>
      </c>
      <c r="D545" s="244" t="s">
        <v>1064</v>
      </c>
      <c r="E545" s="244" t="s">
        <v>346</v>
      </c>
      <c r="F545" s="271"/>
      <c r="G545" s="254">
        <v>340.36800000000011</v>
      </c>
      <c r="I545" s="256"/>
      <c r="J545" s="256"/>
      <c r="K545" s="256">
        <v>95</v>
      </c>
      <c r="L545" s="272">
        <f>SUM(H545:K545)</f>
        <v>95</v>
      </c>
      <c r="M545" s="258">
        <f t="shared" si="23"/>
        <v>32334.96000000001</v>
      </c>
    </row>
    <row r="546" spans="2:13" s="255" customFormat="1" ht="10.199999999999999" outlineLevel="3">
      <c r="B546" s="269" t="s">
        <v>839</v>
      </c>
      <c r="C546" s="244" t="s">
        <v>1065</v>
      </c>
      <c r="D546" s="244" t="s">
        <v>1066</v>
      </c>
      <c r="E546" s="244" t="s">
        <v>346</v>
      </c>
      <c r="F546" s="271"/>
      <c r="G546" s="254">
        <v>5904.6634999999997</v>
      </c>
      <c r="I546" s="256"/>
      <c r="J546" s="256"/>
      <c r="K546" s="256">
        <v>96.5</v>
      </c>
      <c r="L546" s="272">
        <f>SUM(H546:K546)</f>
        <v>96.5</v>
      </c>
      <c r="M546" s="258">
        <f t="shared" si="23"/>
        <v>569800.02775000001</v>
      </c>
    </row>
    <row r="547" spans="2:13" s="168" customFormat="1" ht="10.199999999999999" outlineLevel="3">
      <c r="B547" s="166" t="s">
        <v>839</v>
      </c>
      <c r="C547" s="117" t="s">
        <v>1067</v>
      </c>
      <c r="D547" s="117" t="s">
        <v>1068</v>
      </c>
      <c r="E547" s="117" t="s">
        <v>346</v>
      </c>
      <c r="F547" s="142"/>
      <c r="G547" s="167">
        <v>771.83199999999988</v>
      </c>
      <c r="I547" s="169"/>
      <c r="J547" s="169"/>
      <c r="K547" s="169">
        <v>106.5</v>
      </c>
      <c r="L547" s="273">
        <f>SUM(H547:K547)*0</f>
        <v>0</v>
      </c>
      <c r="M547" s="143">
        <f t="shared" si="23"/>
        <v>0</v>
      </c>
    </row>
    <row r="548" spans="2:13" s="255" customFormat="1" ht="10.199999999999999" outlineLevel="3">
      <c r="B548" s="269" t="s">
        <v>839</v>
      </c>
      <c r="C548" s="244" t="s">
        <v>1069</v>
      </c>
      <c r="D548" s="244" t="s">
        <v>1070</v>
      </c>
      <c r="E548" s="244" t="s">
        <v>346</v>
      </c>
      <c r="F548" s="271"/>
      <c r="G548" s="254">
        <v>6512.0580000000018</v>
      </c>
      <c r="I548" s="256"/>
      <c r="J548" s="256"/>
      <c r="K548" s="256">
        <v>104.5</v>
      </c>
      <c r="L548" s="272">
        <f>SUM(H548:K548)</f>
        <v>104.5</v>
      </c>
      <c r="M548" s="258">
        <f t="shared" si="23"/>
        <v>680510.06100000022</v>
      </c>
    </row>
    <row r="549" spans="2:13" s="168" customFormat="1" ht="10.199999999999999" outlineLevel="3">
      <c r="B549" s="166" t="s">
        <v>839</v>
      </c>
      <c r="C549" s="117" t="s">
        <v>1071</v>
      </c>
      <c r="D549" s="117" t="s">
        <v>1072</v>
      </c>
      <c r="E549" s="117" t="s">
        <v>346</v>
      </c>
      <c r="F549" s="142"/>
      <c r="G549" s="167">
        <v>4320.3114999999989</v>
      </c>
      <c r="I549" s="169"/>
      <c r="J549" s="169"/>
      <c r="K549" s="169">
        <v>104.5</v>
      </c>
      <c r="L549" s="273">
        <f t="shared" ref="L549:L555" si="24">SUM(H549:K549)*0</f>
        <v>0</v>
      </c>
      <c r="M549" s="143">
        <f t="shared" si="23"/>
        <v>0</v>
      </c>
    </row>
    <row r="550" spans="2:13" s="168" customFormat="1" ht="10.199999999999999" outlineLevel="3">
      <c r="B550" s="166" t="s">
        <v>839</v>
      </c>
      <c r="C550" s="117" t="s">
        <v>1073</v>
      </c>
      <c r="D550" s="117" t="s">
        <v>1074</v>
      </c>
      <c r="E550" s="117" t="s">
        <v>346</v>
      </c>
      <c r="F550" s="142"/>
      <c r="G550" s="167">
        <v>11.247999999999999</v>
      </c>
      <c r="I550" s="169"/>
      <c r="J550" s="169"/>
      <c r="K550" s="169">
        <v>193</v>
      </c>
      <c r="L550" s="273">
        <f t="shared" si="24"/>
        <v>0</v>
      </c>
      <c r="M550" s="143">
        <f t="shared" si="23"/>
        <v>0</v>
      </c>
    </row>
    <row r="551" spans="2:13" s="168" customFormat="1" ht="10.199999999999999" outlineLevel="3">
      <c r="B551" s="166" t="s">
        <v>839</v>
      </c>
      <c r="C551" s="117" t="s">
        <v>1075</v>
      </c>
      <c r="D551" s="117" t="s">
        <v>1076</v>
      </c>
      <c r="E551" s="117" t="s">
        <v>346</v>
      </c>
      <c r="F551" s="142"/>
      <c r="G551" s="167">
        <v>3.9690000000000003</v>
      </c>
      <c r="I551" s="169"/>
      <c r="J551" s="169"/>
      <c r="K551" s="169">
        <v>216</v>
      </c>
      <c r="L551" s="273">
        <f t="shared" si="24"/>
        <v>0</v>
      </c>
      <c r="M551" s="143">
        <f t="shared" si="23"/>
        <v>0</v>
      </c>
    </row>
    <row r="552" spans="2:13" s="168" customFormat="1" ht="10.199999999999999" outlineLevel="3">
      <c r="B552" s="166" t="s">
        <v>839</v>
      </c>
      <c r="C552" s="117" t="s">
        <v>1077</v>
      </c>
      <c r="D552" s="117" t="s">
        <v>1078</v>
      </c>
      <c r="E552" s="117" t="s">
        <v>346</v>
      </c>
      <c r="F552" s="142"/>
      <c r="G552" s="167">
        <v>208.31200000000001</v>
      </c>
      <c r="I552" s="169"/>
      <c r="J552" s="169"/>
      <c r="K552" s="169">
        <v>209</v>
      </c>
      <c r="L552" s="273">
        <f t="shared" si="24"/>
        <v>0</v>
      </c>
      <c r="M552" s="143">
        <f t="shared" si="23"/>
        <v>0</v>
      </c>
    </row>
    <row r="553" spans="2:13" s="168" customFormat="1" ht="10.199999999999999" outlineLevel="3">
      <c r="B553" s="166" t="s">
        <v>839</v>
      </c>
      <c r="C553" s="117" t="s">
        <v>1079</v>
      </c>
      <c r="D553" s="117" t="s">
        <v>1080</v>
      </c>
      <c r="E553" s="117" t="s">
        <v>346</v>
      </c>
      <c r="F553" s="142"/>
      <c r="G553" s="167">
        <v>105.73700000000001</v>
      </c>
      <c r="I553" s="169"/>
      <c r="J553" s="169"/>
      <c r="K553" s="169">
        <v>209</v>
      </c>
      <c r="L553" s="273">
        <f t="shared" si="24"/>
        <v>0</v>
      </c>
      <c r="M553" s="143">
        <f t="shared" si="23"/>
        <v>0</v>
      </c>
    </row>
    <row r="554" spans="2:13" s="168" customFormat="1" ht="10.199999999999999" outlineLevel="3">
      <c r="B554" s="166" t="s">
        <v>839</v>
      </c>
      <c r="C554" s="117" t="s">
        <v>1081</v>
      </c>
      <c r="D554" s="117" t="s">
        <v>1082</v>
      </c>
      <c r="E554" s="117" t="s">
        <v>346</v>
      </c>
      <c r="F554" s="142"/>
      <c r="G554" s="167">
        <v>4.359</v>
      </c>
      <c r="I554" s="169"/>
      <c r="J554" s="169"/>
      <c r="K554" s="169">
        <v>225</v>
      </c>
      <c r="L554" s="273">
        <f t="shared" si="24"/>
        <v>0</v>
      </c>
      <c r="M554" s="143">
        <f t="shared" si="23"/>
        <v>0</v>
      </c>
    </row>
    <row r="555" spans="2:13" s="168" customFormat="1" ht="10.199999999999999" outlineLevel="3">
      <c r="B555" s="166" t="s">
        <v>839</v>
      </c>
      <c r="C555" s="117" t="s">
        <v>1083</v>
      </c>
      <c r="D555" s="117" t="s">
        <v>1084</v>
      </c>
      <c r="E555" s="117" t="s">
        <v>346</v>
      </c>
      <c r="F555" s="142"/>
      <c r="G555" s="167">
        <v>222.32400000000001</v>
      </c>
      <c r="I555" s="169"/>
      <c r="J555" s="169"/>
      <c r="K555" s="169">
        <v>225</v>
      </c>
      <c r="L555" s="273">
        <f t="shared" si="24"/>
        <v>0</v>
      </c>
      <c r="M555" s="143">
        <f t="shared" si="23"/>
        <v>0</v>
      </c>
    </row>
    <row r="556" spans="2:13" s="345" customFormat="1" ht="10.199999999999999" outlineLevel="3">
      <c r="B556" s="340" t="s">
        <v>839</v>
      </c>
      <c r="C556" s="341" t="s">
        <v>1083</v>
      </c>
      <c r="D556" s="342" t="s">
        <v>1085</v>
      </c>
      <c r="E556" s="341" t="s">
        <v>251</v>
      </c>
      <c r="F556" s="343"/>
      <c r="G556" s="344">
        <v>470</v>
      </c>
      <c r="I556" s="346"/>
      <c r="J556" s="346"/>
      <c r="K556" s="346">
        <v>60</v>
      </c>
      <c r="L556" s="347">
        <f>SUM(H556:K556)</f>
        <v>60</v>
      </c>
      <c r="M556" s="348">
        <f t="shared" si="23"/>
        <v>28200</v>
      </c>
    </row>
    <row r="557" spans="2:13" s="345" customFormat="1" ht="10.199999999999999" outlineLevel="3">
      <c r="B557" s="340" t="s">
        <v>839</v>
      </c>
      <c r="C557" s="341" t="s">
        <v>1083</v>
      </c>
      <c r="D557" s="342" t="s">
        <v>852</v>
      </c>
      <c r="E557" s="341" t="s">
        <v>424</v>
      </c>
      <c r="F557" s="343"/>
      <c r="G557" s="349">
        <f>+(G545+G546+G548)*2.8</f>
        <v>35719.850600000005</v>
      </c>
      <c r="I557" s="346">
        <f>795*3.8/1000</f>
        <v>3.0209999999999999</v>
      </c>
      <c r="J557" s="346"/>
      <c r="K557" s="346">
        <v>0</v>
      </c>
      <c r="L557" s="347">
        <f>SUM(H557:K557)</f>
        <v>3.0209999999999999</v>
      </c>
      <c r="M557" s="348">
        <f t="shared" si="23"/>
        <v>107909.66866260002</v>
      </c>
    </row>
    <row r="558" spans="2:13" s="118" customFormat="1" ht="10.199999999999999" outlineLevel="3">
      <c r="B558" s="116" t="s">
        <v>839</v>
      </c>
      <c r="C558" s="129" t="s">
        <v>1086</v>
      </c>
      <c r="D558" s="210" t="s">
        <v>1087</v>
      </c>
      <c r="E558" s="129" t="s">
        <v>890</v>
      </c>
      <c r="F558" s="130"/>
      <c r="G558" s="131">
        <v>13</v>
      </c>
      <c r="I558" s="120"/>
      <c r="J558" s="120"/>
      <c r="K558" s="120">
        <v>268.88888888888886</v>
      </c>
      <c r="L558" s="270">
        <f>SUM(H558:K558)*0</f>
        <v>0</v>
      </c>
      <c r="M558" s="134">
        <f t="shared" si="23"/>
        <v>0</v>
      </c>
    </row>
    <row r="559" spans="2:13" s="118" customFormat="1" ht="10.199999999999999" outlineLevel="3">
      <c r="B559" s="116" t="s">
        <v>839</v>
      </c>
      <c r="C559" s="129" t="s">
        <v>1088</v>
      </c>
      <c r="D559" s="210" t="s">
        <v>1089</v>
      </c>
      <c r="E559" s="129" t="s">
        <v>890</v>
      </c>
      <c r="F559" s="130"/>
      <c r="G559" s="131">
        <v>78</v>
      </c>
      <c r="I559" s="120"/>
      <c r="J559" s="120"/>
      <c r="K559" s="120">
        <v>440</v>
      </c>
      <c r="L559" s="270">
        <f>SUM(H559:K559)*0</f>
        <v>0</v>
      </c>
      <c r="M559" s="134">
        <f t="shared" si="23"/>
        <v>0</v>
      </c>
    </row>
    <row r="560" spans="2:13" s="118" customFormat="1" ht="10.199999999999999" outlineLevel="3">
      <c r="B560" s="116" t="s">
        <v>839</v>
      </c>
      <c r="C560" s="129" t="s">
        <v>1090</v>
      </c>
      <c r="D560" s="210" t="s">
        <v>1091</v>
      </c>
      <c r="E560" s="129" t="s">
        <v>890</v>
      </c>
      <c r="F560" s="130"/>
      <c r="G560" s="131">
        <v>13</v>
      </c>
      <c r="I560" s="120"/>
      <c r="J560" s="120"/>
      <c r="K560" s="120">
        <v>289.25925925925924</v>
      </c>
      <c r="L560" s="270">
        <f>SUM(H560:K560)*0</f>
        <v>0</v>
      </c>
      <c r="M560" s="134">
        <f t="shared" si="23"/>
        <v>0</v>
      </c>
    </row>
    <row r="561" spans="1:13" s="168" customFormat="1" ht="10.199999999999999" outlineLevel="3">
      <c r="B561" s="166" t="s">
        <v>839</v>
      </c>
      <c r="C561" s="117" t="s">
        <v>1092</v>
      </c>
      <c r="D561" s="220" t="s">
        <v>854</v>
      </c>
      <c r="E561" s="117" t="s">
        <v>135</v>
      </c>
      <c r="F561" s="142"/>
      <c r="G561" s="167">
        <v>2881.1999999999839</v>
      </c>
      <c r="H561" s="168">
        <v>41</v>
      </c>
      <c r="I561" s="169">
        <v>10</v>
      </c>
      <c r="J561" s="169"/>
      <c r="K561" s="169"/>
      <c r="L561" s="273">
        <f>SUM(H561:K561)*0</f>
        <v>0</v>
      </c>
      <c r="M561" s="143">
        <f t="shared" si="23"/>
        <v>0</v>
      </c>
    </row>
    <row r="562" spans="1:13" s="118" customFormat="1" ht="10.199999999999999" outlineLevel="3">
      <c r="B562" s="116" t="s">
        <v>839</v>
      </c>
      <c r="C562" s="129" t="s">
        <v>1093</v>
      </c>
      <c r="D562" s="210" t="s">
        <v>1094</v>
      </c>
      <c r="E562" s="129" t="s">
        <v>346</v>
      </c>
      <c r="F562" s="130"/>
      <c r="G562" s="131">
        <v>97.2</v>
      </c>
      <c r="I562" s="120"/>
      <c r="J562" s="120"/>
      <c r="K562" s="120">
        <v>110</v>
      </c>
      <c r="L562" s="270">
        <f t="shared" ref="L562:L567" si="25">SUM(H562:K562)</f>
        <v>110</v>
      </c>
      <c r="M562" s="134">
        <f t="shared" si="23"/>
        <v>10692</v>
      </c>
    </row>
    <row r="563" spans="1:13" s="118" customFormat="1" ht="10.199999999999999" outlineLevel="3">
      <c r="B563" s="116" t="s">
        <v>839</v>
      </c>
      <c r="C563" s="129" t="s">
        <v>1095</v>
      </c>
      <c r="D563" s="129" t="s">
        <v>1096</v>
      </c>
      <c r="E563" s="129" t="s">
        <v>346</v>
      </c>
      <c r="F563" s="130"/>
      <c r="G563" s="131">
        <v>75.655999999999992</v>
      </c>
      <c r="I563" s="120"/>
      <c r="J563" s="120"/>
      <c r="K563" s="120">
        <v>120</v>
      </c>
      <c r="L563" s="270">
        <f t="shared" si="25"/>
        <v>120</v>
      </c>
      <c r="M563" s="134">
        <f t="shared" si="23"/>
        <v>9078.7199999999993</v>
      </c>
    </row>
    <row r="564" spans="1:13" s="118" customFormat="1" ht="10.199999999999999" outlineLevel="3">
      <c r="B564" s="116" t="s">
        <v>839</v>
      </c>
      <c r="C564" s="129" t="s">
        <v>1097</v>
      </c>
      <c r="D564" s="181" t="s">
        <v>1098</v>
      </c>
      <c r="E564" s="129" t="s">
        <v>135</v>
      </c>
      <c r="F564" s="130"/>
      <c r="G564" s="131">
        <v>129.63999999999999</v>
      </c>
      <c r="I564" s="120"/>
      <c r="J564" s="120"/>
      <c r="K564" s="120">
        <v>81.333333333333329</v>
      </c>
      <c r="L564" s="270">
        <f t="shared" si="25"/>
        <v>81.333333333333329</v>
      </c>
      <c r="M564" s="134">
        <f t="shared" si="23"/>
        <v>10544.053333333331</v>
      </c>
    </row>
    <row r="565" spans="1:13" s="118" customFormat="1" ht="10.199999999999999" outlineLevel="3">
      <c r="B565" s="116" t="s">
        <v>855</v>
      </c>
      <c r="C565" s="129" t="s">
        <v>1099</v>
      </c>
      <c r="D565" s="181" t="s">
        <v>857</v>
      </c>
      <c r="E565" s="129" t="s">
        <v>135</v>
      </c>
      <c r="F565" s="130"/>
      <c r="G565" s="131">
        <v>2.2999999999999998</v>
      </c>
      <c r="I565" s="120"/>
      <c r="J565" s="120"/>
      <c r="K565" s="120">
        <v>81.333333333333329</v>
      </c>
      <c r="L565" s="270">
        <f t="shared" si="25"/>
        <v>81.333333333333329</v>
      </c>
      <c r="M565" s="134">
        <f t="shared" si="23"/>
        <v>187.06666666666663</v>
      </c>
    </row>
    <row r="566" spans="1:13" s="118" customFormat="1" ht="10.199999999999999" outlineLevel="3">
      <c r="A566" s="118" t="s">
        <v>1100</v>
      </c>
      <c r="B566" s="116" t="s">
        <v>873</v>
      </c>
      <c r="C566" s="129" t="s">
        <v>1101</v>
      </c>
      <c r="D566" s="181" t="s">
        <v>1102</v>
      </c>
      <c r="E566" s="129" t="s">
        <v>135</v>
      </c>
      <c r="F566" s="130"/>
      <c r="G566" s="131">
        <v>8.6199999999999992</v>
      </c>
      <c r="I566" s="120"/>
      <c r="J566" s="120"/>
      <c r="K566" s="120">
        <v>81.333333333333329</v>
      </c>
      <c r="L566" s="270">
        <f t="shared" si="25"/>
        <v>81.333333333333329</v>
      </c>
      <c r="M566" s="134">
        <f t="shared" si="23"/>
        <v>701.09333333333325</v>
      </c>
    </row>
    <row r="567" spans="1:13" s="118" customFormat="1" ht="10.199999999999999" outlineLevel="3">
      <c r="A567" s="118" t="s">
        <v>1100</v>
      </c>
      <c r="B567" s="116" t="s">
        <v>873</v>
      </c>
      <c r="C567" s="129" t="s">
        <v>1103</v>
      </c>
      <c r="D567" s="181" t="s">
        <v>1104</v>
      </c>
      <c r="E567" s="129" t="s">
        <v>550</v>
      </c>
      <c r="F567" s="130"/>
      <c r="G567" s="131">
        <v>14.8</v>
      </c>
      <c r="I567" s="120"/>
      <c r="J567" s="120"/>
      <c r="K567" s="120">
        <v>81.333333333333329</v>
      </c>
      <c r="L567" s="270">
        <f t="shared" si="25"/>
        <v>81.333333333333329</v>
      </c>
      <c r="M567" s="134">
        <f t="shared" si="23"/>
        <v>1203.7333333333333</v>
      </c>
    </row>
    <row r="568" spans="1:13" s="118" customFormat="1" ht="10.199999999999999" outlineLevel="3">
      <c r="B568" s="116" t="s">
        <v>839</v>
      </c>
      <c r="C568" s="129"/>
      <c r="D568" s="274" t="s">
        <v>1105</v>
      </c>
      <c r="E568" s="244" t="s">
        <v>550</v>
      </c>
      <c r="F568" s="271"/>
      <c r="G568" s="254">
        <v>2500</v>
      </c>
      <c r="H568" s="255"/>
      <c r="I568" s="256"/>
      <c r="J568" s="256"/>
      <c r="K568" s="256"/>
      <c r="L568" s="272">
        <v>18</v>
      </c>
      <c r="M568" s="258">
        <f t="shared" si="23"/>
        <v>45000</v>
      </c>
    </row>
    <row r="569" spans="1:13" s="118" customFormat="1" ht="10.199999999999999" outlineLevel="2">
      <c r="B569" s="116"/>
      <c r="C569" s="126" t="s">
        <v>1106</v>
      </c>
      <c r="D569" s="126" t="s">
        <v>869</v>
      </c>
      <c r="F569" s="161"/>
      <c r="G569" s="116"/>
      <c r="I569" s="120"/>
      <c r="J569" s="120"/>
      <c r="K569" s="120"/>
      <c r="L569" s="133"/>
      <c r="M569" s="264">
        <f>+M570+M588+M599+M608</f>
        <v>809879.81607991504</v>
      </c>
    </row>
    <row r="570" spans="1:13" s="118" customFormat="1" ht="10.199999999999999" outlineLevel="3">
      <c r="B570" s="116"/>
      <c r="C570" s="158" t="s">
        <v>1107</v>
      </c>
      <c r="D570" s="158" t="s">
        <v>871</v>
      </c>
      <c r="F570" s="266"/>
      <c r="G570" s="116"/>
      <c r="I570" s="120"/>
      <c r="J570" s="120"/>
      <c r="K570" s="120"/>
      <c r="L570" s="133"/>
      <c r="M570" s="267">
        <f>SUM(M571:M587)</f>
        <v>471813.96408499987</v>
      </c>
    </row>
    <row r="571" spans="1:13" s="118" customFormat="1" ht="10.199999999999999" outlineLevel="4">
      <c r="A571" s="118" t="s">
        <v>1108</v>
      </c>
      <c r="B571" s="116" t="s">
        <v>873</v>
      </c>
      <c r="C571" s="129" t="s">
        <v>1109</v>
      </c>
      <c r="D571" s="181" t="s">
        <v>1110</v>
      </c>
      <c r="E571" s="129" t="s">
        <v>346</v>
      </c>
      <c r="F571" s="130"/>
      <c r="G571" s="131">
        <v>1197.4809999999993</v>
      </c>
      <c r="I571" s="120"/>
      <c r="J571" s="120"/>
      <c r="K571" s="120">
        <v>45</v>
      </c>
      <c r="L571" s="270">
        <f t="shared" ref="L571:L579" si="26">SUM(H571:K571)</f>
        <v>45</v>
      </c>
      <c r="M571" s="134">
        <f t="shared" ref="M571:M587" si="27">+L571*G571</f>
        <v>53886.644999999968</v>
      </c>
    </row>
    <row r="572" spans="1:13" s="168" customFormat="1" ht="10.199999999999999" outlineLevel="4">
      <c r="A572" s="168" t="s">
        <v>1108</v>
      </c>
      <c r="B572" s="166" t="s">
        <v>873</v>
      </c>
      <c r="C572" s="117" t="s">
        <v>1111</v>
      </c>
      <c r="D572" s="350" t="s">
        <v>1112</v>
      </c>
      <c r="E572" s="117" t="s">
        <v>346</v>
      </c>
      <c r="F572" s="142"/>
      <c r="G572" s="167">
        <v>1360.07</v>
      </c>
      <c r="I572" s="169"/>
      <c r="J572" s="169"/>
      <c r="K572" s="169">
        <v>45</v>
      </c>
      <c r="L572" s="273">
        <f t="shared" si="26"/>
        <v>45</v>
      </c>
      <c r="M572" s="143">
        <f>+L572*G572*0</f>
        <v>0</v>
      </c>
    </row>
    <row r="573" spans="1:13" s="168" customFormat="1" ht="10.199999999999999" outlineLevel="4">
      <c r="A573" s="168" t="s">
        <v>1108</v>
      </c>
      <c r="B573" s="166" t="s">
        <v>873</v>
      </c>
      <c r="C573" s="117" t="s">
        <v>1113</v>
      </c>
      <c r="D573" s="350" t="s">
        <v>1114</v>
      </c>
      <c r="E573" s="117" t="s">
        <v>346</v>
      </c>
      <c r="F573" s="142"/>
      <c r="G573" s="167">
        <v>1211.3400000000001</v>
      </c>
      <c r="I573" s="169"/>
      <c r="J573" s="169"/>
      <c r="K573" s="169">
        <v>45</v>
      </c>
      <c r="L573" s="273">
        <f t="shared" si="26"/>
        <v>45</v>
      </c>
      <c r="M573" s="143">
        <f>+L573*G573*0</f>
        <v>0</v>
      </c>
    </row>
    <row r="574" spans="1:13" s="118" customFormat="1" ht="10.199999999999999" outlineLevel="4">
      <c r="A574" s="118" t="s">
        <v>1108</v>
      </c>
      <c r="B574" s="116" t="s">
        <v>873</v>
      </c>
      <c r="C574" s="129" t="s">
        <v>1115</v>
      </c>
      <c r="D574" s="218" t="s">
        <v>1116</v>
      </c>
      <c r="E574" s="129" t="s">
        <v>346</v>
      </c>
      <c r="F574" s="130"/>
      <c r="G574" s="131">
        <v>758.98500000000013</v>
      </c>
      <c r="I574" s="120"/>
      <c r="J574" s="120"/>
      <c r="K574" s="120">
        <v>45</v>
      </c>
      <c r="L574" s="270">
        <f t="shared" si="26"/>
        <v>45</v>
      </c>
      <c r="M574" s="134">
        <f t="shared" si="27"/>
        <v>34154.325000000004</v>
      </c>
    </row>
    <row r="575" spans="1:13" s="118" customFormat="1" ht="10.199999999999999" outlineLevel="4">
      <c r="A575" s="118" t="s">
        <v>1100</v>
      </c>
      <c r="B575" s="116" t="s">
        <v>873</v>
      </c>
      <c r="C575" s="129" t="s">
        <v>1117</v>
      </c>
      <c r="D575" s="129" t="s">
        <v>1118</v>
      </c>
      <c r="E575" s="129" t="s">
        <v>346</v>
      </c>
      <c r="F575" s="130"/>
      <c r="G575" s="131">
        <v>4336</v>
      </c>
      <c r="I575" s="120"/>
      <c r="J575" s="120"/>
      <c r="K575" s="120">
        <v>38.369999999999997</v>
      </c>
      <c r="L575" s="270">
        <f t="shared" si="26"/>
        <v>38.369999999999997</v>
      </c>
      <c r="M575" s="134">
        <f t="shared" si="27"/>
        <v>166372.31999999998</v>
      </c>
    </row>
    <row r="576" spans="1:13" s="118" customFormat="1" ht="10.199999999999999" outlineLevel="4">
      <c r="A576" s="118" t="s">
        <v>1100</v>
      </c>
      <c r="B576" s="116" t="s">
        <v>873</v>
      </c>
      <c r="C576" s="129" t="s">
        <v>1119</v>
      </c>
      <c r="D576" s="129" t="s">
        <v>1120</v>
      </c>
      <c r="E576" s="129" t="s">
        <v>346</v>
      </c>
      <c r="F576" s="130"/>
      <c r="G576" s="131">
        <v>110.32950000000002</v>
      </c>
      <c r="I576" s="120"/>
      <c r="J576" s="120"/>
      <c r="K576" s="120">
        <v>38.369999999999997</v>
      </c>
      <c r="L576" s="270">
        <f t="shared" si="26"/>
        <v>38.369999999999997</v>
      </c>
      <c r="M576" s="134">
        <f t="shared" si="27"/>
        <v>4233.3429150000011</v>
      </c>
    </row>
    <row r="577" spans="1:13" s="118" customFormat="1" ht="10.199999999999999" outlineLevel="4">
      <c r="A577" s="118" t="s">
        <v>1108</v>
      </c>
      <c r="B577" s="116" t="s">
        <v>873</v>
      </c>
      <c r="C577" s="129" t="s">
        <v>1121</v>
      </c>
      <c r="D577" s="218" t="s">
        <v>1122</v>
      </c>
      <c r="E577" s="129" t="s">
        <v>346</v>
      </c>
      <c r="F577" s="130"/>
      <c r="G577" s="131">
        <v>139.441</v>
      </c>
      <c r="I577" s="120"/>
      <c r="J577" s="120"/>
      <c r="K577" s="120">
        <v>38.369999999999997</v>
      </c>
      <c r="L577" s="270">
        <f t="shared" si="26"/>
        <v>38.369999999999997</v>
      </c>
      <c r="M577" s="134">
        <f t="shared" si="27"/>
        <v>5350.3511699999999</v>
      </c>
    </row>
    <row r="578" spans="1:13" s="118" customFormat="1" ht="10.199999999999999" outlineLevel="4">
      <c r="A578" s="118" t="s">
        <v>1100</v>
      </c>
      <c r="B578" s="116" t="s">
        <v>873</v>
      </c>
      <c r="C578" s="129" t="s">
        <v>1123</v>
      </c>
      <c r="D578" s="129" t="s">
        <v>1124</v>
      </c>
      <c r="E578" s="129" t="s">
        <v>346</v>
      </c>
      <c r="F578" s="130"/>
      <c r="G578" s="131">
        <v>2618</v>
      </c>
      <c r="I578" s="120"/>
      <c r="J578" s="120"/>
      <c r="K578" s="120">
        <v>38.369999999999997</v>
      </c>
      <c r="L578" s="270">
        <f t="shared" si="26"/>
        <v>38.369999999999997</v>
      </c>
      <c r="M578" s="134">
        <f t="shared" si="27"/>
        <v>100452.65999999999</v>
      </c>
    </row>
    <row r="579" spans="1:13" s="118" customFormat="1" ht="10.199999999999999" outlineLevel="4">
      <c r="A579" s="118" t="s">
        <v>1100</v>
      </c>
      <c r="B579" s="116" t="s">
        <v>873</v>
      </c>
      <c r="C579" s="129" t="s">
        <v>1125</v>
      </c>
      <c r="D579" s="129" t="s">
        <v>1126</v>
      </c>
      <c r="E579" s="129" t="s">
        <v>135</v>
      </c>
      <c r="F579" s="130"/>
      <c r="G579" s="131">
        <v>8997.2800000000007</v>
      </c>
      <c r="H579" s="255"/>
      <c r="I579" s="256"/>
      <c r="J579" s="256"/>
      <c r="K579" s="256">
        <v>3.5</v>
      </c>
      <c r="L579" s="270">
        <f t="shared" si="26"/>
        <v>3.5</v>
      </c>
      <c r="M579" s="134">
        <f t="shared" si="27"/>
        <v>31490.480000000003</v>
      </c>
    </row>
    <row r="580" spans="1:13" s="168" customFormat="1" ht="10.199999999999999" outlineLevel="4">
      <c r="B580" s="166" t="s">
        <v>873</v>
      </c>
      <c r="C580" s="117" t="s">
        <v>1127</v>
      </c>
      <c r="D580" s="117" t="s">
        <v>1128</v>
      </c>
      <c r="E580" s="117" t="s">
        <v>346</v>
      </c>
      <c r="F580" s="142"/>
      <c r="G580" s="167">
        <v>125.36399999999998</v>
      </c>
      <c r="I580" s="169"/>
      <c r="J580" s="169"/>
      <c r="K580" s="169">
        <v>38.369999999999997</v>
      </c>
      <c r="L580" s="273">
        <f>SUM(H580:K580)*0</f>
        <v>0</v>
      </c>
      <c r="M580" s="143">
        <f t="shared" si="27"/>
        <v>0</v>
      </c>
    </row>
    <row r="581" spans="1:13" s="168" customFormat="1" ht="10.199999999999999" outlineLevel="4">
      <c r="B581" s="166" t="s">
        <v>873</v>
      </c>
      <c r="C581" s="117" t="s">
        <v>1129</v>
      </c>
      <c r="D581" s="117" t="s">
        <v>1130</v>
      </c>
      <c r="E581" s="117" t="s">
        <v>346</v>
      </c>
      <c r="F581" s="142"/>
      <c r="G581" s="167">
        <v>14.359999999999996</v>
      </c>
      <c r="I581" s="169"/>
      <c r="J581" s="169"/>
      <c r="K581" s="169">
        <v>38.369999999999997</v>
      </c>
      <c r="L581" s="273">
        <f>SUM(H581:K581)*0</f>
        <v>0</v>
      </c>
      <c r="M581" s="143">
        <f t="shared" si="27"/>
        <v>0</v>
      </c>
    </row>
    <row r="582" spans="1:13" s="118" customFormat="1" ht="10.199999999999999" outlineLevel="4">
      <c r="A582" s="118" t="s">
        <v>1131</v>
      </c>
      <c r="B582" s="116" t="s">
        <v>873</v>
      </c>
      <c r="C582" s="129" t="s">
        <v>1132</v>
      </c>
      <c r="D582" s="218" t="s">
        <v>1133</v>
      </c>
      <c r="E582" s="129" t="s">
        <v>1025</v>
      </c>
      <c r="F582" s="130"/>
      <c r="G582" s="131">
        <v>109.15119999999999</v>
      </c>
      <c r="I582" s="120"/>
      <c r="J582" s="120"/>
      <c r="K582" s="120">
        <v>200</v>
      </c>
      <c r="L582" s="270">
        <f t="shared" ref="L582:L587" si="28">SUM(H582:K582)</f>
        <v>200</v>
      </c>
      <c r="M582" s="134">
        <f t="shared" si="27"/>
        <v>21830.239999999998</v>
      </c>
    </row>
    <row r="583" spans="1:13" s="118" customFormat="1" ht="10.199999999999999" outlineLevel="4">
      <c r="A583" s="118" t="s">
        <v>1131</v>
      </c>
      <c r="B583" s="116" t="s">
        <v>873</v>
      </c>
      <c r="C583" s="129" t="s">
        <v>1134</v>
      </c>
      <c r="D583" s="218" t="s">
        <v>1135</v>
      </c>
      <c r="E583" s="129" t="s">
        <v>1025</v>
      </c>
      <c r="F583" s="130"/>
      <c r="G583" s="131">
        <v>7.3400000000000007</v>
      </c>
      <c r="I583" s="120"/>
      <c r="J583" s="120"/>
      <c r="K583" s="120">
        <v>200</v>
      </c>
      <c r="L583" s="270">
        <f t="shared" si="28"/>
        <v>200</v>
      </c>
      <c r="M583" s="134">
        <f t="shared" si="27"/>
        <v>1468.0000000000002</v>
      </c>
    </row>
    <row r="584" spans="1:13" s="118" customFormat="1" ht="10.199999999999999" outlineLevel="4">
      <c r="A584" s="118" t="s">
        <v>1131</v>
      </c>
      <c r="B584" s="116" t="s">
        <v>873</v>
      </c>
      <c r="C584" s="129" t="s">
        <v>1136</v>
      </c>
      <c r="D584" s="218" t="s">
        <v>1137</v>
      </c>
      <c r="E584" s="129" t="s">
        <v>1025</v>
      </c>
      <c r="F584" s="130"/>
      <c r="G584" s="131">
        <v>6.9840000000000009</v>
      </c>
      <c r="I584" s="120"/>
      <c r="J584" s="120"/>
      <c r="K584" s="120">
        <v>200</v>
      </c>
      <c r="L584" s="270">
        <f t="shared" si="28"/>
        <v>200</v>
      </c>
      <c r="M584" s="134">
        <f t="shared" si="27"/>
        <v>1396.8000000000002</v>
      </c>
    </row>
    <row r="585" spans="1:13" s="118" customFormat="1" ht="10.199999999999999" outlineLevel="4">
      <c r="A585" s="118" t="s">
        <v>1131</v>
      </c>
      <c r="B585" s="116" t="s">
        <v>873</v>
      </c>
      <c r="C585" s="129" t="s">
        <v>1138</v>
      </c>
      <c r="D585" s="218" t="s">
        <v>1139</v>
      </c>
      <c r="E585" s="129" t="s">
        <v>1025</v>
      </c>
      <c r="F585" s="130"/>
      <c r="G585" s="131">
        <v>10.17</v>
      </c>
      <c r="I585" s="120"/>
      <c r="J585" s="120"/>
      <c r="K585" s="120">
        <v>200</v>
      </c>
      <c r="L585" s="270">
        <f t="shared" si="28"/>
        <v>200</v>
      </c>
      <c r="M585" s="134">
        <f t="shared" si="27"/>
        <v>2034</v>
      </c>
    </row>
    <row r="586" spans="1:13" s="118" customFormat="1" ht="10.199999999999999" outlineLevel="4">
      <c r="A586" s="118" t="s">
        <v>1131</v>
      </c>
      <c r="B586" s="116" t="s">
        <v>873</v>
      </c>
      <c r="C586" s="129" t="s">
        <v>1140</v>
      </c>
      <c r="D586" s="218" t="s">
        <v>1141</v>
      </c>
      <c r="E586" s="129" t="s">
        <v>1025</v>
      </c>
      <c r="F586" s="130"/>
      <c r="G586" s="131">
        <v>52.943999999999996</v>
      </c>
      <c r="I586" s="120"/>
      <c r="J586" s="120"/>
      <c r="K586" s="120">
        <v>200</v>
      </c>
      <c r="L586" s="270">
        <f t="shared" si="28"/>
        <v>200</v>
      </c>
      <c r="M586" s="134">
        <f t="shared" si="27"/>
        <v>10588.8</v>
      </c>
    </row>
    <row r="587" spans="1:13" s="118" customFormat="1" ht="10.199999999999999" outlineLevel="4">
      <c r="A587" s="118" t="s">
        <v>1131</v>
      </c>
      <c r="B587" s="116" t="s">
        <v>873</v>
      </c>
      <c r="C587" s="129" t="s">
        <v>1142</v>
      </c>
      <c r="D587" s="218" t="s">
        <v>1143</v>
      </c>
      <c r="E587" s="129" t="s">
        <v>346</v>
      </c>
      <c r="F587" s="130"/>
      <c r="G587" s="131">
        <v>192.78</v>
      </c>
      <c r="I587" s="120"/>
      <c r="J587" s="120"/>
      <c r="K587" s="120">
        <v>200</v>
      </c>
      <c r="L587" s="270">
        <f t="shared" si="28"/>
        <v>200</v>
      </c>
      <c r="M587" s="134">
        <f t="shared" si="27"/>
        <v>38556</v>
      </c>
    </row>
    <row r="588" spans="1:13" s="118" customFormat="1" ht="10.199999999999999" outlineLevel="3">
      <c r="B588" s="116"/>
      <c r="C588" s="158" t="s">
        <v>1144</v>
      </c>
      <c r="D588" s="158" t="s">
        <v>883</v>
      </c>
      <c r="F588" s="266"/>
      <c r="G588" s="116"/>
      <c r="I588" s="120"/>
      <c r="J588" s="120"/>
      <c r="K588" s="120"/>
      <c r="L588" s="133"/>
      <c r="M588" s="267">
        <f>SUM(M589:M598)</f>
        <v>103404.71099491525</v>
      </c>
    </row>
    <row r="589" spans="1:13" s="118" customFormat="1" ht="10.199999999999999" outlineLevel="4">
      <c r="B589" s="116" t="s">
        <v>73</v>
      </c>
      <c r="C589" s="129" t="s">
        <v>1145</v>
      </c>
      <c r="D589" s="129" t="s">
        <v>1146</v>
      </c>
      <c r="E589" s="129" t="s">
        <v>135</v>
      </c>
      <c r="F589" s="130"/>
      <c r="G589" s="131">
        <v>375</v>
      </c>
      <c r="I589" s="120"/>
      <c r="J589" s="120"/>
      <c r="K589" s="120">
        <v>40</v>
      </c>
      <c r="L589" s="270">
        <f>SUM(H589:K589)</f>
        <v>40</v>
      </c>
      <c r="M589" s="134">
        <f t="shared" ref="M589:M598" si="29">+L589*G589</f>
        <v>15000</v>
      </c>
    </row>
    <row r="590" spans="1:13" s="118" customFormat="1" ht="10.199999999999999" outlineLevel="4">
      <c r="B590" s="116" t="s">
        <v>73</v>
      </c>
      <c r="C590" s="129" t="s">
        <v>1147</v>
      </c>
      <c r="D590" s="129" t="s">
        <v>1148</v>
      </c>
      <c r="E590" s="129" t="s">
        <v>251</v>
      </c>
      <c r="F590" s="130"/>
      <c r="G590" s="131">
        <v>125</v>
      </c>
      <c r="I590" s="120"/>
      <c r="J590" s="120"/>
      <c r="K590" s="120">
        <v>30</v>
      </c>
      <c r="L590" s="270">
        <f>SUM(H590:K590)</f>
        <v>30</v>
      </c>
      <c r="M590" s="134">
        <f t="shared" si="29"/>
        <v>3750</v>
      </c>
    </row>
    <row r="591" spans="1:13" s="118" customFormat="1" ht="10.199999999999999" outlineLevel="4">
      <c r="B591" s="116" t="s">
        <v>73</v>
      </c>
      <c r="C591" s="129" t="s">
        <v>1149</v>
      </c>
      <c r="D591" s="129" t="s">
        <v>1150</v>
      </c>
      <c r="E591" s="129" t="s">
        <v>251</v>
      </c>
      <c r="F591" s="130"/>
      <c r="G591" s="131">
        <v>125</v>
      </c>
      <c r="I591" s="120"/>
      <c r="J591" s="120"/>
      <c r="K591" s="120">
        <v>30</v>
      </c>
      <c r="L591" s="270">
        <f>SUM(H591:K591)</f>
        <v>30</v>
      </c>
      <c r="M591" s="134">
        <f t="shared" si="29"/>
        <v>3750</v>
      </c>
    </row>
    <row r="592" spans="1:13" s="118" customFormat="1" ht="10.199999999999999" outlineLevel="4">
      <c r="B592" s="116" t="s">
        <v>73</v>
      </c>
      <c r="C592" s="129" t="s">
        <v>1151</v>
      </c>
      <c r="D592" s="129" t="s">
        <v>1152</v>
      </c>
      <c r="E592" s="129" t="s">
        <v>346</v>
      </c>
      <c r="F592" s="130"/>
      <c r="G592" s="131">
        <v>276</v>
      </c>
      <c r="I592" s="120"/>
      <c r="J592" s="120"/>
      <c r="K592" s="120">
        <v>36.97</v>
      </c>
      <c r="L592" s="270">
        <f>SUM(H592:K592)*0</f>
        <v>0</v>
      </c>
      <c r="M592" s="134">
        <f t="shared" si="29"/>
        <v>0</v>
      </c>
    </row>
    <row r="593" spans="1:13" s="118" customFormat="1" ht="10.199999999999999" outlineLevel="4">
      <c r="B593" s="116" t="s">
        <v>73</v>
      </c>
      <c r="C593" s="129" t="s">
        <v>1153</v>
      </c>
      <c r="D593" s="129" t="s">
        <v>1154</v>
      </c>
      <c r="E593" s="129" t="s">
        <v>346</v>
      </c>
      <c r="F593" s="130"/>
      <c r="G593" s="131">
        <v>46.08</v>
      </c>
      <c r="I593" s="120"/>
      <c r="J593" s="120"/>
      <c r="K593" s="120">
        <v>36.97</v>
      </c>
      <c r="L593" s="270">
        <f>SUM(H593:K593)*0</f>
        <v>0</v>
      </c>
      <c r="M593" s="134">
        <f t="shared" si="29"/>
        <v>0</v>
      </c>
    </row>
    <row r="594" spans="1:13" s="118" customFormat="1" ht="10.199999999999999" outlineLevel="4">
      <c r="B594" s="116" t="s">
        <v>73</v>
      </c>
      <c r="C594" s="129" t="s">
        <v>1155</v>
      </c>
      <c r="D594" s="210" t="s">
        <v>1156</v>
      </c>
      <c r="E594" s="129" t="s">
        <v>346</v>
      </c>
      <c r="F594" s="130"/>
      <c r="G594" s="131">
        <v>30.689999999999998</v>
      </c>
      <c r="I594" s="120"/>
      <c r="J594" s="120"/>
      <c r="K594" s="120">
        <v>36.97</v>
      </c>
      <c r="L594" s="270">
        <f>SUM(H594:K594)</f>
        <v>36.97</v>
      </c>
      <c r="M594" s="134">
        <f t="shared" si="29"/>
        <v>1134.6092999999998</v>
      </c>
    </row>
    <row r="595" spans="1:13" s="118" customFormat="1" ht="10.199999999999999" outlineLevel="4">
      <c r="B595" s="116" t="s">
        <v>73</v>
      </c>
      <c r="C595" s="129" t="s">
        <v>1157</v>
      </c>
      <c r="D595" s="218" t="s">
        <v>889</v>
      </c>
      <c r="E595" s="129" t="s">
        <v>890</v>
      </c>
      <c r="F595" s="130"/>
      <c r="G595" s="131">
        <v>247</v>
      </c>
      <c r="H595" s="118">
        <v>7</v>
      </c>
      <c r="I595" s="120">
        <v>17.372881355932204</v>
      </c>
      <c r="J595" s="120"/>
      <c r="K595" s="120"/>
      <c r="L595" s="270">
        <f>SUM(H595:K595)</f>
        <v>24.372881355932204</v>
      </c>
      <c r="M595" s="134">
        <f t="shared" si="29"/>
        <v>6020.1016949152545</v>
      </c>
    </row>
    <row r="596" spans="1:13" s="118" customFormat="1" ht="10.199999999999999" outlineLevel="4">
      <c r="B596" s="116" t="s">
        <v>73</v>
      </c>
      <c r="C596" s="129" t="s">
        <v>1158</v>
      </c>
      <c r="D596" s="218" t="s">
        <v>1159</v>
      </c>
      <c r="E596" s="129" t="s">
        <v>890</v>
      </c>
      <c r="F596" s="130"/>
      <c r="G596" s="131">
        <v>250</v>
      </c>
      <c r="I596" s="120"/>
      <c r="J596" s="120"/>
      <c r="K596" s="120">
        <v>100</v>
      </c>
      <c r="L596" s="270">
        <f>SUM(H596:K596)</f>
        <v>100</v>
      </c>
      <c r="M596" s="134">
        <f t="shared" si="29"/>
        <v>25000</v>
      </c>
    </row>
    <row r="597" spans="1:13" s="118" customFormat="1" ht="10.199999999999999" outlineLevel="4">
      <c r="A597" s="118" t="s">
        <v>1160</v>
      </c>
      <c r="B597" s="116" t="s">
        <v>873</v>
      </c>
      <c r="C597" s="129" t="s">
        <v>1161</v>
      </c>
      <c r="D597" s="129" t="s">
        <v>1162</v>
      </c>
      <c r="E597" s="129" t="s">
        <v>251</v>
      </c>
      <c r="F597" s="130"/>
      <c r="G597" s="131">
        <v>1125</v>
      </c>
      <c r="I597" s="120"/>
      <c r="J597" s="120"/>
      <c r="K597" s="120">
        <v>30</v>
      </c>
      <c r="L597" s="270">
        <f>SUM(H597:K597)</f>
        <v>30</v>
      </c>
      <c r="M597" s="134">
        <f t="shared" si="29"/>
        <v>33750</v>
      </c>
    </row>
    <row r="598" spans="1:13" s="118" customFormat="1" ht="10.199999999999999" outlineLevel="4">
      <c r="A598" s="118" t="s">
        <v>1160</v>
      </c>
      <c r="B598" s="116" t="s">
        <v>873</v>
      </c>
      <c r="C598" s="129" t="s">
        <v>1163</v>
      </c>
      <c r="D598" s="218" t="s">
        <v>1164</v>
      </c>
      <c r="E598" s="129" t="s">
        <v>251</v>
      </c>
      <c r="F598" s="130"/>
      <c r="G598" s="131">
        <v>1250</v>
      </c>
      <c r="I598" s="120"/>
      <c r="J598" s="120"/>
      <c r="K598" s="120">
        <v>12</v>
      </c>
      <c r="L598" s="270">
        <f>SUM(H598:K598)</f>
        <v>12</v>
      </c>
      <c r="M598" s="134">
        <f t="shared" si="29"/>
        <v>15000</v>
      </c>
    </row>
    <row r="599" spans="1:13" s="118" customFormat="1" ht="10.199999999999999" outlineLevel="3">
      <c r="B599" s="116"/>
      <c r="C599" s="158" t="s">
        <v>1165</v>
      </c>
      <c r="D599" s="158" t="s">
        <v>896</v>
      </c>
      <c r="F599" s="266"/>
      <c r="G599" s="116"/>
      <c r="I599" s="120"/>
      <c r="J599" s="120"/>
      <c r="K599" s="120"/>
      <c r="L599" s="133"/>
      <c r="M599" s="267">
        <f>SUM(M600:M607)</f>
        <v>100031.78600000002</v>
      </c>
    </row>
    <row r="600" spans="1:13" s="168" customFormat="1" ht="10.199999999999999" outlineLevel="4">
      <c r="B600" s="351" t="s">
        <v>839</v>
      </c>
      <c r="C600" s="117" t="s">
        <v>1166</v>
      </c>
      <c r="D600" s="117" t="s">
        <v>1167</v>
      </c>
      <c r="E600" s="117" t="s">
        <v>135</v>
      </c>
      <c r="F600" s="142"/>
      <c r="G600" s="167">
        <v>3965.5099999999984</v>
      </c>
      <c r="I600" s="169"/>
      <c r="J600" s="169"/>
      <c r="K600" s="169">
        <v>15</v>
      </c>
      <c r="L600" s="273">
        <f>SUM(H600:K600)*0</f>
        <v>0</v>
      </c>
      <c r="M600" s="143">
        <f t="shared" ref="M600:M607" si="30">+L600*G600</f>
        <v>0</v>
      </c>
    </row>
    <row r="601" spans="1:13" s="118" customFormat="1" ht="10.199999999999999" outlineLevel="4">
      <c r="A601" s="118" t="s">
        <v>1168</v>
      </c>
      <c r="B601" s="116" t="s">
        <v>873</v>
      </c>
      <c r="C601" s="129" t="s">
        <v>1169</v>
      </c>
      <c r="D601" s="218" t="s">
        <v>1170</v>
      </c>
      <c r="E601" s="129" t="s">
        <v>346</v>
      </c>
      <c r="F601" s="130"/>
      <c r="G601" s="167">
        <v>432.28000000000009</v>
      </c>
      <c r="I601" s="120"/>
      <c r="J601" s="120"/>
      <c r="K601" s="120">
        <v>4.5</v>
      </c>
      <c r="L601" s="270">
        <f>SUM(H601:K601)</f>
        <v>4.5</v>
      </c>
      <c r="M601" s="134">
        <f t="shared" si="30"/>
        <v>1945.2600000000004</v>
      </c>
    </row>
    <row r="602" spans="1:13" s="118" customFormat="1" ht="10.199999999999999" outlineLevel="4">
      <c r="A602" s="118" t="s">
        <v>1168</v>
      </c>
      <c r="B602" s="116" t="s">
        <v>873</v>
      </c>
      <c r="C602" s="129" t="s">
        <v>1171</v>
      </c>
      <c r="D602" s="129" t="s">
        <v>1172</v>
      </c>
      <c r="E602" s="129" t="s">
        <v>346</v>
      </c>
      <c r="F602" s="130"/>
      <c r="G602" s="167">
        <v>8631.82</v>
      </c>
      <c r="I602" s="120"/>
      <c r="J602" s="120"/>
      <c r="K602" s="120">
        <v>4.5</v>
      </c>
      <c r="L602" s="270">
        <f>SUM(H602:K602)</f>
        <v>4.5</v>
      </c>
      <c r="M602" s="134">
        <f t="shared" si="30"/>
        <v>38843.19</v>
      </c>
    </row>
    <row r="603" spans="1:13" s="118" customFormat="1" ht="10.199999999999999" outlineLevel="4">
      <c r="A603" s="118" t="s">
        <v>1168</v>
      </c>
      <c r="B603" s="116" t="s">
        <v>873</v>
      </c>
      <c r="C603" s="129" t="s">
        <v>1173</v>
      </c>
      <c r="D603" s="218" t="s">
        <v>1174</v>
      </c>
      <c r="E603" s="129" t="s">
        <v>346</v>
      </c>
      <c r="F603" s="130"/>
      <c r="G603" s="131">
        <v>190.001</v>
      </c>
      <c r="I603" s="120"/>
      <c r="J603" s="120"/>
      <c r="K603" s="120">
        <v>15</v>
      </c>
      <c r="L603" s="270">
        <f>SUM(H603:K603)</f>
        <v>15</v>
      </c>
      <c r="M603" s="134">
        <f t="shared" si="30"/>
        <v>2850.0149999999999</v>
      </c>
    </row>
    <row r="604" spans="1:13" s="118" customFormat="1" ht="10.199999999999999" outlineLevel="4">
      <c r="A604" s="118" t="s">
        <v>1168</v>
      </c>
      <c r="B604" s="116" t="s">
        <v>873</v>
      </c>
      <c r="C604" s="129" t="s">
        <v>1175</v>
      </c>
      <c r="D604" s="218" t="s">
        <v>1176</v>
      </c>
      <c r="E604" s="129" t="s">
        <v>346</v>
      </c>
      <c r="F604" s="130"/>
      <c r="G604" s="131">
        <v>48.794999999999995</v>
      </c>
      <c r="I604" s="120"/>
      <c r="J604" s="120"/>
      <c r="K604" s="120">
        <v>15</v>
      </c>
      <c r="L604" s="270">
        <f>SUM(H604:K604)</f>
        <v>15</v>
      </c>
      <c r="M604" s="134">
        <f t="shared" si="30"/>
        <v>731.92499999999995</v>
      </c>
    </row>
    <row r="605" spans="1:13" s="118" customFormat="1" ht="10.199999999999999" outlineLevel="4">
      <c r="A605" s="118" t="s">
        <v>1177</v>
      </c>
      <c r="B605" s="116" t="s">
        <v>873</v>
      </c>
      <c r="C605" s="129" t="s">
        <v>1178</v>
      </c>
      <c r="D605" s="129" t="s">
        <v>1179</v>
      </c>
      <c r="E605" s="129" t="s">
        <v>346</v>
      </c>
      <c r="F605" s="130"/>
      <c r="G605" s="131">
        <v>1325.0930000000003</v>
      </c>
      <c r="I605" s="120"/>
      <c r="J605" s="120"/>
      <c r="K605" s="120">
        <v>37</v>
      </c>
      <c r="L605" s="270">
        <f>SUM(H605:K605)</f>
        <v>37</v>
      </c>
      <c r="M605" s="134">
        <f t="shared" si="30"/>
        <v>49028.441000000013</v>
      </c>
    </row>
    <row r="606" spans="1:13" s="168" customFormat="1" ht="10.199999999999999" outlineLevel="4">
      <c r="B606" s="351" t="s">
        <v>839</v>
      </c>
      <c r="C606" s="117" t="s">
        <v>1180</v>
      </c>
      <c r="D606" s="350" t="s">
        <v>1181</v>
      </c>
      <c r="E606" s="117" t="s">
        <v>346</v>
      </c>
      <c r="F606" s="142"/>
      <c r="G606" s="167">
        <v>20410.553200000002</v>
      </c>
      <c r="I606" s="169"/>
      <c r="J606" s="169"/>
      <c r="K606" s="169">
        <v>15</v>
      </c>
      <c r="L606" s="273">
        <f>SUM(H606:K606)*0</f>
        <v>0</v>
      </c>
      <c r="M606" s="143">
        <f t="shared" si="30"/>
        <v>0</v>
      </c>
    </row>
    <row r="607" spans="1:13" s="118" customFormat="1" ht="10.199999999999999" outlineLevel="4">
      <c r="A607" s="118" t="s">
        <v>1182</v>
      </c>
      <c r="B607" s="116" t="s">
        <v>873</v>
      </c>
      <c r="C607" s="129" t="s">
        <v>1183</v>
      </c>
      <c r="D607" s="129" t="s">
        <v>1184</v>
      </c>
      <c r="E607" s="129" t="s">
        <v>346</v>
      </c>
      <c r="F607" s="130"/>
      <c r="G607" s="131">
        <v>442.19699999999995</v>
      </c>
      <c r="I607" s="120"/>
      <c r="J607" s="120"/>
      <c r="K607" s="120">
        <v>15</v>
      </c>
      <c r="L607" s="270">
        <f>SUM(H607:K607)</f>
        <v>15</v>
      </c>
      <c r="M607" s="134">
        <f t="shared" si="30"/>
        <v>6632.954999999999</v>
      </c>
    </row>
    <row r="608" spans="1:13" s="118" customFormat="1" ht="10.199999999999999" outlineLevel="3">
      <c r="B608" s="116"/>
      <c r="C608" s="158" t="s">
        <v>1185</v>
      </c>
      <c r="D608" s="158" t="s">
        <v>1186</v>
      </c>
      <c r="F608" s="266"/>
      <c r="G608" s="116"/>
      <c r="I608" s="120"/>
      <c r="J608" s="120"/>
      <c r="K608" s="120"/>
      <c r="L608" s="133"/>
      <c r="M608" s="267">
        <f>SUM(M609:M617)</f>
        <v>134629.35499999998</v>
      </c>
    </row>
    <row r="609" spans="2:13" s="118" customFormat="1" ht="10.199999999999999" outlineLevel="4">
      <c r="B609" s="116" t="s">
        <v>834</v>
      </c>
      <c r="C609" s="129" t="s">
        <v>1187</v>
      </c>
      <c r="D609" s="129" t="s">
        <v>1188</v>
      </c>
      <c r="E609" s="129" t="s">
        <v>346</v>
      </c>
      <c r="F609" s="130"/>
      <c r="G609" s="131">
        <v>23.52</v>
      </c>
      <c r="I609" s="120"/>
      <c r="J609" s="120"/>
      <c r="K609" s="120">
        <f>140*0.7</f>
        <v>98</v>
      </c>
      <c r="L609" s="270">
        <f t="shared" ref="L609:L617" si="31">SUM(H609:K609)</f>
        <v>98</v>
      </c>
      <c r="M609" s="134">
        <f t="shared" ref="M609:M617" si="32">+L609*G609</f>
        <v>2304.96</v>
      </c>
    </row>
    <row r="610" spans="2:13" s="118" customFormat="1" ht="10.199999999999999" outlineLevel="4">
      <c r="B610" s="116" t="s">
        <v>834</v>
      </c>
      <c r="C610" s="129" t="s">
        <v>1189</v>
      </c>
      <c r="D610" s="129" t="s">
        <v>865</v>
      </c>
      <c r="E610" s="129" t="s">
        <v>251</v>
      </c>
      <c r="F610" s="130"/>
      <c r="G610" s="131">
        <v>709</v>
      </c>
      <c r="I610" s="120"/>
      <c r="J610" s="120"/>
      <c r="K610" s="120">
        <f>140*0.7</f>
        <v>98</v>
      </c>
      <c r="L610" s="270">
        <f t="shared" si="31"/>
        <v>98</v>
      </c>
      <c r="M610" s="134">
        <f t="shared" si="32"/>
        <v>69482</v>
      </c>
    </row>
    <row r="611" spans="2:13" s="118" customFormat="1" ht="10.199999999999999" outlineLevel="4">
      <c r="B611" s="116" t="s">
        <v>834</v>
      </c>
      <c r="C611" s="129" t="s">
        <v>1190</v>
      </c>
      <c r="D611" s="210" t="s">
        <v>1191</v>
      </c>
      <c r="E611" s="129" t="s">
        <v>500</v>
      </c>
      <c r="F611" s="130"/>
      <c r="G611" s="131">
        <v>170</v>
      </c>
      <c r="I611" s="120"/>
      <c r="J611" s="120"/>
      <c r="K611" s="120">
        <f>140*0.7</f>
        <v>98</v>
      </c>
      <c r="L611" s="270">
        <f t="shared" si="31"/>
        <v>98</v>
      </c>
      <c r="M611" s="134">
        <f t="shared" si="32"/>
        <v>16660</v>
      </c>
    </row>
    <row r="612" spans="2:13" s="118" customFormat="1" ht="10.199999999999999" outlineLevel="4">
      <c r="B612" s="116" t="s">
        <v>834</v>
      </c>
      <c r="C612" s="129" t="s">
        <v>1192</v>
      </c>
      <c r="D612" s="210" t="s">
        <v>1193</v>
      </c>
      <c r="E612" s="129" t="s">
        <v>1025</v>
      </c>
      <c r="F612" s="130"/>
      <c r="G612" s="131">
        <v>9.7265000000000015</v>
      </c>
      <c r="I612" s="120"/>
      <c r="J612" s="120"/>
      <c r="K612" s="120">
        <f>140*0.7</f>
        <v>98</v>
      </c>
      <c r="L612" s="270">
        <f t="shared" si="31"/>
        <v>98</v>
      </c>
      <c r="M612" s="134">
        <f t="shared" si="32"/>
        <v>953.19700000000012</v>
      </c>
    </row>
    <row r="613" spans="2:13" s="118" customFormat="1" ht="10.199999999999999" outlineLevel="4">
      <c r="B613" s="116" t="s">
        <v>834</v>
      </c>
      <c r="C613" s="129" t="s">
        <v>1194</v>
      </c>
      <c r="D613" s="210" t="s">
        <v>1195</v>
      </c>
      <c r="E613" s="129" t="s">
        <v>1025</v>
      </c>
      <c r="F613" s="130"/>
      <c r="G613" s="131">
        <v>34.244</v>
      </c>
      <c r="I613" s="120"/>
      <c r="J613" s="120"/>
      <c r="K613" s="120">
        <v>140</v>
      </c>
      <c r="L613" s="270">
        <f t="shared" si="31"/>
        <v>140</v>
      </c>
      <c r="M613" s="134">
        <f t="shared" si="32"/>
        <v>4794.16</v>
      </c>
    </row>
    <row r="614" spans="2:13" s="118" customFormat="1" ht="10.199999999999999" outlineLevel="4">
      <c r="B614" s="116" t="s">
        <v>834</v>
      </c>
      <c r="C614" s="129" t="s">
        <v>1196</v>
      </c>
      <c r="D614" s="210" t="s">
        <v>1197</v>
      </c>
      <c r="E614" s="129" t="s">
        <v>1025</v>
      </c>
      <c r="F614" s="130"/>
      <c r="G614" s="131">
        <v>74.431000000000012</v>
      </c>
      <c r="I614" s="120"/>
      <c r="J614" s="120"/>
      <c r="K614" s="120">
        <f>140*0.7</f>
        <v>98</v>
      </c>
      <c r="L614" s="270">
        <f t="shared" si="31"/>
        <v>98</v>
      </c>
      <c r="M614" s="134">
        <f t="shared" si="32"/>
        <v>7294.2380000000012</v>
      </c>
    </row>
    <row r="615" spans="2:13" s="118" customFormat="1" ht="10.199999999999999" outlineLevel="4">
      <c r="B615" s="116" t="s">
        <v>834</v>
      </c>
      <c r="C615" s="129" t="s">
        <v>1198</v>
      </c>
      <c r="D615" s="129" t="s">
        <v>1199</v>
      </c>
      <c r="E615" s="129" t="s">
        <v>346</v>
      </c>
      <c r="F615" s="130"/>
      <c r="G615" s="131">
        <v>88.61</v>
      </c>
      <c r="I615" s="120"/>
      <c r="J615" s="120"/>
      <c r="K615" s="120">
        <v>140</v>
      </c>
      <c r="L615" s="270">
        <f t="shared" si="31"/>
        <v>140</v>
      </c>
      <c r="M615" s="134">
        <f t="shared" si="32"/>
        <v>12405.4</v>
      </c>
    </row>
    <row r="616" spans="2:13" s="118" customFormat="1" ht="10.199999999999999" outlineLevel="4">
      <c r="B616" s="116" t="s">
        <v>834</v>
      </c>
      <c r="C616" s="129" t="s">
        <v>1200</v>
      </c>
      <c r="D616" s="210" t="s">
        <v>1201</v>
      </c>
      <c r="E616" s="129" t="s">
        <v>500</v>
      </c>
      <c r="F616" s="130"/>
      <c r="G616" s="131">
        <v>20.71</v>
      </c>
      <c r="I616" s="120"/>
      <c r="J616" s="120"/>
      <c r="K616" s="120">
        <v>140</v>
      </c>
      <c r="L616" s="270">
        <f t="shared" si="31"/>
        <v>140</v>
      </c>
      <c r="M616" s="134">
        <f t="shared" si="32"/>
        <v>2899.4</v>
      </c>
    </row>
    <row r="617" spans="2:13" s="118" customFormat="1" ht="10.199999999999999" outlineLevel="4">
      <c r="B617" s="116" t="s">
        <v>834</v>
      </c>
      <c r="C617" s="129"/>
      <c r="D617" s="210" t="s">
        <v>1202</v>
      </c>
      <c r="E617" s="129"/>
      <c r="F617" s="130"/>
      <c r="G617" s="131">
        <v>182</v>
      </c>
      <c r="I617" s="120"/>
      <c r="J617" s="120"/>
      <c r="K617" s="120">
        <f>140*0.7</f>
        <v>98</v>
      </c>
      <c r="L617" s="270">
        <f t="shared" si="31"/>
        <v>98</v>
      </c>
      <c r="M617" s="134">
        <f t="shared" si="32"/>
        <v>17836</v>
      </c>
    </row>
    <row r="618" spans="2:13" s="118" customFormat="1" ht="10.199999999999999" outlineLevel="3">
      <c r="B618" s="116"/>
      <c r="C618" s="129"/>
      <c r="D618" s="210"/>
      <c r="E618" s="129"/>
      <c r="F618" s="130"/>
      <c r="G618" s="131"/>
      <c r="I618" s="120"/>
      <c r="J618" s="120"/>
      <c r="K618" s="120"/>
      <c r="L618" s="270"/>
      <c r="M618" s="134"/>
    </row>
    <row r="619" spans="2:13" s="118" customFormat="1" ht="10.199999999999999" outlineLevel="2">
      <c r="B619" s="116"/>
      <c r="C619" s="126" t="s">
        <v>1203</v>
      </c>
      <c r="D619" s="126" t="s">
        <v>909</v>
      </c>
      <c r="F619" s="161"/>
      <c r="G619" s="116"/>
      <c r="I619" s="120"/>
      <c r="J619" s="120"/>
      <c r="K619" s="120"/>
      <c r="L619" s="133"/>
      <c r="M619" s="265">
        <f>+M620+M632+M642+M653</f>
        <v>856417.05655986408</v>
      </c>
    </row>
    <row r="620" spans="2:13" s="118" customFormat="1" ht="10.199999999999999" outlineLevel="3">
      <c r="B620" s="116"/>
      <c r="C620" s="158" t="s">
        <v>1204</v>
      </c>
      <c r="D620" s="158" t="s">
        <v>1205</v>
      </c>
      <c r="F620" s="266"/>
      <c r="G620" s="116"/>
      <c r="I620" s="120"/>
      <c r="J620" s="120"/>
      <c r="K620" s="120"/>
      <c r="L620" s="133"/>
      <c r="M620" s="268">
        <f>SUM(M621:M631)</f>
        <v>273268.64600000001</v>
      </c>
    </row>
    <row r="621" spans="2:13" s="118" customFormat="1" ht="10.199999999999999" outlineLevel="4">
      <c r="B621" s="116" t="s">
        <v>73</v>
      </c>
      <c r="C621" s="129" t="s">
        <v>1206</v>
      </c>
      <c r="D621" s="155" t="s">
        <v>1207</v>
      </c>
      <c r="E621" s="129" t="s">
        <v>346</v>
      </c>
      <c r="F621" s="130"/>
      <c r="G621" s="131">
        <v>402.58</v>
      </c>
      <c r="I621" s="120"/>
      <c r="J621" s="120"/>
      <c r="K621" s="120">
        <v>27</v>
      </c>
      <c r="L621" s="272">
        <f>SUM(H621:K621)</f>
        <v>27</v>
      </c>
      <c r="M621" s="134">
        <f t="shared" ref="M621:M631" si="33">+L621*G621</f>
        <v>10869.66</v>
      </c>
    </row>
    <row r="622" spans="2:13" s="149" customFormat="1" ht="20.399999999999999" outlineLevel="4">
      <c r="B622" s="144" t="s">
        <v>73</v>
      </c>
      <c r="C622" s="145" t="s">
        <v>1208</v>
      </c>
      <c r="D622" s="352" t="s">
        <v>1209</v>
      </c>
      <c r="E622" s="145" t="s">
        <v>346</v>
      </c>
      <c r="F622" s="147"/>
      <c r="G622" s="148">
        <v>5285</v>
      </c>
      <c r="I622" s="150"/>
      <c r="J622" s="150"/>
      <c r="K622" s="150">
        <v>26.55</v>
      </c>
      <c r="L622" s="353">
        <f>SUM(H622:K622)</f>
        <v>26.55</v>
      </c>
      <c r="M622" s="152">
        <f t="shared" si="33"/>
        <v>140316.75</v>
      </c>
    </row>
    <row r="623" spans="2:13" s="149" customFormat="1" ht="20.399999999999999" outlineLevel="4">
      <c r="B623" s="144" t="s">
        <v>73</v>
      </c>
      <c r="C623" s="145"/>
      <c r="D623" s="352" t="s">
        <v>1210</v>
      </c>
      <c r="E623" s="145" t="s">
        <v>346</v>
      </c>
      <c r="F623" s="147"/>
      <c r="G623" s="148">
        <v>1241</v>
      </c>
      <c r="I623" s="150"/>
      <c r="J623" s="150"/>
      <c r="K623" s="150">
        <v>25</v>
      </c>
      <c r="L623" s="353">
        <f t="shared" ref="L623:L625" si="34">SUM(H623:K623)</f>
        <v>25</v>
      </c>
      <c r="M623" s="152">
        <f t="shared" si="33"/>
        <v>31025</v>
      </c>
    </row>
    <row r="624" spans="2:13" s="149" customFormat="1" ht="10.199999999999999" outlineLevel="4">
      <c r="B624" s="144" t="s">
        <v>73</v>
      </c>
      <c r="C624" s="145"/>
      <c r="D624" s="352" t="s">
        <v>1211</v>
      </c>
      <c r="E624" s="145" t="s">
        <v>251</v>
      </c>
      <c r="F624" s="147"/>
      <c r="G624" s="148">
        <v>250</v>
      </c>
      <c r="H624" s="150">
        <v>150</v>
      </c>
      <c r="I624" s="150"/>
      <c r="J624" s="150"/>
      <c r="L624" s="353">
        <f t="shared" si="34"/>
        <v>150</v>
      </c>
      <c r="M624" s="152">
        <f t="shared" si="33"/>
        <v>37500</v>
      </c>
    </row>
    <row r="625" spans="1:13" s="149" customFormat="1" ht="10.199999999999999" outlineLevel="4">
      <c r="B625" s="144" t="s">
        <v>73</v>
      </c>
      <c r="C625" s="145"/>
      <c r="D625" s="352" t="s">
        <v>1212</v>
      </c>
      <c r="E625" s="145" t="s">
        <v>346</v>
      </c>
      <c r="F625" s="147"/>
      <c r="G625" s="148">
        <v>782</v>
      </c>
      <c r="I625" s="150">
        <v>11</v>
      </c>
      <c r="J625" s="150"/>
      <c r="L625" s="353">
        <f t="shared" si="34"/>
        <v>11</v>
      </c>
      <c r="M625" s="152">
        <f t="shared" si="33"/>
        <v>8602</v>
      </c>
    </row>
    <row r="626" spans="1:13" s="168" customFormat="1" ht="10.199999999999999" outlineLevel="4">
      <c r="B626" s="166" t="s">
        <v>73</v>
      </c>
      <c r="C626" s="117" t="s">
        <v>1213</v>
      </c>
      <c r="D626" s="354" t="s">
        <v>1214</v>
      </c>
      <c r="E626" s="117" t="s">
        <v>346</v>
      </c>
      <c r="F626" s="142"/>
      <c r="G626" s="167">
        <v>136.04999999999984</v>
      </c>
      <c r="I626" s="169"/>
      <c r="J626" s="169"/>
      <c r="K626" s="169">
        <v>31.93</v>
      </c>
      <c r="L626" s="273">
        <f>SUM(H626:K626)*0</f>
        <v>0</v>
      </c>
      <c r="M626" s="143">
        <f t="shared" si="33"/>
        <v>0</v>
      </c>
    </row>
    <row r="627" spans="1:13" s="118" customFormat="1" ht="10.199999999999999" outlineLevel="4">
      <c r="B627" s="116" t="s">
        <v>73</v>
      </c>
      <c r="C627" s="190" t="s">
        <v>1215</v>
      </c>
      <c r="D627" s="355" t="s">
        <v>1216</v>
      </c>
      <c r="E627" s="190" t="s">
        <v>346</v>
      </c>
      <c r="F627" s="130"/>
      <c r="G627" s="192">
        <v>593.95000000000005</v>
      </c>
      <c r="I627" s="120"/>
      <c r="J627" s="120"/>
      <c r="K627" s="120">
        <v>31.93</v>
      </c>
      <c r="L627" s="356">
        <f>SUM(H627:K627)</f>
        <v>31.93</v>
      </c>
      <c r="M627" s="134">
        <f t="shared" si="33"/>
        <v>18964.823500000002</v>
      </c>
    </row>
    <row r="628" spans="1:13" s="118" customFormat="1" ht="20.399999999999999" outlineLevel="4">
      <c r="B628" s="116" t="s">
        <v>73</v>
      </c>
      <c r="C628" s="129" t="s">
        <v>1217</v>
      </c>
      <c r="D628" s="357" t="s">
        <v>1218</v>
      </c>
      <c r="E628" s="129" t="s">
        <v>346</v>
      </c>
      <c r="F628" s="130"/>
      <c r="G628" s="131">
        <v>18.97</v>
      </c>
      <c r="I628" s="120"/>
      <c r="J628" s="120"/>
      <c r="K628" s="120">
        <v>65</v>
      </c>
      <c r="L628" s="270">
        <f>SUM(H628:K628)</f>
        <v>65</v>
      </c>
      <c r="M628" s="134">
        <f t="shared" si="33"/>
        <v>1233.05</v>
      </c>
    </row>
    <row r="629" spans="1:13" s="118" customFormat="1" ht="20.399999999999999" outlineLevel="4">
      <c r="A629" s="118" t="s">
        <v>1131</v>
      </c>
      <c r="B629" s="116" t="s">
        <v>873</v>
      </c>
      <c r="C629" s="129" t="s">
        <v>1219</v>
      </c>
      <c r="D629" s="357" t="s">
        <v>1220</v>
      </c>
      <c r="E629" s="129" t="s">
        <v>346</v>
      </c>
      <c r="F629" s="130"/>
      <c r="G629" s="131">
        <v>14.012499999999999</v>
      </c>
      <c r="I629" s="120"/>
      <c r="J629" s="120"/>
      <c r="K629" s="120">
        <v>65</v>
      </c>
      <c r="L629" s="270">
        <f>SUM(H629:K629)</f>
        <v>65</v>
      </c>
      <c r="M629" s="134">
        <f t="shared" si="33"/>
        <v>910.8125</v>
      </c>
    </row>
    <row r="630" spans="1:13" s="118" customFormat="1" ht="20.399999999999999" outlineLevel="4">
      <c r="A630" s="118" t="s">
        <v>1131</v>
      </c>
      <c r="B630" s="116" t="s">
        <v>873</v>
      </c>
      <c r="C630" s="129" t="s">
        <v>1221</v>
      </c>
      <c r="D630" s="357" t="s">
        <v>1222</v>
      </c>
      <c r="E630" s="129" t="s">
        <v>346</v>
      </c>
      <c r="F630" s="130"/>
      <c r="G630" s="167">
        <v>359.39000000000004</v>
      </c>
      <c r="I630" s="120"/>
      <c r="J630" s="120"/>
      <c r="K630" s="120">
        <v>65</v>
      </c>
      <c r="L630" s="270">
        <f>SUM(H630:K630)</f>
        <v>65</v>
      </c>
      <c r="M630" s="134">
        <f t="shared" si="33"/>
        <v>23360.350000000002</v>
      </c>
    </row>
    <row r="631" spans="1:13" s="118" customFormat="1" ht="10.199999999999999" outlineLevel="4">
      <c r="A631" s="118" t="s">
        <v>1131</v>
      </c>
      <c r="B631" s="116" t="s">
        <v>873</v>
      </c>
      <c r="C631" s="129" t="s">
        <v>1223</v>
      </c>
      <c r="D631" s="357" t="s">
        <v>1224</v>
      </c>
      <c r="E631" s="129" t="s">
        <v>346</v>
      </c>
      <c r="F631" s="130"/>
      <c r="G631" s="167">
        <v>7.48</v>
      </c>
      <c r="I631" s="120"/>
      <c r="J631" s="120"/>
      <c r="K631" s="120">
        <v>65</v>
      </c>
      <c r="L631" s="270">
        <f>SUM(H631:K631)</f>
        <v>65</v>
      </c>
      <c r="M631" s="134">
        <f t="shared" si="33"/>
        <v>486.20000000000005</v>
      </c>
    </row>
    <row r="632" spans="1:13" s="118" customFormat="1" ht="10.199999999999999" outlineLevel="4">
      <c r="B632" s="116"/>
      <c r="C632" s="129"/>
      <c r="D632" s="158" t="s">
        <v>1225</v>
      </c>
      <c r="E632" s="129"/>
      <c r="F632" s="130"/>
      <c r="G632" s="167"/>
      <c r="I632" s="120"/>
      <c r="J632" s="120"/>
      <c r="K632" s="120"/>
      <c r="L632" s="270"/>
      <c r="M632" s="268">
        <f>SUM(M633:M641)</f>
        <v>86998.554622857147</v>
      </c>
    </row>
    <row r="633" spans="1:13" s="168" customFormat="1" ht="20.399999999999999" outlineLevel="4">
      <c r="B633" s="166" t="s">
        <v>855</v>
      </c>
      <c r="C633" s="117" t="s">
        <v>1226</v>
      </c>
      <c r="D633" s="358" t="s">
        <v>1227</v>
      </c>
      <c r="E633" s="117" t="s">
        <v>346</v>
      </c>
      <c r="F633" s="142"/>
      <c r="G633" s="167">
        <v>78.97</v>
      </c>
      <c r="H633" s="169"/>
      <c r="I633" s="169">
        <v>205.53016571428574</v>
      </c>
      <c r="J633" s="169"/>
      <c r="K633" s="169">
        <v>80</v>
      </c>
      <c r="L633" s="273">
        <f>SUM(H633:K633)*0</f>
        <v>0</v>
      </c>
      <c r="M633" s="143">
        <f t="shared" ref="M633:M640" si="35">+L633*G633</f>
        <v>0</v>
      </c>
    </row>
    <row r="634" spans="1:13" s="168" customFormat="1" ht="20.399999999999999" outlineLevel="4">
      <c r="B634" s="166" t="s">
        <v>855</v>
      </c>
      <c r="C634" s="117" t="s">
        <v>1228</v>
      </c>
      <c r="D634" s="358" t="s">
        <v>1229</v>
      </c>
      <c r="E634" s="117" t="s">
        <v>346</v>
      </c>
      <c r="F634" s="142"/>
      <c r="G634" s="167">
        <v>4.3499999999999996</v>
      </c>
      <c r="H634" s="169"/>
      <c r="I634" s="169">
        <v>74.430165714285721</v>
      </c>
      <c r="J634" s="169"/>
      <c r="K634" s="169">
        <v>33</v>
      </c>
      <c r="L634" s="273">
        <f>SUM(H634:K634)*0</f>
        <v>0</v>
      </c>
      <c r="M634" s="143">
        <f t="shared" si="35"/>
        <v>0</v>
      </c>
    </row>
    <row r="635" spans="1:13" s="359" customFormat="1" ht="20.399999999999999" outlineLevel="4">
      <c r="B635" s="360" t="s">
        <v>855</v>
      </c>
      <c r="C635" s="361" t="s">
        <v>1230</v>
      </c>
      <c r="D635" s="362" t="s">
        <v>1231</v>
      </c>
      <c r="E635" s="361" t="s">
        <v>346</v>
      </c>
      <c r="F635" s="363"/>
      <c r="G635" s="364">
        <v>23</v>
      </c>
      <c r="H635" s="365"/>
      <c r="I635" s="365">
        <f>+((14*3.8)+9+1)*1.15</f>
        <v>72.679999999999993</v>
      </c>
      <c r="J635" s="365"/>
      <c r="K635" s="365">
        <v>30</v>
      </c>
      <c r="L635" s="353">
        <f>SUM(H635:K635)</f>
        <v>102.67999999999999</v>
      </c>
      <c r="M635" s="366">
        <f t="shared" si="35"/>
        <v>2361.64</v>
      </c>
    </row>
    <row r="636" spans="1:13" s="359" customFormat="1" ht="20.399999999999999" outlineLevel="4">
      <c r="B636" s="360" t="s">
        <v>855</v>
      </c>
      <c r="C636" s="361"/>
      <c r="D636" s="362" t="s">
        <v>925</v>
      </c>
      <c r="E636" s="361" t="s">
        <v>346</v>
      </c>
      <c r="F636" s="363"/>
      <c r="G636" s="364">
        <v>8.48</v>
      </c>
      <c r="H636" s="365"/>
      <c r="I636" s="365">
        <f>(32.7+8+1)*1.15</f>
        <v>47.954999999999998</v>
      </c>
      <c r="J636" s="365"/>
      <c r="K636" s="365">
        <v>30</v>
      </c>
      <c r="L636" s="353">
        <f>SUM(H636:K636)</f>
        <v>77.954999999999998</v>
      </c>
      <c r="M636" s="366">
        <f t="shared" si="35"/>
        <v>661.05840000000001</v>
      </c>
    </row>
    <row r="637" spans="1:13" s="359" customFormat="1" ht="10.199999999999999" outlineLevel="4">
      <c r="B637" s="360" t="s">
        <v>855</v>
      </c>
      <c r="C637" s="361" t="s">
        <v>1232</v>
      </c>
      <c r="D637" s="362" t="s">
        <v>1233</v>
      </c>
      <c r="E637" s="361" t="s">
        <v>346</v>
      </c>
      <c r="F637" s="363"/>
      <c r="G637" s="364">
        <v>679</v>
      </c>
      <c r="H637" s="365"/>
      <c r="I637" s="365">
        <f>(36+8+1)*1.15</f>
        <v>51.749999999999993</v>
      </c>
      <c r="J637" s="365"/>
      <c r="K637" s="365">
        <v>30</v>
      </c>
      <c r="L637" s="353">
        <f>SUM(H637:K637)</f>
        <v>81.75</v>
      </c>
      <c r="M637" s="366">
        <f t="shared" si="35"/>
        <v>55508.25</v>
      </c>
    </row>
    <row r="638" spans="1:13" s="168" customFormat="1" ht="20.399999999999999" outlineLevel="4">
      <c r="B638" s="166" t="s">
        <v>855</v>
      </c>
      <c r="C638" s="117" t="s">
        <v>1234</v>
      </c>
      <c r="D638" s="358" t="s">
        <v>1235</v>
      </c>
      <c r="E638" s="117" t="s">
        <v>346</v>
      </c>
      <c r="F638" s="142"/>
      <c r="G638" s="167">
        <v>180.38000000000005</v>
      </c>
      <c r="H638" s="169"/>
      <c r="I638" s="169">
        <v>90.530165714285729</v>
      </c>
      <c r="J638" s="169"/>
      <c r="K638" s="169">
        <v>33</v>
      </c>
      <c r="L638" s="273">
        <f>SUM(H638:K638)*0</f>
        <v>0</v>
      </c>
      <c r="M638" s="143">
        <f t="shared" si="35"/>
        <v>0</v>
      </c>
    </row>
    <row r="639" spans="1:13" s="280" customFormat="1" ht="20.399999999999999" outlineLevel="4">
      <c r="B639" s="367" t="s">
        <v>855</v>
      </c>
      <c r="C639" s="368" t="s">
        <v>1236</v>
      </c>
      <c r="D639" s="369" t="s">
        <v>1237</v>
      </c>
      <c r="E639" s="368" t="s">
        <v>346</v>
      </c>
      <c r="F639" s="370"/>
      <c r="G639" s="279">
        <v>116</v>
      </c>
      <c r="H639" s="281"/>
      <c r="I639" s="281">
        <v>90.530165714285729</v>
      </c>
      <c r="J639" s="281"/>
      <c r="K639" s="281">
        <v>35</v>
      </c>
      <c r="L639" s="282">
        <f>SUM(H639:K639)</f>
        <v>125.53016571428573</v>
      </c>
      <c r="M639" s="283">
        <f t="shared" si="35"/>
        <v>14561.499222857145</v>
      </c>
    </row>
    <row r="640" spans="1:13" s="118" customFormat="1" ht="20.399999999999999" outlineLevel="4">
      <c r="B640" s="116" t="s">
        <v>855</v>
      </c>
      <c r="C640" s="129" t="s">
        <v>1238</v>
      </c>
      <c r="D640" s="357" t="s">
        <v>1239</v>
      </c>
      <c r="E640" s="129" t="s">
        <v>135</v>
      </c>
      <c r="F640" s="130"/>
      <c r="G640" s="131">
        <v>579.42112499999996</v>
      </c>
      <c r="H640" s="120">
        <v>10</v>
      </c>
      <c r="I640" s="120">
        <v>14</v>
      </c>
      <c r="J640" s="120"/>
      <c r="K640" s="120"/>
      <c r="L640" s="270">
        <f>SUM(H640:K640)</f>
        <v>24</v>
      </c>
      <c r="M640" s="134">
        <f t="shared" si="35"/>
        <v>13906.107</v>
      </c>
    </row>
    <row r="641" spans="1:13" s="168" customFormat="1" ht="20.399999999999999" outlineLevel="4">
      <c r="B641" s="166" t="s">
        <v>855</v>
      </c>
      <c r="C641" s="117" t="s">
        <v>1240</v>
      </c>
      <c r="D641" s="358" t="s">
        <v>1241</v>
      </c>
      <c r="E641" s="117" t="s">
        <v>346</v>
      </c>
      <c r="F641" s="142"/>
      <c r="G641" s="167">
        <v>7.48</v>
      </c>
      <c r="H641" s="169"/>
      <c r="I641" s="169">
        <v>90.530165714285729</v>
      </c>
      <c r="J641" s="169"/>
      <c r="K641" s="169">
        <v>33</v>
      </c>
      <c r="L641" s="273">
        <f>SUM(H641:K641)</f>
        <v>123.53016571428573</v>
      </c>
      <c r="M641" s="143">
        <f>+L641*G641*0</f>
        <v>0</v>
      </c>
    </row>
    <row r="642" spans="1:13" s="118" customFormat="1" ht="10.199999999999999" outlineLevel="4">
      <c r="B642" s="116"/>
      <c r="C642" s="129"/>
      <c r="D642" s="158" t="s">
        <v>1242</v>
      </c>
      <c r="E642" s="129"/>
      <c r="F642" s="130"/>
      <c r="G642" s="131"/>
      <c r="H642" s="120"/>
      <c r="I642" s="120">
        <f>11.38*3.7*1.05</f>
        <v>44.211300000000001</v>
      </c>
      <c r="J642" s="120"/>
      <c r="K642" s="120"/>
      <c r="L642" s="270"/>
      <c r="M642" s="268">
        <f>SUM(M643:M652)</f>
        <v>487491.85593700694</v>
      </c>
    </row>
    <row r="643" spans="1:13" s="149" customFormat="1" ht="20.399999999999999" outlineLevel="4">
      <c r="B643" s="144" t="s">
        <v>1243</v>
      </c>
      <c r="C643" s="145" t="s">
        <v>1244</v>
      </c>
      <c r="D643" s="352" t="s">
        <v>1245</v>
      </c>
      <c r="E643" s="145" t="s">
        <v>346</v>
      </c>
      <c r="F643" s="147"/>
      <c r="G643" s="148">
        <v>6113.4499999999989</v>
      </c>
      <c r="H643" s="150"/>
      <c r="I643" s="150">
        <v>44.275000000000006</v>
      </c>
      <c r="J643" s="150"/>
      <c r="K643" s="150">
        <v>9.5</v>
      </c>
      <c r="L643" s="371">
        <f>SUM(H643:K643)</f>
        <v>53.775000000000006</v>
      </c>
      <c r="M643" s="152">
        <f t="shared" ref="M643:M652" si="36">+L643*G643</f>
        <v>328750.77374999999</v>
      </c>
    </row>
    <row r="644" spans="1:13" s="359" customFormat="1" ht="20.399999999999999" outlineLevel="4">
      <c r="B644" s="360" t="s">
        <v>855</v>
      </c>
      <c r="C644" s="361" t="s">
        <v>1246</v>
      </c>
      <c r="D644" s="362" t="s">
        <v>1247</v>
      </c>
      <c r="E644" s="361" t="s">
        <v>346</v>
      </c>
      <c r="F644" s="363"/>
      <c r="G644" s="364">
        <v>310</v>
      </c>
      <c r="H644" s="365"/>
      <c r="I644" s="365">
        <f>+((14*3.8)+9+1)*1.15</f>
        <v>72.679999999999993</v>
      </c>
      <c r="J644" s="365"/>
      <c r="K644" s="365">
        <v>31</v>
      </c>
      <c r="L644" s="353">
        <f>SUM(H644:K644)</f>
        <v>103.67999999999999</v>
      </c>
      <c r="M644" s="366">
        <f t="shared" si="36"/>
        <v>32140.799999999999</v>
      </c>
    </row>
    <row r="645" spans="1:13" s="359" customFormat="1" ht="20.399999999999999" outlineLevel="4">
      <c r="B645" s="360" t="s">
        <v>855</v>
      </c>
      <c r="C645" s="361" t="s">
        <v>1248</v>
      </c>
      <c r="D645" s="362" t="s">
        <v>1249</v>
      </c>
      <c r="E645" s="361" t="s">
        <v>346</v>
      </c>
      <c r="F645" s="363"/>
      <c r="G645" s="364">
        <v>934</v>
      </c>
      <c r="H645" s="365"/>
      <c r="I645" s="365">
        <f>(43+8+1)*1.15</f>
        <v>59.8</v>
      </c>
      <c r="J645" s="365"/>
      <c r="K645" s="365">
        <v>30</v>
      </c>
      <c r="L645" s="353">
        <f>SUM(H645:K645)</f>
        <v>89.8</v>
      </c>
      <c r="M645" s="366">
        <f t="shared" si="36"/>
        <v>83873.2</v>
      </c>
    </row>
    <row r="646" spans="1:13" s="359" customFormat="1" ht="20.399999999999999" outlineLevel="4">
      <c r="B646" s="360" t="s">
        <v>855</v>
      </c>
      <c r="C646" s="361"/>
      <c r="D646" s="362" t="s">
        <v>1250</v>
      </c>
      <c r="E646" s="361" t="s">
        <v>346</v>
      </c>
      <c r="F646" s="363"/>
      <c r="G646" s="364">
        <v>34</v>
      </c>
      <c r="H646" s="365"/>
      <c r="I646" s="365">
        <f>+((14*3.8)+9+1)*1.15</f>
        <v>72.679999999999993</v>
      </c>
      <c r="J646" s="365"/>
      <c r="K646" s="365">
        <v>30</v>
      </c>
      <c r="L646" s="353">
        <f>SUM(H646:K646)</f>
        <v>102.67999999999999</v>
      </c>
      <c r="M646" s="366">
        <f t="shared" si="36"/>
        <v>3491.12</v>
      </c>
    </row>
    <row r="647" spans="1:13" s="168" customFormat="1" ht="10.199999999999999" outlineLevel="4">
      <c r="B647" s="166" t="s">
        <v>855</v>
      </c>
      <c r="C647" s="117" t="s">
        <v>1251</v>
      </c>
      <c r="D647" s="358" t="s">
        <v>1252</v>
      </c>
      <c r="E647" s="117" t="s">
        <v>346</v>
      </c>
      <c r="F647" s="142"/>
      <c r="G647" s="167">
        <v>8.8699999999999992</v>
      </c>
      <c r="H647" s="169"/>
      <c r="I647" s="169">
        <v>84.780165714285729</v>
      </c>
      <c r="J647" s="169"/>
      <c r="K647" s="169">
        <v>33</v>
      </c>
      <c r="L647" s="273">
        <f>SUM(H647:K647)*0</f>
        <v>0</v>
      </c>
      <c r="M647" s="143">
        <f t="shared" si="36"/>
        <v>0</v>
      </c>
    </row>
    <row r="648" spans="1:13" s="118" customFormat="1" ht="10.199999999999999" outlineLevel="4">
      <c r="B648" s="116" t="s">
        <v>855</v>
      </c>
      <c r="C648" s="129" t="s">
        <v>1253</v>
      </c>
      <c r="D648" s="357" t="s">
        <v>1254</v>
      </c>
      <c r="E648" s="129" t="s">
        <v>346</v>
      </c>
      <c r="F648" s="130"/>
      <c r="G648" s="167">
        <v>2.4700000000000002</v>
      </c>
      <c r="H648" s="120"/>
      <c r="I648" s="120">
        <v>84.780165714285729</v>
      </c>
      <c r="J648" s="120"/>
      <c r="K648" s="120">
        <v>30</v>
      </c>
      <c r="L648" s="270">
        <f>SUM(H648:K648)</f>
        <v>114.78016571428573</v>
      </c>
      <c r="M648" s="134">
        <f t="shared" si="36"/>
        <v>283.50700931428577</v>
      </c>
    </row>
    <row r="649" spans="1:13" s="168" customFormat="1" ht="10.199999999999999" outlineLevel="4">
      <c r="B649" s="166" t="s">
        <v>855</v>
      </c>
      <c r="C649" s="117" t="s">
        <v>1255</v>
      </c>
      <c r="D649" s="358" t="s">
        <v>1256</v>
      </c>
      <c r="E649" s="117" t="s">
        <v>346</v>
      </c>
      <c r="F649" s="142"/>
      <c r="G649" s="167">
        <v>27.169999999999998</v>
      </c>
      <c r="H649" s="169"/>
      <c r="I649" s="169">
        <v>84.780165714285729</v>
      </c>
      <c r="J649" s="169"/>
      <c r="K649" s="169">
        <v>33</v>
      </c>
      <c r="L649" s="273">
        <f>SUM(H649:K649)*0</f>
        <v>0</v>
      </c>
      <c r="M649" s="143">
        <f t="shared" si="36"/>
        <v>0</v>
      </c>
    </row>
    <row r="650" spans="1:13" s="118" customFormat="1" ht="10.199999999999999" outlineLevel="4">
      <c r="B650" s="116" t="s">
        <v>855</v>
      </c>
      <c r="C650" s="129" t="s">
        <v>1257</v>
      </c>
      <c r="D650" s="357" t="s">
        <v>1258</v>
      </c>
      <c r="E650" s="129" t="s">
        <v>346</v>
      </c>
      <c r="F650" s="130"/>
      <c r="G650" s="136">
        <v>8454.02</v>
      </c>
      <c r="H650" s="120">
        <v>2</v>
      </c>
      <c r="I650" s="120">
        <v>2.4838709677419355</v>
      </c>
      <c r="J650" s="120"/>
      <c r="K650" s="120"/>
      <c r="L650" s="270">
        <f>SUM(H650:K650)</f>
        <v>4.4838709677419359</v>
      </c>
      <c r="M650" s="134">
        <f t="shared" si="36"/>
        <v>37906.734838709686</v>
      </c>
    </row>
    <row r="651" spans="1:13" s="118" customFormat="1" ht="20.399999999999999" outlineLevel="4">
      <c r="A651" s="118" t="s">
        <v>1131</v>
      </c>
      <c r="B651" s="116" t="s">
        <v>873</v>
      </c>
      <c r="C651" s="129" t="s">
        <v>1259</v>
      </c>
      <c r="D651" s="357" t="s">
        <v>1260</v>
      </c>
      <c r="E651" s="129" t="s">
        <v>1025</v>
      </c>
      <c r="F651" s="130"/>
      <c r="G651" s="131">
        <v>1.45</v>
      </c>
      <c r="H651" s="120"/>
      <c r="I651" s="120"/>
      <c r="J651" s="120"/>
      <c r="K651" s="120">
        <v>360.59322033898309</v>
      </c>
      <c r="L651" s="270">
        <f>SUM(H651:K651)</f>
        <v>360.59322033898309</v>
      </c>
      <c r="M651" s="134">
        <f t="shared" si="36"/>
        <v>522.86016949152543</v>
      </c>
    </row>
    <row r="652" spans="1:13" s="118" customFormat="1" ht="20.399999999999999" outlineLevel="4">
      <c r="A652" s="118" t="s">
        <v>1131</v>
      </c>
      <c r="B652" s="116" t="s">
        <v>873</v>
      </c>
      <c r="C652" s="129" t="s">
        <v>1261</v>
      </c>
      <c r="D652" s="357" t="s">
        <v>1262</v>
      </c>
      <c r="E652" s="129" t="s">
        <v>346</v>
      </c>
      <c r="F652" s="130"/>
      <c r="G652" s="167">
        <v>1.45</v>
      </c>
      <c r="I652" s="120"/>
      <c r="J652" s="120"/>
      <c r="K652" s="120">
        <v>360.59322033898309</v>
      </c>
      <c r="L652" s="270">
        <f>SUM(H652:K652)</f>
        <v>360.59322033898309</v>
      </c>
      <c r="M652" s="134">
        <f t="shared" si="36"/>
        <v>522.86016949152543</v>
      </c>
    </row>
    <row r="653" spans="1:13" s="118" customFormat="1" ht="10.199999999999999" outlineLevel="3">
      <c r="B653" s="116"/>
      <c r="C653" s="158" t="s">
        <v>1263</v>
      </c>
      <c r="D653" s="158" t="s">
        <v>1264</v>
      </c>
      <c r="F653" s="266"/>
      <c r="G653" s="116"/>
      <c r="I653" s="120"/>
      <c r="J653" s="120"/>
      <c r="K653" s="120"/>
      <c r="L653" s="133"/>
      <c r="M653" s="267">
        <f>SUM(M654:M654)</f>
        <v>8658</v>
      </c>
    </row>
    <row r="654" spans="1:13" s="255" customFormat="1" ht="10.199999999999999" outlineLevel="4">
      <c r="B654" s="269" t="s">
        <v>1243</v>
      </c>
      <c r="C654" s="244" t="s">
        <v>1265</v>
      </c>
      <c r="D654" s="372" t="s">
        <v>1266</v>
      </c>
      <c r="E654" s="244" t="s">
        <v>550</v>
      </c>
      <c r="F654" s="271"/>
      <c r="G654" s="254">
        <v>133.19999999999999</v>
      </c>
      <c r="I654" s="256"/>
      <c r="J654" s="256"/>
      <c r="K654" s="256">
        <v>65</v>
      </c>
      <c r="L654" s="272">
        <f>SUM(H654:K654)</f>
        <v>65</v>
      </c>
      <c r="M654" s="258">
        <f>+L654*G654</f>
        <v>8658</v>
      </c>
    </row>
    <row r="655" spans="1:13" s="118" customFormat="1" ht="10.199999999999999" outlineLevel="3">
      <c r="B655" s="116"/>
      <c r="C655" s="129"/>
      <c r="D655" s="218"/>
      <c r="E655" s="129"/>
      <c r="F655" s="130"/>
      <c r="G655" s="131"/>
      <c r="I655" s="120"/>
      <c r="J655" s="120"/>
      <c r="K655" s="120"/>
      <c r="L655" s="270"/>
      <c r="M655" s="134"/>
    </row>
    <row r="656" spans="1:13" s="118" customFormat="1" ht="10.199999999999999" outlineLevel="2">
      <c r="B656" s="116"/>
      <c r="C656" s="126" t="s">
        <v>1267</v>
      </c>
      <c r="D656" s="126" t="s">
        <v>933</v>
      </c>
      <c r="F656" s="161"/>
      <c r="G656" s="116"/>
      <c r="I656" s="120"/>
      <c r="J656" s="120"/>
      <c r="K656" s="120"/>
      <c r="L656" s="133"/>
      <c r="M656" s="264">
        <f>+M657+M669+M685+M688</f>
        <v>1537951.6045396517</v>
      </c>
    </row>
    <row r="657" spans="1:13" s="118" customFormat="1" ht="10.199999999999999" outlineLevel="3">
      <c r="B657" s="116"/>
      <c r="C657" s="158" t="s">
        <v>1268</v>
      </c>
      <c r="D657" s="158" t="s">
        <v>935</v>
      </c>
      <c r="F657" s="266"/>
      <c r="G657" s="116"/>
      <c r="I657" s="120"/>
      <c r="J657" s="120"/>
      <c r="K657" s="120"/>
      <c r="L657" s="133"/>
      <c r="M657" s="267">
        <f>SUM(M658:M668)</f>
        <v>742762.39215805149</v>
      </c>
    </row>
    <row r="658" spans="1:13" s="280" customFormat="1" ht="20.399999999999999" outlineLevel="4">
      <c r="A658" s="280" t="s">
        <v>1269</v>
      </c>
      <c r="B658" s="367" t="s">
        <v>1270</v>
      </c>
      <c r="C658" s="368" t="s">
        <v>1271</v>
      </c>
      <c r="D658" s="369" t="s">
        <v>937</v>
      </c>
      <c r="E658" s="368" t="s">
        <v>1025</v>
      </c>
      <c r="F658" s="370"/>
      <c r="G658" s="279">
        <v>31.5</v>
      </c>
      <c r="I658" s="281">
        <v>43.701594285714293</v>
      </c>
      <c r="J658" s="281"/>
      <c r="K658" s="281">
        <v>30</v>
      </c>
      <c r="L658" s="282">
        <f>SUM(H658:K658)</f>
        <v>73.701594285714293</v>
      </c>
      <c r="M658" s="283">
        <f t="shared" ref="M658:M668" si="37">+L658*G658</f>
        <v>2321.6002200000003</v>
      </c>
    </row>
    <row r="659" spans="1:13" s="280" customFormat="1" ht="20.399999999999999" outlineLevel="4">
      <c r="A659" s="280" t="s">
        <v>1269</v>
      </c>
      <c r="B659" s="367" t="s">
        <v>1270</v>
      </c>
      <c r="C659" s="368" t="s">
        <v>1271</v>
      </c>
      <c r="D659" s="369" t="s">
        <v>1272</v>
      </c>
      <c r="E659" s="368" t="s">
        <v>1025</v>
      </c>
      <c r="F659" s="370"/>
      <c r="G659" s="279">
        <v>52</v>
      </c>
      <c r="I659" s="281">
        <v>43.701594285714293</v>
      </c>
      <c r="J659" s="281"/>
      <c r="K659" s="281">
        <v>30</v>
      </c>
      <c r="L659" s="282">
        <f>SUM(H659:K659)</f>
        <v>73.701594285714293</v>
      </c>
      <c r="M659" s="283">
        <f t="shared" si="37"/>
        <v>3832.482902857143</v>
      </c>
    </row>
    <row r="660" spans="1:13" s="118" customFormat="1" ht="20.399999999999999" outlineLevel="4">
      <c r="A660" s="118" t="s">
        <v>1273</v>
      </c>
      <c r="B660" s="116" t="s">
        <v>1270</v>
      </c>
      <c r="C660" s="129" t="s">
        <v>1274</v>
      </c>
      <c r="D660" s="357" t="s">
        <v>1275</v>
      </c>
      <c r="E660" s="129" t="s">
        <v>1025</v>
      </c>
      <c r="F660" s="130"/>
      <c r="G660" s="131">
        <v>16.616000000000003</v>
      </c>
      <c r="I660" s="120">
        <v>182.53016571428574</v>
      </c>
      <c r="J660" s="120"/>
      <c r="K660" s="120">
        <v>33</v>
      </c>
      <c r="L660" s="270">
        <f>SUM(H660:K660)</f>
        <v>215.53016571428574</v>
      </c>
      <c r="M660" s="134">
        <f t="shared" si="37"/>
        <v>3581.2492335085726</v>
      </c>
    </row>
    <row r="661" spans="1:13" s="118" customFormat="1" ht="20.399999999999999" outlineLevel="4">
      <c r="A661" s="118" t="s">
        <v>1273</v>
      </c>
      <c r="B661" s="116" t="s">
        <v>1270</v>
      </c>
      <c r="C661" s="129" t="s">
        <v>1276</v>
      </c>
      <c r="D661" s="357" t="s">
        <v>1277</v>
      </c>
      <c r="E661" s="129" t="s">
        <v>1025</v>
      </c>
      <c r="F661" s="130"/>
      <c r="G661" s="131">
        <v>126.33</v>
      </c>
      <c r="I661" s="120">
        <v>182.53016571428574</v>
      </c>
      <c r="J661" s="120"/>
      <c r="K661" s="120">
        <v>33</v>
      </c>
      <c r="L661" s="270">
        <f>SUM(H661:K661)</f>
        <v>215.53016571428574</v>
      </c>
      <c r="M661" s="134">
        <f t="shared" si="37"/>
        <v>27227.925834685717</v>
      </c>
    </row>
    <row r="662" spans="1:13" s="118" customFormat="1" ht="20.399999999999999" outlineLevel="4">
      <c r="A662" s="118" t="s">
        <v>1273</v>
      </c>
      <c r="B662" s="116" t="s">
        <v>1270</v>
      </c>
      <c r="C662" s="129" t="s">
        <v>1278</v>
      </c>
      <c r="D662" s="357" t="s">
        <v>1279</v>
      </c>
      <c r="E662" s="129" t="s">
        <v>1025</v>
      </c>
      <c r="F662" s="130"/>
      <c r="G662" s="131">
        <v>16.739999999999998</v>
      </c>
      <c r="I662" s="120">
        <v>43.701594285714293</v>
      </c>
      <c r="J662" s="120"/>
      <c r="K662" s="120">
        <v>33</v>
      </c>
      <c r="L662" s="270">
        <f>SUM(H662:K662)</f>
        <v>76.701594285714293</v>
      </c>
      <c r="M662" s="134">
        <f t="shared" si="37"/>
        <v>1283.9846883428572</v>
      </c>
    </row>
    <row r="663" spans="1:13" s="168" customFormat="1" ht="20.399999999999999" outlineLevel="4">
      <c r="A663" s="168" t="s">
        <v>1269</v>
      </c>
      <c r="B663" s="166" t="s">
        <v>1270</v>
      </c>
      <c r="C663" s="117" t="s">
        <v>1280</v>
      </c>
      <c r="D663" s="358" t="s">
        <v>1281</v>
      </c>
      <c r="E663" s="117" t="s">
        <v>1025</v>
      </c>
      <c r="F663" s="142"/>
      <c r="G663" s="167">
        <v>7.26</v>
      </c>
      <c r="I663" s="169">
        <v>43.701594285714293</v>
      </c>
      <c r="J663" s="169"/>
      <c r="K663" s="169">
        <v>33</v>
      </c>
      <c r="L663" s="273">
        <f>SUM(H663:K663)*0</f>
        <v>0</v>
      </c>
      <c r="M663" s="143">
        <f t="shared" si="37"/>
        <v>0</v>
      </c>
    </row>
    <row r="664" spans="1:13" s="118" customFormat="1" ht="20.399999999999999" outlineLevel="4">
      <c r="A664" s="118" t="s">
        <v>1273</v>
      </c>
      <c r="B664" s="116" t="s">
        <v>1270</v>
      </c>
      <c r="C664" s="129" t="s">
        <v>1282</v>
      </c>
      <c r="D664" s="357" t="s">
        <v>1283</v>
      </c>
      <c r="E664" s="129" t="s">
        <v>1025</v>
      </c>
      <c r="F664" s="130"/>
      <c r="G664" s="131">
        <v>23.178000000000004</v>
      </c>
      <c r="I664" s="120">
        <v>43.701594285714293</v>
      </c>
      <c r="J664" s="120"/>
      <c r="K664" s="120">
        <v>33</v>
      </c>
      <c r="L664" s="270">
        <f>SUM(H664:K664)</f>
        <v>76.701594285714293</v>
      </c>
      <c r="M664" s="134">
        <f t="shared" si="37"/>
        <v>1777.7895523542861</v>
      </c>
    </row>
    <row r="665" spans="1:13" s="118" customFormat="1" ht="20.399999999999999" outlineLevel="4">
      <c r="A665" s="118" t="s">
        <v>1273</v>
      </c>
      <c r="B665" s="116" t="s">
        <v>1270</v>
      </c>
      <c r="C665" s="129" t="s">
        <v>1284</v>
      </c>
      <c r="D665" s="357" t="s">
        <v>1285</v>
      </c>
      <c r="E665" s="129" t="s">
        <v>1025</v>
      </c>
      <c r="F665" s="130"/>
      <c r="G665" s="131">
        <v>8.9370000000000012</v>
      </c>
      <c r="I665" s="120">
        <v>43.701594285714293</v>
      </c>
      <c r="J665" s="120"/>
      <c r="K665" s="120">
        <v>33</v>
      </c>
      <c r="L665" s="270">
        <f>SUM(H665:K665)</f>
        <v>76.701594285714293</v>
      </c>
      <c r="M665" s="134">
        <f t="shared" si="37"/>
        <v>685.48214813142874</v>
      </c>
    </row>
    <row r="666" spans="1:13" s="118" customFormat="1" ht="20.399999999999999" outlineLevel="4">
      <c r="A666" s="118" t="s">
        <v>1286</v>
      </c>
      <c r="B666" s="116" t="s">
        <v>1270</v>
      </c>
      <c r="C666" s="129" t="s">
        <v>1287</v>
      </c>
      <c r="D666" s="357" t="s">
        <v>1288</v>
      </c>
      <c r="E666" s="129" t="s">
        <v>500</v>
      </c>
      <c r="F666" s="130"/>
      <c r="G666" s="167">
        <v>464.25</v>
      </c>
      <c r="I666" s="120"/>
      <c r="J666" s="120"/>
      <c r="K666" s="120">
        <v>623.70000000000005</v>
      </c>
      <c r="L666" s="270">
        <f>SUM(H666:K666)</f>
        <v>623.70000000000005</v>
      </c>
      <c r="M666" s="134">
        <f t="shared" si="37"/>
        <v>289552.72500000003</v>
      </c>
    </row>
    <row r="667" spans="1:13" s="280" customFormat="1" ht="20.399999999999999" outlineLevel="4">
      <c r="A667" s="280" t="s">
        <v>1269</v>
      </c>
      <c r="B667" s="367" t="s">
        <v>1270</v>
      </c>
      <c r="C667" s="368" t="s">
        <v>1289</v>
      </c>
      <c r="D667" s="369" t="s">
        <v>1290</v>
      </c>
      <c r="E667" s="368" t="s">
        <v>1025</v>
      </c>
      <c r="F667" s="370"/>
      <c r="G667" s="373">
        <v>1846.42</v>
      </c>
      <c r="I667" s="281">
        <v>168.73016571428573</v>
      </c>
      <c r="J667" s="281"/>
      <c r="K667" s="281">
        <v>30</v>
      </c>
      <c r="L667" s="282">
        <f>SUM(H667:K667)</f>
        <v>198.73016571428573</v>
      </c>
      <c r="M667" s="283">
        <f t="shared" si="37"/>
        <v>366939.35257817147</v>
      </c>
    </row>
    <row r="668" spans="1:13" s="280" customFormat="1" ht="20.399999999999999" outlineLevel="4">
      <c r="A668" s="280" t="s">
        <v>1269</v>
      </c>
      <c r="B668" s="367" t="s">
        <v>1270</v>
      </c>
      <c r="C668" s="368" t="s">
        <v>1289</v>
      </c>
      <c r="D668" s="369" t="s">
        <v>1291</v>
      </c>
      <c r="E668" s="368" t="s">
        <v>1025</v>
      </c>
      <c r="F668" s="370"/>
      <c r="G668" s="373">
        <v>414.18</v>
      </c>
      <c r="I668" s="281">
        <v>80</v>
      </c>
      <c r="J668" s="281"/>
      <c r="K668" s="281">
        <v>30</v>
      </c>
      <c r="L668" s="282">
        <f>SUM(H668:K668)</f>
        <v>110</v>
      </c>
      <c r="M668" s="283">
        <f t="shared" si="37"/>
        <v>45559.8</v>
      </c>
    </row>
    <row r="669" spans="1:13" s="118" customFormat="1" ht="10.199999999999999" outlineLevel="3">
      <c r="B669" s="116"/>
      <c r="C669" s="158" t="s">
        <v>1292</v>
      </c>
      <c r="D669" s="374" t="s">
        <v>939</v>
      </c>
      <c r="F669" s="266"/>
      <c r="G669" s="116"/>
      <c r="I669" s="120"/>
      <c r="J669" s="120"/>
      <c r="K669" s="120"/>
      <c r="L669" s="133"/>
      <c r="M669" s="267">
        <f>SUM(M670:M684)</f>
        <v>171666.00319760008</v>
      </c>
    </row>
    <row r="670" spans="1:13" s="118" customFormat="1" ht="10.199999999999999" outlineLevel="4">
      <c r="B670" s="116" t="s">
        <v>1293</v>
      </c>
      <c r="C670" s="129" t="s">
        <v>1294</v>
      </c>
      <c r="D670" s="155" t="s">
        <v>1295</v>
      </c>
      <c r="E670" s="129" t="s">
        <v>135</v>
      </c>
      <c r="F670" s="130"/>
      <c r="G670" s="131">
        <v>329.07</v>
      </c>
      <c r="I670" s="120"/>
      <c r="J670" s="120"/>
      <c r="K670" s="120">
        <v>17.55</v>
      </c>
      <c r="L670" s="270">
        <f>SUM(H670:K670)</f>
        <v>17.55</v>
      </c>
      <c r="M670" s="134">
        <f t="shared" ref="M670:M684" si="38">+L670*G670</f>
        <v>5775.1785</v>
      </c>
    </row>
    <row r="671" spans="1:13" s="168" customFormat="1" ht="30.6" outlineLevel="4">
      <c r="B671" s="166" t="s">
        <v>1293</v>
      </c>
      <c r="C671" s="117" t="s">
        <v>1296</v>
      </c>
      <c r="D671" s="358" t="s">
        <v>1297</v>
      </c>
      <c r="E671" s="117" t="s">
        <v>135</v>
      </c>
      <c r="F671" s="142"/>
      <c r="G671" s="167">
        <v>43.569999999999993</v>
      </c>
      <c r="I671" s="169">
        <v>20.946108571428571</v>
      </c>
      <c r="J671" s="169"/>
      <c r="K671" s="169">
        <v>13</v>
      </c>
      <c r="L671" s="273">
        <f>SUM(H671:K671)*0</f>
        <v>0</v>
      </c>
      <c r="M671" s="143">
        <f t="shared" si="38"/>
        <v>0</v>
      </c>
    </row>
    <row r="672" spans="1:13" s="118" customFormat="1" ht="20.399999999999999" outlineLevel="4">
      <c r="B672" s="116" t="s">
        <v>1293</v>
      </c>
      <c r="C672" s="129" t="s">
        <v>1298</v>
      </c>
      <c r="D672" s="357" t="s">
        <v>1299</v>
      </c>
      <c r="E672" s="129" t="s">
        <v>135</v>
      </c>
      <c r="F672" s="130"/>
      <c r="G672" s="131">
        <v>944.05000000000007</v>
      </c>
      <c r="I672" s="120">
        <v>20.946108571428571</v>
      </c>
      <c r="J672" s="120"/>
      <c r="K672" s="120">
        <v>15</v>
      </c>
      <c r="L672" s="270">
        <f>SUM(H672:K672)</f>
        <v>35.946108571428567</v>
      </c>
      <c r="M672" s="134">
        <f t="shared" si="38"/>
        <v>33934.92379685714</v>
      </c>
    </row>
    <row r="673" spans="2:13" s="168" customFormat="1" ht="20.399999999999999" outlineLevel="4">
      <c r="B673" s="166" t="s">
        <v>1293</v>
      </c>
      <c r="C673" s="117" t="s">
        <v>1300</v>
      </c>
      <c r="D673" s="358" t="s">
        <v>1301</v>
      </c>
      <c r="E673" s="117" t="s">
        <v>135</v>
      </c>
      <c r="F673" s="142"/>
      <c r="G673" s="167">
        <v>7.6999999999999993</v>
      </c>
      <c r="I673" s="169">
        <v>4.7632514285714276</v>
      </c>
      <c r="J673" s="169"/>
      <c r="K673" s="169">
        <v>13</v>
      </c>
      <c r="L673" s="273">
        <f>SUM(H673:K673)*0</f>
        <v>0</v>
      </c>
      <c r="M673" s="143">
        <f t="shared" si="38"/>
        <v>0</v>
      </c>
    </row>
    <row r="674" spans="2:13" s="118" customFormat="1" ht="20.399999999999999" outlineLevel="4">
      <c r="B674" s="116" t="s">
        <v>1293</v>
      </c>
      <c r="C674" s="129" t="s">
        <v>1302</v>
      </c>
      <c r="D674" s="357" t="s">
        <v>1303</v>
      </c>
      <c r="E674" s="129" t="s">
        <v>550</v>
      </c>
      <c r="F674" s="130"/>
      <c r="G674" s="131">
        <v>19.3</v>
      </c>
      <c r="I674" s="120">
        <v>4.7632514285714276</v>
      </c>
      <c r="J674" s="120"/>
      <c r="K674" s="120">
        <v>15</v>
      </c>
      <c r="L674" s="270">
        <f>SUM(H674:K674)</f>
        <v>19.763251428571429</v>
      </c>
      <c r="M674" s="134">
        <f t="shared" si="38"/>
        <v>381.43075257142863</v>
      </c>
    </row>
    <row r="675" spans="2:13" s="168" customFormat="1" ht="10.199999999999999" outlineLevel="4">
      <c r="B675" s="166" t="s">
        <v>1293</v>
      </c>
      <c r="C675" s="117" t="s">
        <v>1304</v>
      </c>
      <c r="D675" s="358" t="s">
        <v>1305</v>
      </c>
      <c r="E675" s="117" t="s">
        <v>550</v>
      </c>
      <c r="F675" s="142"/>
      <c r="G675" s="167">
        <v>13.46</v>
      </c>
      <c r="I675" s="169">
        <v>4.7632514285714276</v>
      </c>
      <c r="J675" s="169"/>
      <c r="K675" s="169">
        <v>13</v>
      </c>
      <c r="L675" s="273">
        <f>SUM(H675:K675)*0</f>
        <v>0</v>
      </c>
      <c r="M675" s="143">
        <f t="shared" si="38"/>
        <v>0</v>
      </c>
    </row>
    <row r="676" spans="2:13" s="280" customFormat="1" ht="20.399999999999999" outlineLevel="4">
      <c r="B676" s="367" t="s">
        <v>1293</v>
      </c>
      <c r="C676" s="368" t="s">
        <v>1306</v>
      </c>
      <c r="D676" s="369" t="s">
        <v>1307</v>
      </c>
      <c r="E676" s="368" t="s">
        <v>135</v>
      </c>
      <c r="F676" s="370"/>
      <c r="G676" s="279">
        <v>13</v>
      </c>
      <c r="I676" s="281">
        <v>4.7632514285714276</v>
      </c>
      <c r="J676" s="281"/>
      <c r="K676" s="281">
        <v>15</v>
      </c>
      <c r="L676" s="282">
        <f t="shared" ref="L676:L684" si="39">SUM(H676:K676)</f>
        <v>19.763251428571429</v>
      </c>
      <c r="M676" s="283">
        <f t="shared" si="38"/>
        <v>256.92226857142856</v>
      </c>
    </row>
    <row r="677" spans="2:13" s="149" customFormat="1" ht="20.399999999999999" outlineLevel="4">
      <c r="B677" s="144" t="s">
        <v>1293</v>
      </c>
      <c r="C677" s="145" t="s">
        <v>1308</v>
      </c>
      <c r="D677" s="352" t="s">
        <v>1309</v>
      </c>
      <c r="E677" s="145" t="s">
        <v>135</v>
      </c>
      <c r="F677" s="147"/>
      <c r="G677" s="148">
        <v>5233.0900000000047</v>
      </c>
      <c r="I677" s="150">
        <f>1.92*3.7*1.1</f>
        <v>7.8144000000000009</v>
      </c>
      <c r="J677" s="150"/>
      <c r="K677" s="150">
        <v>8.8000000000000007</v>
      </c>
      <c r="L677" s="371">
        <f t="shared" si="39"/>
        <v>16.614400000000003</v>
      </c>
      <c r="M677" s="152">
        <f t="shared" si="38"/>
        <v>86944.650496000089</v>
      </c>
    </row>
    <row r="678" spans="2:13" s="118" customFormat="1" ht="20.399999999999999" outlineLevel="4">
      <c r="B678" s="116" t="s">
        <v>1293</v>
      </c>
      <c r="C678" s="129" t="s">
        <v>1310</v>
      </c>
      <c r="D678" s="357" t="s">
        <v>1311</v>
      </c>
      <c r="E678" s="129" t="s">
        <v>550</v>
      </c>
      <c r="F678" s="130"/>
      <c r="G678" s="131">
        <v>14.059999999999999</v>
      </c>
      <c r="I678" s="120">
        <v>4.7632514285714276</v>
      </c>
      <c r="J678" s="120"/>
      <c r="K678" s="120">
        <v>15</v>
      </c>
      <c r="L678" s="270">
        <f t="shared" si="39"/>
        <v>19.763251428571429</v>
      </c>
      <c r="M678" s="134">
        <f t="shared" si="38"/>
        <v>277.87131508571429</v>
      </c>
    </row>
    <row r="679" spans="2:13" s="118" customFormat="1" ht="20.399999999999999" outlineLevel="4">
      <c r="B679" s="116" t="s">
        <v>1293</v>
      </c>
      <c r="C679" s="129" t="s">
        <v>1312</v>
      </c>
      <c r="D679" s="357" t="s">
        <v>1313</v>
      </c>
      <c r="E679" s="129" t="s">
        <v>550</v>
      </c>
      <c r="F679" s="130"/>
      <c r="G679" s="131">
        <v>6.4700000000000006</v>
      </c>
      <c r="I679" s="120">
        <v>20.946108571428571</v>
      </c>
      <c r="J679" s="120"/>
      <c r="K679" s="120">
        <v>15</v>
      </c>
      <c r="L679" s="270">
        <f t="shared" si="39"/>
        <v>35.946108571428567</v>
      </c>
      <c r="M679" s="134">
        <f t="shared" si="38"/>
        <v>232.57132245714286</v>
      </c>
    </row>
    <row r="680" spans="2:13" s="280" customFormat="1" ht="20.399999999999999" outlineLevel="4">
      <c r="B680" s="367" t="s">
        <v>1293</v>
      </c>
      <c r="C680" s="368" t="s">
        <v>1314</v>
      </c>
      <c r="D680" s="369" t="s">
        <v>1315</v>
      </c>
      <c r="E680" s="368" t="s">
        <v>135</v>
      </c>
      <c r="F680" s="370"/>
      <c r="G680" s="279">
        <v>188.52</v>
      </c>
      <c r="I680" s="281">
        <v>17.496108571428572</v>
      </c>
      <c r="J680" s="281"/>
      <c r="K680" s="281">
        <v>15</v>
      </c>
      <c r="L680" s="282">
        <f t="shared" si="39"/>
        <v>32.496108571428572</v>
      </c>
      <c r="M680" s="283">
        <f t="shared" si="38"/>
        <v>6126.1663878857144</v>
      </c>
    </row>
    <row r="681" spans="2:13" s="280" customFormat="1" ht="20.399999999999999" outlineLevel="4">
      <c r="B681" s="367" t="s">
        <v>1293</v>
      </c>
      <c r="C681" s="368" t="s">
        <v>1314</v>
      </c>
      <c r="D681" s="369" t="s">
        <v>1315</v>
      </c>
      <c r="E681" s="368" t="s">
        <v>135</v>
      </c>
      <c r="F681" s="370"/>
      <c r="G681" s="279">
        <v>188.52</v>
      </c>
      <c r="I681" s="281">
        <v>17.496108571428572</v>
      </c>
      <c r="J681" s="281"/>
      <c r="K681" s="281">
        <v>15</v>
      </c>
      <c r="L681" s="282">
        <f t="shared" si="39"/>
        <v>32.496108571428572</v>
      </c>
      <c r="M681" s="283">
        <f t="shared" si="38"/>
        <v>6126.1663878857144</v>
      </c>
    </row>
    <row r="682" spans="2:13" s="280" customFormat="1" ht="20.399999999999999" outlineLevel="4">
      <c r="B682" s="367" t="s">
        <v>1293</v>
      </c>
      <c r="C682" s="368" t="s">
        <v>1316</v>
      </c>
      <c r="D682" s="369" t="s">
        <v>1317</v>
      </c>
      <c r="E682" s="368" t="s">
        <v>135</v>
      </c>
      <c r="F682" s="370"/>
      <c r="G682" s="279">
        <v>250.19</v>
      </c>
      <c r="I682" s="281">
        <v>8.8711085714285716</v>
      </c>
      <c r="J682" s="281"/>
      <c r="K682" s="281">
        <v>15</v>
      </c>
      <c r="L682" s="282">
        <f t="shared" si="39"/>
        <v>23.871108571428572</v>
      </c>
      <c r="M682" s="283">
        <f t="shared" si="38"/>
        <v>5972.3126534857147</v>
      </c>
    </row>
    <row r="683" spans="2:13" s="280" customFormat="1" ht="20.399999999999999" outlineLevel="4">
      <c r="B683" s="367" t="s">
        <v>1293</v>
      </c>
      <c r="C683" s="368" t="s">
        <v>1318</v>
      </c>
      <c r="D683" s="369" t="s">
        <v>1319</v>
      </c>
      <c r="E683" s="368" t="s">
        <v>135</v>
      </c>
      <c r="F683" s="370"/>
      <c r="G683" s="279">
        <v>1048.51</v>
      </c>
      <c r="I683" s="281">
        <v>8.8711085714285716</v>
      </c>
      <c r="J683" s="281"/>
      <c r="K683" s="281">
        <v>15</v>
      </c>
      <c r="L683" s="282">
        <f t="shared" si="39"/>
        <v>23.871108571428572</v>
      </c>
      <c r="M683" s="283">
        <f t="shared" si="38"/>
        <v>25029.09604822857</v>
      </c>
    </row>
    <row r="684" spans="2:13" s="280" customFormat="1" ht="20.399999999999999" outlineLevel="4">
      <c r="B684" s="367" t="s">
        <v>1293</v>
      </c>
      <c r="C684" s="368" t="s">
        <v>1318</v>
      </c>
      <c r="D684" s="369" t="s">
        <v>1320</v>
      </c>
      <c r="E684" s="368" t="s">
        <v>135</v>
      </c>
      <c r="F684" s="370"/>
      <c r="G684" s="279">
        <v>25.5</v>
      </c>
      <c r="I684" s="281">
        <v>8.8711085714285716</v>
      </c>
      <c r="J684" s="281"/>
      <c r="K684" s="281">
        <v>15</v>
      </c>
      <c r="L684" s="282">
        <f t="shared" si="39"/>
        <v>23.871108571428572</v>
      </c>
      <c r="M684" s="283">
        <f t="shared" si="38"/>
        <v>608.71326857142856</v>
      </c>
    </row>
    <row r="685" spans="2:13" s="118" customFormat="1" ht="10.199999999999999" outlineLevel="3">
      <c r="B685" s="116"/>
      <c r="C685" s="158" t="s">
        <v>1321</v>
      </c>
      <c r="D685" s="158" t="s">
        <v>1322</v>
      </c>
      <c r="F685" s="266"/>
      <c r="G685" s="116"/>
      <c r="I685" s="120"/>
      <c r="J685" s="120"/>
      <c r="K685" s="120"/>
      <c r="L685" s="133"/>
      <c r="M685" s="267">
        <f>SUM(M686:M687)</f>
        <v>19824.419184000002</v>
      </c>
    </row>
    <row r="686" spans="2:13" s="118" customFormat="1" ht="10.199999999999999" outlineLevel="4">
      <c r="B686" s="116" t="s">
        <v>1323</v>
      </c>
      <c r="C686" s="129" t="s">
        <v>1324</v>
      </c>
      <c r="D686" s="129" t="s">
        <v>1325</v>
      </c>
      <c r="E686" s="129" t="s">
        <v>346</v>
      </c>
      <c r="F686" s="130"/>
      <c r="G686" s="131">
        <v>136.83000000000001</v>
      </c>
      <c r="I686" s="120"/>
      <c r="J686" s="120"/>
      <c r="K686" s="120">
        <v>115.2848</v>
      </c>
      <c r="L686" s="270">
        <f>SUM(H686:K686)</f>
        <v>115.2848</v>
      </c>
      <c r="M686" s="134">
        <f>+L686*G686</f>
        <v>15774.419184000002</v>
      </c>
    </row>
    <row r="687" spans="2:13" s="118" customFormat="1" ht="10.199999999999999" outlineLevel="4">
      <c r="B687" s="116" t="s">
        <v>1323</v>
      </c>
      <c r="C687" s="129" t="s">
        <v>1326</v>
      </c>
      <c r="D687" s="129" t="s">
        <v>1325</v>
      </c>
      <c r="E687" s="129" t="s">
        <v>500</v>
      </c>
      <c r="F687" s="130"/>
      <c r="G687" s="131">
        <v>90</v>
      </c>
      <c r="I687" s="120"/>
      <c r="J687" s="120"/>
      <c r="K687" s="120">
        <v>45</v>
      </c>
      <c r="L687" s="270">
        <f>SUM(H687:K687)</f>
        <v>45</v>
      </c>
      <c r="M687" s="134">
        <f>+L687*G687</f>
        <v>4050</v>
      </c>
    </row>
    <row r="688" spans="2:13" s="118" customFormat="1" ht="10.199999999999999" outlineLevel="3">
      <c r="B688" s="116"/>
      <c r="C688" s="158" t="s">
        <v>1327</v>
      </c>
      <c r="D688" s="158" t="s">
        <v>1328</v>
      </c>
      <c r="F688" s="266"/>
      <c r="G688" s="116"/>
      <c r="I688" s="120"/>
      <c r="J688" s="120"/>
      <c r="K688" s="120"/>
      <c r="L688" s="133"/>
      <c r="M688" s="267">
        <f>SUM(M689:M697)</f>
        <v>603698.79</v>
      </c>
    </row>
    <row r="689" spans="1:14" s="149" customFormat="1" ht="10.199999999999999" outlineLevel="4">
      <c r="A689" s="149" t="s">
        <v>1329</v>
      </c>
      <c r="B689" s="144" t="s">
        <v>1330</v>
      </c>
      <c r="C689" s="145" t="s">
        <v>1331</v>
      </c>
      <c r="D689" s="375" t="s">
        <v>1332</v>
      </c>
      <c r="E689" s="145" t="s">
        <v>346</v>
      </c>
      <c r="F689" s="147"/>
      <c r="G689" s="148">
        <v>1630.6199999999997</v>
      </c>
      <c r="I689" s="150">
        <v>128.38649102795259</v>
      </c>
      <c r="J689" s="150"/>
      <c r="K689" s="150"/>
      <c r="L689" s="371">
        <f>SUM(H689:K689)</f>
        <v>128.38649102795259</v>
      </c>
      <c r="M689" s="152">
        <f t="shared" ref="M689:M697" si="40">+L689*G689</f>
        <v>209349.58000000002</v>
      </c>
    </row>
    <row r="690" spans="1:14" s="149" customFormat="1" ht="10.199999999999999" outlineLevel="4">
      <c r="A690" s="149" t="s">
        <v>1329</v>
      </c>
      <c r="B690" s="144" t="s">
        <v>1330</v>
      </c>
      <c r="C690" s="145"/>
      <c r="D690" s="375" t="s">
        <v>1333</v>
      </c>
      <c r="E690" s="145"/>
      <c r="F690" s="147"/>
      <c r="G690" s="148">
        <v>1</v>
      </c>
      <c r="I690" s="150">
        <v>3980.34</v>
      </c>
      <c r="J690" s="150"/>
      <c r="K690" s="150"/>
      <c r="L690" s="371">
        <f t="shared" ref="L690:L691" si="41">SUM(H690:K690)</f>
        <v>3980.34</v>
      </c>
      <c r="M690" s="152">
        <f t="shared" si="40"/>
        <v>3980.34</v>
      </c>
    </row>
    <row r="691" spans="1:14" s="149" customFormat="1" ht="10.199999999999999" outlineLevel="4">
      <c r="A691" s="149" t="s">
        <v>1329</v>
      </c>
      <c r="B691" s="144" t="s">
        <v>1330</v>
      </c>
      <c r="C691" s="145"/>
      <c r="D691" s="375" t="s">
        <v>1334</v>
      </c>
      <c r="E691" s="145"/>
      <c r="F691" s="147"/>
      <c r="G691" s="148">
        <v>305.23499999999996</v>
      </c>
      <c r="I691" s="150">
        <v>44</v>
      </c>
      <c r="J691" s="150"/>
      <c r="K691" s="150"/>
      <c r="L691" s="371">
        <f t="shared" si="41"/>
        <v>44</v>
      </c>
      <c r="M691" s="152">
        <f t="shared" si="40"/>
        <v>13430.339999999998</v>
      </c>
    </row>
    <row r="692" spans="1:14" s="168" customFormat="1" ht="10.199999999999999" outlineLevel="4">
      <c r="A692" s="168" t="s">
        <v>1329</v>
      </c>
      <c r="B692" s="166" t="s">
        <v>1330</v>
      </c>
      <c r="C692" s="117" t="s">
        <v>1335</v>
      </c>
      <c r="D692" s="350" t="s">
        <v>1336</v>
      </c>
      <c r="E692" s="117" t="s">
        <v>251</v>
      </c>
      <c r="F692" s="142"/>
      <c r="G692" s="167"/>
      <c r="I692" s="169"/>
      <c r="J692" s="169"/>
      <c r="K692" s="169"/>
      <c r="L692" s="273">
        <f>SUM(H692:K692)</f>
        <v>0</v>
      </c>
      <c r="M692" s="143">
        <f t="shared" si="40"/>
        <v>0</v>
      </c>
    </row>
    <row r="693" spans="1:14" s="168" customFormat="1" ht="10.199999999999999" outlineLevel="4">
      <c r="A693" s="168" t="s">
        <v>1329</v>
      </c>
      <c r="B693" s="166" t="s">
        <v>1330</v>
      </c>
      <c r="C693" s="117" t="s">
        <v>1337</v>
      </c>
      <c r="D693" s="350" t="s">
        <v>1338</v>
      </c>
      <c r="E693" s="117" t="s">
        <v>251</v>
      </c>
      <c r="F693" s="142"/>
      <c r="G693" s="167"/>
      <c r="I693" s="169"/>
      <c r="J693" s="169"/>
      <c r="K693" s="169"/>
      <c r="L693" s="273">
        <f>SUM(H693:K693)</f>
        <v>0</v>
      </c>
      <c r="M693" s="143">
        <f t="shared" si="40"/>
        <v>0</v>
      </c>
    </row>
    <row r="694" spans="1:14" s="149" customFormat="1" ht="20.399999999999999" outlineLevel="4">
      <c r="A694" s="149" t="s">
        <v>1329</v>
      </c>
      <c r="B694" s="144" t="s">
        <v>1330</v>
      </c>
      <c r="C694" s="145" t="s">
        <v>1339</v>
      </c>
      <c r="D694" s="376" t="s">
        <v>1340</v>
      </c>
      <c r="E694" s="145" t="s">
        <v>346</v>
      </c>
      <c r="F694" s="147"/>
      <c r="G694" s="148">
        <v>1</v>
      </c>
      <c r="I694" s="150"/>
      <c r="J694" s="150"/>
      <c r="K694" s="150">
        <v>265838.53000000003</v>
      </c>
      <c r="L694" s="371">
        <f t="shared" ref="L694:L695" si="42">SUM(H694:K694)</f>
        <v>265838.53000000003</v>
      </c>
      <c r="M694" s="152">
        <f t="shared" si="40"/>
        <v>265838.53000000003</v>
      </c>
    </row>
    <row r="695" spans="1:14" s="149" customFormat="1" ht="10.199999999999999" outlineLevel="4">
      <c r="A695" s="149" t="s">
        <v>1329</v>
      </c>
      <c r="B695" s="144" t="s">
        <v>1330</v>
      </c>
      <c r="C695" s="145" t="s">
        <v>1341</v>
      </c>
      <c r="D695" s="375" t="s">
        <v>1342</v>
      </c>
      <c r="E695" s="145" t="s">
        <v>346</v>
      </c>
      <c r="F695" s="147"/>
      <c r="G695" s="148">
        <v>1</v>
      </c>
      <c r="I695" s="150"/>
      <c r="J695" s="150"/>
      <c r="K695" s="150">
        <f>54500+21600</f>
        <v>76100</v>
      </c>
      <c r="L695" s="371">
        <f t="shared" si="42"/>
        <v>76100</v>
      </c>
      <c r="M695" s="152">
        <f t="shared" si="40"/>
        <v>76100</v>
      </c>
    </row>
    <row r="696" spans="1:14" s="149" customFormat="1" ht="10.199999999999999" outlineLevel="4">
      <c r="A696" s="149" t="s">
        <v>1343</v>
      </c>
      <c r="B696" s="144" t="s">
        <v>1330</v>
      </c>
      <c r="C696" s="145" t="s">
        <v>1344</v>
      </c>
      <c r="D696" s="375" t="s">
        <v>1345</v>
      </c>
      <c r="E696" s="145" t="s">
        <v>1025</v>
      </c>
      <c r="F696" s="147"/>
      <c r="G696" s="148">
        <v>1</v>
      </c>
      <c r="H696" s="371"/>
      <c r="I696" s="150"/>
      <c r="J696" s="150"/>
      <c r="K696" s="150">
        <f>30000+5000</f>
        <v>35000</v>
      </c>
      <c r="L696" s="371">
        <f>SUM(H696:K696)</f>
        <v>35000</v>
      </c>
      <c r="M696" s="152">
        <f t="shared" si="40"/>
        <v>35000</v>
      </c>
      <c r="N696" s="149" t="s">
        <v>1346</v>
      </c>
    </row>
    <row r="697" spans="1:14" s="168" customFormat="1" ht="10.199999999999999" outlineLevel="4">
      <c r="B697" s="166" t="s">
        <v>948</v>
      </c>
      <c r="C697" s="117" t="s">
        <v>1347</v>
      </c>
      <c r="D697" s="354" t="s">
        <v>1348</v>
      </c>
      <c r="E697" s="117" t="s">
        <v>346</v>
      </c>
      <c r="F697" s="142"/>
      <c r="G697" s="167"/>
      <c r="I697" s="169"/>
      <c r="J697" s="169"/>
      <c r="K697" s="169"/>
      <c r="L697" s="273">
        <f>SUM(H697:K697)</f>
        <v>0</v>
      </c>
      <c r="M697" s="143">
        <f t="shared" si="40"/>
        <v>0</v>
      </c>
    </row>
    <row r="698" spans="1:14" s="118" customFormat="1" ht="10.199999999999999" outlineLevel="3">
      <c r="B698" s="116"/>
      <c r="C698" s="129"/>
      <c r="D698" s="129"/>
      <c r="E698" s="129"/>
      <c r="F698" s="130"/>
      <c r="G698" s="131"/>
      <c r="I698" s="120"/>
      <c r="J698" s="120"/>
      <c r="K698" s="120"/>
      <c r="L698" s="270"/>
      <c r="M698" s="134"/>
    </row>
    <row r="699" spans="1:14" s="118" customFormat="1" ht="10.199999999999999" outlineLevel="2">
      <c r="B699" s="116"/>
      <c r="C699" s="126" t="s">
        <v>1349</v>
      </c>
      <c r="D699" s="126" t="s">
        <v>1350</v>
      </c>
      <c r="F699" s="161"/>
      <c r="G699" s="116"/>
      <c r="I699" s="120"/>
      <c r="J699" s="120"/>
      <c r="K699" s="120"/>
      <c r="L699" s="133"/>
      <c r="M699" s="264">
        <f>+M700+M714+M731+M737+M740</f>
        <v>1330866.99</v>
      </c>
    </row>
    <row r="700" spans="1:14" s="118" customFormat="1" ht="10.199999999999999" outlineLevel="3">
      <c r="B700" s="116"/>
      <c r="C700" s="158" t="s">
        <v>1351</v>
      </c>
      <c r="D700" s="158" t="s">
        <v>1352</v>
      </c>
      <c r="F700" s="266"/>
      <c r="G700" s="116"/>
      <c r="I700" s="120"/>
      <c r="J700" s="120"/>
      <c r="K700" s="120"/>
      <c r="L700" s="133"/>
      <c r="M700" s="267">
        <f>SUM(M701:M713)</f>
        <v>390000</v>
      </c>
    </row>
    <row r="701" spans="1:14" s="149" customFormat="1" ht="10.199999999999999" outlineLevel="4">
      <c r="A701" s="149" t="s">
        <v>1353</v>
      </c>
      <c r="B701" s="144" t="s">
        <v>1354</v>
      </c>
      <c r="C701" s="145" t="s">
        <v>1355</v>
      </c>
      <c r="D701" s="375" t="s">
        <v>1356</v>
      </c>
      <c r="E701" s="145" t="s">
        <v>84</v>
      </c>
      <c r="F701" s="147"/>
      <c r="G701" s="148">
        <v>1</v>
      </c>
      <c r="I701" s="150"/>
      <c r="J701" s="150"/>
      <c r="K701" s="150">
        <v>390000</v>
      </c>
      <c r="L701" s="371">
        <f>+SUM(H701:K701)</f>
        <v>390000</v>
      </c>
      <c r="M701" s="152">
        <f t="shared" ref="M701:M713" si="43">+L701*G701</f>
        <v>390000</v>
      </c>
    </row>
    <row r="702" spans="1:14" s="118" customFormat="1" ht="10.199999999999999" outlineLevel="4">
      <c r="B702" s="116" t="s">
        <v>1354</v>
      </c>
      <c r="C702" s="129" t="s">
        <v>1357</v>
      </c>
      <c r="D702" s="218" t="s">
        <v>1356</v>
      </c>
      <c r="E702" s="129" t="s">
        <v>84</v>
      </c>
      <c r="F702" s="130"/>
      <c r="G702" s="131"/>
      <c r="I702" s="120"/>
      <c r="J702" s="120"/>
      <c r="K702" s="120"/>
      <c r="L702" s="270"/>
      <c r="M702" s="134">
        <f t="shared" si="43"/>
        <v>0</v>
      </c>
    </row>
    <row r="703" spans="1:14" s="118" customFormat="1" ht="10.199999999999999" outlineLevel="4">
      <c r="B703" s="116" t="s">
        <v>1354</v>
      </c>
      <c r="C703" s="129" t="s">
        <v>1358</v>
      </c>
      <c r="D703" s="218" t="s">
        <v>1356</v>
      </c>
      <c r="E703" s="129" t="s">
        <v>84</v>
      </c>
      <c r="F703" s="130"/>
      <c r="G703" s="131"/>
      <c r="I703" s="120"/>
      <c r="J703" s="120"/>
      <c r="K703" s="120"/>
      <c r="L703" s="270"/>
      <c r="M703" s="134">
        <f t="shared" si="43"/>
        <v>0</v>
      </c>
    </row>
    <row r="704" spans="1:14" s="118" customFormat="1" ht="10.199999999999999" outlineLevel="4">
      <c r="B704" s="116" t="s">
        <v>1354</v>
      </c>
      <c r="C704" s="129" t="s">
        <v>1359</v>
      </c>
      <c r="D704" s="218" t="s">
        <v>1356</v>
      </c>
      <c r="E704" s="129" t="s">
        <v>84</v>
      </c>
      <c r="F704" s="130"/>
      <c r="G704" s="131"/>
      <c r="I704" s="120"/>
      <c r="J704" s="120"/>
      <c r="K704" s="120"/>
      <c r="L704" s="270"/>
      <c r="M704" s="134">
        <f t="shared" si="43"/>
        <v>0</v>
      </c>
    </row>
    <row r="705" spans="1:13" s="118" customFormat="1" ht="10.199999999999999" outlineLevel="4">
      <c r="B705" s="116" t="s">
        <v>1354</v>
      </c>
      <c r="C705" s="129" t="s">
        <v>1360</v>
      </c>
      <c r="D705" s="218" t="s">
        <v>1356</v>
      </c>
      <c r="E705" s="129" t="s">
        <v>84</v>
      </c>
      <c r="F705" s="130"/>
      <c r="G705" s="131"/>
      <c r="I705" s="120"/>
      <c r="J705" s="120"/>
      <c r="K705" s="120"/>
      <c r="L705" s="270"/>
      <c r="M705" s="134">
        <f t="shared" si="43"/>
        <v>0</v>
      </c>
    </row>
    <row r="706" spans="1:13" s="118" customFormat="1" ht="10.199999999999999" outlineLevel="4">
      <c r="B706" s="116" t="s">
        <v>1354</v>
      </c>
      <c r="C706" s="129" t="s">
        <v>1361</v>
      </c>
      <c r="D706" s="218" t="s">
        <v>1356</v>
      </c>
      <c r="E706" s="129" t="s">
        <v>84</v>
      </c>
      <c r="F706" s="130"/>
      <c r="G706" s="131"/>
      <c r="I706" s="120"/>
      <c r="J706" s="120"/>
      <c r="K706" s="120"/>
      <c r="L706" s="270"/>
      <c r="M706" s="134">
        <f t="shared" si="43"/>
        <v>0</v>
      </c>
    </row>
    <row r="707" spans="1:13" s="118" customFormat="1" ht="10.199999999999999" outlineLevel="4">
      <c r="B707" s="116" t="s">
        <v>1354</v>
      </c>
      <c r="C707" s="129" t="s">
        <v>1362</v>
      </c>
      <c r="D707" s="218" t="s">
        <v>1356</v>
      </c>
      <c r="E707" s="129" t="s">
        <v>84</v>
      </c>
      <c r="F707" s="130"/>
      <c r="G707" s="131"/>
      <c r="I707" s="120"/>
      <c r="J707" s="120"/>
      <c r="K707" s="120"/>
      <c r="L707" s="270"/>
      <c r="M707" s="134">
        <f t="shared" si="43"/>
        <v>0</v>
      </c>
    </row>
    <row r="708" spans="1:13" s="118" customFormat="1" ht="10.199999999999999" outlineLevel="4">
      <c r="B708" s="116" t="s">
        <v>1354</v>
      </c>
      <c r="C708" s="129" t="s">
        <v>1363</v>
      </c>
      <c r="D708" s="218" t="s">
        <v>1364</v>
      </c>
      <c r="E708" s="129" t="s">
        <v>84</v>
      </c>
      <c r="F708" s="130"/>
      <c r="G708" s="131"/>
      <c r="I708" s="120"/>
      <c r="J708" s="120"/>
      <c r="K708" s="120"/>
      <c r="L708" s="270"/>
      <c r="M708" s="134">
        <f t="shared" si="43"/>
        <v>0</v>
      </c>
    </row>
    <row r="709" spans="1:13" s="118" customFormat="1" ht="10.199999999999999" outlineLevel="4">
      <c r="B709" s="116" t="s">
        <v>1354</v>
      </c>
      <c r="C709" s="129" t="s">
        <v>1365</v>
      </c>
      <c r="D709" s="218" t="s">
        <v>1364</v>
      </c>
      <c r="E709" s="129" t="s">
        <v>84</v>
      </c>
      <c r="F709" s="130"/>
      <c r="G709" s="131"/>
      <c r="I709" s="120"/>
      <c r="J709" s="120"/>
      <c r="K709" s="120"/>
      <c r="L709" s="270"/>
      <c r="M709" s="134">
        <f t="shared" si="43"/>
        <v>0</v>
      </c>
    </row>
    <row r="710" spans="1:13" s="118" customFormat="1" ht="10.199999999999999" outlineLevel="4">
      <c r="B710" s="116" t="s">
        <v>1354</v>
      </c>
      <c r="C710" s="129" t="s">
        <v>1366</v>
      </c>
      <c r="D710" s="218" t="s">
        <v>1364</v>
      </c>
      <c r="E710" s="129" t="s">
        <v>84</v>
      </c>
      <c r="F710" s="130"/>
      <c r="G710" s="131"/>
      <c r="I710" s="120"/>
      <c r="J710" s="120"/>
      <c r="K710" s="120"/>
      <c r="L710" s="270"/>
      <c r="M710" s="134">
        <f t="shared" si="43"/>
        <v>0</v>
      </c>
    </row>
    <row r="711" spans="1:13" s="118" customFormat="1" ht="10.199999999999999" outlineLevel="4">
      <c r="B711" s="116" t="s">
        <v>1354</v>
      </c>
      <c r="C711" s="129" t="s">
        <v>1367</v>
      </c>
      <c r="D711" s="218" t="s">
        <v>1364</v>
      </c>
      <c r="E711" s="129" t="s">
        <v>84</v>
      </c>
      <c r="F711" s="130"/>
      <c r="G711" s="131"/>
      <c r="I711" s="120"/>
      <c r="J711" s="120"/>
      <c r="K711" s="120"/>
      <c r="L711" s="270"/>
      <c r="M711" s="134">
        <f t="shared" si="43"/>
        <v>0</v>
      </c>
    </row>
    <row r="712" spans="1:13" s="118" customFormat="1" ht="10.199999999999999" outlineLevel="4">
      <c r="B712" s="116" t="s">
        <v>1354</v>
      </c>
      <c r="C712" s="129" t="s">
        <v>1368</v>
      </c>
      <c r="D712" s="218" t="s">
        <v>1364</v>
      </c>
      <c r="E712" s="129" t="s">
        <v>84</v>
      </c>
      <c r="F712" s="130"/>
      <c r="G712" s="131"/>
      <c r="I712" s="120"/>
      <c r="J712" s="120"/>
      <c r="K712" s="120"/>
      <c r="L712" s="270"/>
      <c r="M712" s="134">
        <f t="shared" si="43"/>
        <v>0</v>
      </c>
    </row>
    <row r="713" spans="1:13" s="118" customFormat="1" ht="10.199999999999999" outlineLevel="4">
      <c r="B713" s="116" t="s">
        <v>1354</v>
      </c>
      <c r="C713" s="129" t="s">
        <v>1369</v>
      </c>
      <c r="D713" s="218" t="s">
        <v>1364</v>
      </c>
      <c r="E713" s="129" t="s">
        <v>84</v>
      </c>
      <c r="F713" s="130"/>
      <c r="G713" s="131"/>
      <c r="I713" s="120"/>
      <c r="J713" s="120"/>
      <c r="K713" s="120"/>
      <c r="L713" s="270"/>
      <c r="M713" s="134">
        <f t="shared" si="43"/>
        <v>0</v>
      </c>
    </row>
    <row r="714" spans="1:13" s="118" customFormat="1" ht="10.199999999999999" outlineLevel="3">
      <c r="B714" s="116"/>
      <c r="C714" s="158" t="s">
        <v>1370</v>
      </c>
      <c r="D714" s="158" t="s">
        <v>1371</v>
      </c>
      <c r="F714" s="266"/>
      <c r="G714" s="116"/>
      <c r="I714" s="120"/>
      <c r="J714" s="120"/>
      <c r="K714" s="120"/>
      <c r="L714" s="133"/>
      <c r="M714" s="267">
        <f>SUM(M715:M730)</f>
        <v>711899.73</v>
      </c>
    </row>
    <row r="715" spans="1:13" s="149" customFormat="1" ht="10.199999999999999" outlineLevel="4">
      <c r="A715" s="149" t="s">
        <v>1372</v>
      </c>
      <c r="B715" s="144" t="s">
        <v>1354</v>
      </c>
      <c r="C715" s="145" t="s">
        <v>1373</v>
      </c>
      <c r="D715" s="172" t="s">
        <v>1374</v>
      </c>
      <c r="E715" s="145" t="s">
        <v>362</v>
      </c>
      <c r="F715" s="147"/>
      <c r="G715" s="148">
        <v>1</v>
      </c>
      <c r="I715" s="150"/>
      <c r="J715" s="150"/>
      <c r="K715" s="150">
        <v>711899.73</v>
      </c>
      <c r="L715" s="371">
        <f>+SUM(H715:K715)</f>
        <v>711899.73</v>
      </c>
      <c r="M715" s="152">
        <f t="shared" ref="M715:M730" si="44">+L715*G715</f>
        <v>711899.73</v>
      </c>
    </row>
    <row r="716" spans="1:13" s="168" customFormat="1" ht="10.199999999999999" outlineLevel="4">
      <c r="B716" s="166" t="s">
        <v>1354</v>
      </c>
      <c r="C716" s="117" t="s">
        <v>1375</v>
      </c>
      <c r="D716" s="220" t="s">
        <v>1376</v>
      </c>
      <c r="E716" s="117" t="s">
        <v>251</v>
      </c>
      <c r="F716" s="142"/>
      <c r="G716" s="167"/>
      <c r="I716" s="169"/>
      <c r="J716" s="169"/>
      <c r="K716" s="169"/>
      <c r="L716" s="273"/>
      <c r="M716" s="143">
        <f t="shared" si="44"/>
        <v>0</v>
      </c>
    </row>
    <row r="717" spans="1:13" s="168" customFormat="1" ht="10.199999999999999" outlineLevel="4">
      <c r="B717" s="166" t="s">
        <v>1354</v>
      </c>
      <c r="C717" s="117" t="s">
        <v>1377</v>
      </c>
      <c r="D717" s="220" t="s">
        <v>1378</v>
      </c>
      <c r="E717" s="117" t="s">
        <v>251</v>
      </c>
      <c r="F717" s="142"/>
      <c r="G717" s="167"/>
      <c r="I717" s="169"/>
      <c r="J717" s="169"/>
      <c r="K717" s="169"/>
      <c r="L717" s="273"/>
      <c r="M717" s="143">
        <f t="shared" si="44"/>
        <v>0</v>
      </c>
    </row>
    <row r="718" spans="1:13" s="168" customFormat="1" ht="10.199999999999999" outlineLevel="4">
      <c r="B718" s="166" t="s">
        <v>1354</v>
      </c>
      <c r="C718" s="117" t="s">
        <v>1379</v>
      </c>
      <c r="D718" s="220" t="s">
        <v>1380</v>
      </c>
      <c r="E718" s="117" t="s">
        <v>251</v>
      </c>
      <c r="F718" s="142"/>
      <c r="G718" s="167"/>
      <c r="I718" s="169"/>
      <c r="J718" s="169"/>
      <c r="K718" s="169"/>
      <c r="L718" s="273"/>
      <c r="M718" s="143">
        <f t="shared" si="44"/>
        <v>0</v>
      </c>
    </row>
    <row r="719" spans="1:13" s="168" customFormat="1" ht="10.199999999999999" outlineLevel="4">
      <c r="B719" s="166" t="s">
        <v>1354</v>
      </c>
      <c r="C719" s="117" t="s">
        <v>1381</v>
      </c>
      <c r="D719" s="220" t="s">
        <v>1382</v>
      </c>
      <c r="E719" s="117" t="s">
        <v>251</v>
      </c>
      <c r="F719" s="142"/>
      <c r="G719" s="167"/>
      <c r="I719" s="169"/>
      <c r="J719" s="169"/>
      <c r="K719" s="169"/>
      <c r="L719" s="273"/>
      <c r="M719" s="143">
        <f t="shared" si="44"/>
        <v>0</v>
      </c>
    </row>
    <row r="720" spans="1:13" s="168" customFormat="1" ht="10.199999999999999" outlineLevel="4">
      <c r="B720" s="166" t="s">
        <v>1354</v>
      </c>
      <c r="C720" s="117" t="s">
        <v>1383</v>
      </c>
      <c r="D720" s="220" t="s">
        <v>1376</v>
      </c>
      <c r="E720" s="117" t="s">
        <v>251</v>
      </c>
      <c r="F720" s="142"/>
      <c r="G720" s="167"/>
      <c r="I720" s="169"/>
      <c r="J720" s="169"/>
      <c r="K720" s="169"/>
      <c r="L720" s="273"/>
      <c r="M720" s="143">
        <f t="shared" si="44"/>
        <v>0</v>
      </c>
    </row>
    <row r="721" spans="1:13" s="168" customFormat="1" ht="10.199999999999999" outlineLevel="4">
      <c r="B721" s="166" t="s">
        <v>1354</v>
      </c>
      <c r="C721" s="117" t="s">
        <v>1384</v>
      </c>
      <c r="D721" s="220" t="s">
        <v>1378</v>
      </c>
      <c r="E721" s="117" t="s">
        <v>251</v>
      </c>
      <c r="F721" s="142"/>
      <c r="G721" s="167"/>
      <c r="I721" s="169"/>
      <c r="J721" s="169"/>
      <c r="K721" s="169"/>
      <c r="L721" s="273"/>
      <c r="M721" s="143">
        <f t="shared" si="44"/>
        <v>0</v>
      </c>
    </row>
    <row r="722" spans="1:13" s="168" customFormat="1" ht="10.199999999999999" outlineLevel="4">
      <c r="B722" s="166" t="s">
        <v>1354</v>
      </c>
      <c r="C722" s="117" t="s">
        <v>1385</v>
      </c>
      <c r="D722" s="220" t="s">
        <v>1376</v>
      </c>
      <c r="E722" s="117" t="s">
        <v>251</v>
      </c>
      <c r="F722" s="142"/>
      <c r="G722" s="167"/>
      <c r="I722" s="169"/>
      <c r="J722" s="169"/>
      <c r="K722" s="169"/>
      <c r="L722" s="273"/>
      <c r="M722" s="143">
        <f t="shared" si="44"/>
        <v>0</v>
      </c>
    </row>
    <row r="723" spans="1:13" s="168" customFormat="1" ht="10.199999999999999" outlineLevel="4">
      <c r="B723" s="166" t="s">
        <v>1354</v>
      </c>
      <c r="C723" s="117" t="s">
        <v>1386</v>
      </c>
      <c r="D723" s="220" t="s">
        <v>1378</v>
      </c>
      <c r="E723" s="117" t="s">
        <v>251</v>
      </c>
      <c r="F723" s="142"/>
      <c r="G723" s="167"/>
      <c r="I723" s="169"/>
      <c r="J723" s="169"/>
      <c r="K723" s="169"/>
      <c r="L723" s="273"/>
      <c r="M723" s="143">
        <f t="shared" si="44"/>
        <v>0</v>
      </c>
    </row>
    <row r="724" spans="1:13" s="168" customFormat="1" ht="10.199999999999999" outlineLevel="4">
      <c r="B724" s="166" t="s">
        <v>1354</v>
      </c>
      <c r="C724" s="117" t="s">
        <v>1387</v>
      </c>
      <c r="D724" s="220" t="s">
        <v>1376</v>
      </c>
      <c r="E724" s="117" t="s">
        <v>251</v>
      </c>
      <c r="F724" s="142"/>
      <c r="G724" s="167"/>
      <c r="I724" s="169"/>
      <c r="J724" s="169"/>
      <c r="K724" s="169"/>
      <c r="L724" s="273"/>
      <c r="M724" s="143">
        <f t="shared" si="44"/>
        <v>0</v>
      </c>
    </row>
    <row r="725" spans="1:13" s="168" customFormat="1" ht="10.199999999999999" outlineLevel="4">
      <c r="B725" s="166" t="s">
        <v>1354</v>
      </c>
      <c r="C725" s="117" t="s">
        <v>1388</v>
      </c>
      <c r="D725" s="220" t="s">
        <v>1378</v>
      </c>
      <c r="E725" s="117" t="s">
        <v>251</v>
      </c>
      <c r="F725" s="142"/>
      <c r="G725" s="167"/>
      <c r="I725" s="169"/>
      <c r="J725" s="169"/>
      <c r="K725" s="169"/>
      <c r="L725" s="273"/>
      <c r="M725" s="143">
        <f t="shared" si="44"/>
        <v>0</v>
      </c>
    </row>
    <row r="726" spans="1:13" s="168" customFormat="1" ht="10.199999999999999" outlineLevel="4">
      <c r="B726" s="166" t="s">
        <v>1354</v>
      </c>
      <c r="C726" s="117" t="s">
        <v>1389</v>
      </c>
      <c r="D726" s="220" t="s">
        <v>1390</v>
      </c>
      <c r="E726" s="117" t="s">
        <v>251</v>
      </c>
      <c r="F726" s="142"/>
      <c r="G726" s="167"/>
      <c r="I726" s="169"/>
      <c r="J726" s="169"/>
      <c r="K726" s="169"/>
      <c r="L726" s="273"/>
      <c r="M726" s="143">
        <f t="shared" si="44"/>
        <v>0</v>
      </c>
    </row>
    <row r="727" spans="1:13" s="168" customFormat="1" ht="10.199999999999999" outlineLevel="4">
      <c r="B727" s="166" t="s">
        <v>1354</v>
      </c>
      <c r="C727" s="117" t="s">
        <v>1391</v>
      </c>
      <c r="D727" s="220" t="s">
        <v>1378</v>
      </c>
      <c r="E727" s="117" t="s">
        <v>251</v>
      </c>
      <c r="F727" s="142"/>
      <c r="G727" s="167"/>
      <c r="I727" s="169"/>
      <c r="J727" s="169"/>
      <c r="K727" s="169"/>
      <c r="L727" s="273"/>
      <c r="M727" s="143">
        <f t="shared" si="44"/>
        <v>0</v>
      </c>
    </row>
    <row r="728" spans="1:13" s="168" customFormat="1" ht="10.199999999999999" outlineLevel="4">
      <c r="B728" s="166" t="s">
        <v>1354</v>
      </c>
      <c r="C728" s="117" t="s">
        <v>1392</v>
      </c>
      <c r="D728" s="220" t="s">
        <v>1393</v>
      </c>
      <c r="E728" s="117" t="s">
        <v>251</v>
      </c>
      <c r="F728" s="142"/>
      <c r="G728" s="167"/>
      <c r="I728" s="169"/>
      <c r="J728" s="169"/>
      <c r="K728" s="169"/>
      <c r="L728" s="273"/>
      <c r="M728" s="143">
        <f t="shared" si="44"/>
        <v>0</v>
      </c>
    </row>
    <row r="729" spans="1:13" s="168" customFormat="1" ht="10.199999999999999" outlineLevel="4">
      <c r="B729" s="166" t="s">
        <v>1354</v>
      </c>
      <c r="C729" s="117" t="s">
        <v>1394</v>
      </c>
      <c r="D729" s="220" t="s">
        <v>1378</v>
      </c>
      <c r="E729" s="117" t="s">
        <v>251</v>
      </c>
      <c r="F729" s="142"/>
      <c r="G729" s="167"/>
      <c r="I729" s="169"/>
      <c r="J729" s="169"/>
      <c r="K729" s="169"/>
      <c r="L729" s="273"/>
      <c r="M729" s="143">
        <f t="shared" si="44"/>
        <v>0</v>
      </c>
    </row>
    <row r="730" spans="1:13" s="168" customFormat="1" ht="10.199999999999999" outlineLevel="4">
      <c r="B730" s="166" t="s">
        <v>1354</v>
      </c>
      <c r="C730" s="117" t="s">
        <v>1395</v>
      </c>
      <c r="D730" s="220" t="s">
        <v>1393</v>
      </c>
      <c r="E730" s="117" t="s">
        <v>251</v>
      </c>
      <c r="F730" s="142"/>
      <c r="G730" s="167"/>
      <c r="I730" s="169"/>
      <c r="J730" s="169"/>
      <c r="K730" s="169"/>
      <c r="L730" s="273"/>
      <c r="M730" s="143">
        <f t="shared" si="44"/>
        <v>0</v>
      </c>
    </row>
    <row r="731" spans="1:13" s="118" customFormat="1" ht="10.199999999999999" outlineLevel="3">
      <c r="B731" s="116"/>
      <c r="C731" s="158" t="s">
        <v>1396</v>
      </c>
      <c r="D731" s="158" t="s">
        <v>1397</v>
      </c>
      <c r="F731" s="266"/>
      <c r="G731" s="116"/>
      <c r="I731" s="120"/>
      <c r="J731" s="120"/>
      <c r="K731" s="120"/>
      <c r="L731" s="133"/>
      <c r="M731" s="267">
        <f>SUM(M732:M736)</f>
        <v>74145.679999999993</v>
      </c>
    </row>
    <row r="732" spans="1:13" s="149" customFormat="1" ht="10.199999999999999" outlineLevel="4">
      <c r="A732" s="149" t="s">
        <v>1398</v>
      </c>
      <c r="B732" s="144" t="s">
        <v>1354</v>
      </c>
      <c r="C732" s="145" t="s">
        <v>1399</v>
      </c>
      <c r="D732" s="172" t="s">
        <v>1400</v>
      </c>
      <c r="E732" s="145" t="s">
        <v>251</v>
      </c>
      <c r="F732" s="147"/>
      <c r="G732" s="148">
        <v>1</v>
      </c>
      <c r="I732" s="150"/>
      <c r="J732" s="150"/>
      <c r="K732" s="150">
        <v>74145.679999999993</v>
      </c>
      <c r="L732" s="371">
        <f>+SUM(H732:K732)</f>
        <v>74145.679999999993</v>
      </c>
      <c r="M732" s="152">
        <f>+L732*G732</f>
        <v>74145.679999999993</v>
      </c>
    </row>
    <row r="733" spans="1:13" s="168" customFormat="1" ht="10.199999999999999" outlineLevel="4">
      <c r="B733" s="166" t="s">
        <v>1354</v>
      </c>
      <c r="C733" s="117" t="s">
        <v>1401</v>
      </c>
      <c r="D733" s="220" t="s">
        <v>1402</v>
      </c>
      <c r="E733" s="117" t="s">
        <v>251</v>
      </c>
      <c r="F733" s="142"/>
      <c r="G733" s="167"/>
      <c r="I733" s="169"/>
      <c r="J733" s="169"/>
      <c r="K733" s="169"/>
      <c r="L733" s="273"/>
      <c r="M733" s="143">
        <f>+L733*G733</f>
        <v>0</v>
      </c>
    </row>
    <row r="734" spans="1:13" s="168" customFormat="1" ht="10.199999999999999" outlineLevel="4">
      <c r="B734" s="166" t="s">
        <v>1354</v>
      </c>
      <c r="C734" s="117" t="s">
        <v>1403</v>
      </c>
      <c r="D734" s="220" t="s">
        <v>1400</v>
      </c>
      <c r="E734" s="117" t="s">
        <v>251</v>
      </c>
      <c r="F734" s="142"/>
      <c r="G734" s="167"/>
      <c r="I734" s="169"/>
      <c r="J734" s="169"/>
      <c r="K734" s="169"/>
      <c r="L734" s="273"/>
      <c r="M734" s="143">
        <f>+L734*G734</f>
        <v>0</v>
      </c>
    </row>
    <row r="735" spans="1:13" s="168" customFormat="1" ht="10.199999999999999" outlineLevel="4">
      <c r="B735" s="166" t="s">
        <v>1354</v>
      </c>
      <c r="C735" s="117" t="s">
        <v>1404</v>
      </c>
      <c r="D735" s="220" t="s">
        <v>1405</v>
      </c>
      <c r="E735" s="117" t="s">
        <v>251</v>
      </c>
      <c r="F735" s="142"/>
      <c r="G735" s="167"/>
      <c r="I735" s="169"/>
      <c r="J735" s="169"/>
      <c r="K735" s="169"/>
      <c r="L735" s="273"/>
      <c r="M735" s="143">
        <f>+L735*G735</f>
        <v>0</v>
      </c>
    </row>
    <row r="736" spans="1:13" s="168" customFormat="1" ht="10.199999999999999" outlineLevel="4">
      <c r="B736" s="166" t="s">
        <v>1354</v>
      </c>
      <c r="C736" s="117" t="s">
        <v>1406</v>
      </c>
      <c r="D736" s="220" t="s">
        <v>1402</v>
      </c>
      <c r="E736" s="117" t="s">
        <v>251</v>
      </c>
      <c r="F736" s="142"/>
      <c r="G736" s="167"/>
      <c r="I736" s="169"/>
      <c r="J736" s="169"/>
      <c r="K736" s="169"/>
      <c r="L736" s="273"/>
      <c r="M736" s="143">
        <f>+L736*G736</f>
        <v>0</v>
      </c>
    </row>
    <row r="737" spans="1:13" s="118" customFormat="1" ht="10.199999999999999" outlineLevel="3">
      <c r="B737" s="116"/>
      <c r="C737" s="129"/>
      <c r="D737" s="377" t="s">
        <v>1407</v>
      </c>
      <c r="E737" s="129"/>
      <c r="F737" s="130"/>
      <c r="G737" s="131"/>
      <c r="I737" s="120"/>
      <c r="J737" s="120"/>
      <c r="K737" s="120"/>
      <c r="L737" s="270"/>
      <c r="M737" s="267">
        <f>+SUM(M738:M739)</f>
        <v>62750</v>
      </c>
    </row>
    <row r="738" spans="1:13" s="149" customFormat="1" ht="10.199999999999999" outlineLevel="4">
      <c r="A738" s="149" t="s">
        <v>1408</v>
      </c>
      <c r="B738" s="144" t="s">
        <v>1354</v>
      </c>
      <c r="C738" s="145"/>
      <c r="D738" s="375" t="s">
        <v>1400</v>
      </c>
      <c r="E738" s="145"/>
      <c r="F738" s="147"/>
      <c r="G738" s="148">
        <v>1</v>
      </c>
      <c r="I738" s="150"/>
      <c r="J738" s="150"/>
      <c r="K738" s="150">
        <v>59250</v>
      </c>
      <c r="L738" s="371">
        <f>+SUM(H738:K738)</f>
        <v>59250</v>
      </c>
      <c r="M738" s="152">
        <f>+L738*G738</f>
        <v>59250</v>
      </c>
    </row>
    <row r="739" spans="1:13" s="118" customFormat="1" ht="20.399999999999999" outlineLevel="4">
      <c r="A739" s="118" t="s">
        <v>1408</v>
      </c>
      <c r="B739" s="116" t="s">
        <v>1354</v>
      </c>
      <c r="C739" s="129" t="s">
        <v>1409</v>
      </c>
      <c r="D739" s="378" t="s">
        <v>1410</v>
      </c>
      <c r="E739" s="129" t="s">
        <v>251</v>
      </c>
      <c r="F739" s="130"/>
      <c r="G739" s="131">
        <v>5</v>
      </c>
      <c r="I739" s="120"/>
      <c r="J739" s="120"/>
      <c r="K739" s="120">
        <v>700</v>
      </c>
      <c r="L739" s="270">
        <f>SUM(H739:K739)</f>
        <v>700</v>
      </c>
      <c r="M739" s="134">
        <f>+L739*G739</f>
        <v>3500</v>
      </c>
    </row>
    <row r="740" spans="1:13" s="118" customFormat="1" ht="10.199999999999999" outlineLevel="3">
      <c r="B740" s="116"/>
      <c r="C740" s="129"/>
      <c r="D740" s="377" t="s">
        <v>1411</v>
      </c>
      <c r="E740" s="129"/>
      <c r="F740" s="130"/>
      <c r="G740" s="131"/>
      <c r="I740" s="120"/>
      <c r="J740" s="120"/>
      <c r="K740" s="120"/>
      <c r="L740" s="270"/>
      <c r="M740" s="267">
        <f>+M741</f>
        <v>92071.58</v>
      </c>
    </row>
    <row r="741" spans="1:13" s="149" customFormat="1" ht="10.199999999999999" outlineLevel="4">
      <c r="A741" s="149" t="s">
        <v>1412</v>
      </c>
      <c r="B741" s="144" t="s">
        <v>1354</v>
      </c>
      <c r="C741" s="145"/>
      <c r="D741" s="375" t="s">
        <v>1413</v>
      </c>
      <c r="E741" s="145" t="s">
        <v>251</v>
      </c>
      <c r="F741" s="147"/>
      <c r="G741" s="148">
        <v>125</v>
      </c>
      <c r="I741" s="150"/>
      <c r="J741" s="150"/>
      <c r="K741" s="150">
        <v>736.57263999999998</v>
      </c>
      <c r="L741" s="371">
        <f>+SUM(H741:K741)</f>
        <v>736.57263999999998</v>
      </c>
      <c r="M741" s="152">
        <f>+L741*G741</f>
        <v>92071.58</v>
      </c>
    </row>
    <row r="742" spans="1:13" s="118" customFormat="1" ht="10.199999999999999" outlineLevel="3">
      <c r="B742" s="116"/>
      <c r="C742" s="129"/>
      <c r="D742" s="210"/>
      <c r="E742" s="129"/>
      <c r="F742" s="130"/>
      <c r="G742" s="131"/>
      <c r="I742" s="120"/>
      <c r="J742" s="120"/>
      <c r="K742" s="120"/>
      <c r="L742" s="270"/>
      <c r="M742" s="134"/>
    </row>
    <row r="743" spans="1:13" s="118" customFormat="1" ht="10.199999999999999" outlineLevel="2">
      <c r="B743" s="116"/>
      <c r="C743" s="126" t="s">
        <v>1414</v>
      </c>
      <c r="D743" s="126" t="s">
        <v>1415</v>
      </c>
      <c r="F743" s="161"/>
      <c r="G743" s="116"/>
      <c r="I743" s="120"/>
      <c r="J743" s="120"/>
      <c r="K743" s="120"/>
      <c r="L743" s="133"/>
      <c r="M743" s="264">
        <f>+M744+M747</f>
        <v>887160.33749999991</v>
      </c>
    </row>
    <row r="744" spans="1:13" s="118" customFormat="1" ht="10.199999999999999" outlineLevel="3">
      <c r="B744" s="116"/>
      <c r="C744" s="158" t="s">
        <v>1416</v>
      </c>
      <c r="D744" s="158" t="s">
        <v>1417</v>
      </c>
      <c r="F744" s="266"/>
      <c r="G744" s="116"/>
      <c r="I744" s="120"/>
      <c r="J744" s="120"/>
      <c r="K744" s="120"/>
      <c r="L744" s="133"/>
      <c r="M744" s="267">
        <f>SUM(M745:M746)</f>
        <v>712456.83749999991</v>
      </c>
    </row>
    <row r="745" spans="1:13" s="118" customFormat="1" ht="10.199999999999999" outlineLevel="4">
      <c r="A745" s="118" t="s">
        <v>1418</v>
      </c>
      <c r="B745" s="116" t="s">
        <v>1330</v>
      </c>
      <c r="C745" s="129" t="s">
        <v>1419</v>
      </c>
      <c r="D745" s="210" t="s">
        <v>1420</v>
      </c>
      <c r="E745" s="129" t="s">
        <v>362</v>
      </c>
      <c r="F745" s="130"/>
      <c r="G745" s="167">
        <v>1</v>
      </c>
      <c r="I745" s="120">
        <f>+(168114.69-27685.6-5059.2)*3.75</f>
        <v>507637.08749999997</v>
      </c>
      <c r="J745" s="120"/>
      <c r="K745" s="120">
        <f>+(68461.4-13842.8)*3.75</f>
        <v>204819.74999999997</v>
      </c>
      <c r="L745" s="270">
        <f>+SUM(H745:K745)</f>
        <v>712456.83749999991</v>
      </c>
      <c r="M745" s="134">
        <f>+L745*G745</f>
        <v>712456.83749999991</v>
      </c>
    </row>
    <row r="746" spans="1:13" s="168" customFormat="1" ht="10.199999999999999" outlineLevel="4">
      <c r="B746" s="166" t="s">
        <v>1330</v>
      </c>
      <c r="C746" s="117" t="s">
        <v>1421</v>
      </c>
      <c r="D746" s="220" t="s">
        <v>1422</v>
      </c>
      <c r="E746" s="117" t="s">
        <v>362</v>
      </c>
      <c r="F746" s="142"/>
      <c r="G746" s="167"/>
      <c r="I746" s="169"/>
      <c r="J746" s="169"/>
      <c r="K746" s="169"/>
      <c r="L746" s="273"/>
      <c r="M746" s="143">
        <f>+L746*G746</f>
        <v>0</v>
      </c>
    </row>
    <row r="747" spans="1:13" s="118" customFormat="1" ht="10.199999999999999" outlineLevel="3">
      <c r="B747" s="116"/>
      <c r="C747" s="158" t="s">
        <v>1423</v>
      </c>
      <c r="D747" s="158" t="s">
        <v>1424</v>
      </c>
      <c r="F747" s="266"/>
      <c r="G747" s="116"/>
      <c r="I747" s="120"/>
      <c r="J747" s="120"/>
      <c r="K747" s="120"/>
      <c r="L747" s="133"/>
      <c r="M747" s="267">
        <f>SUM(M748:M749)</f>
        <v>174703.5</v>
      </c>
    </row>
    <row r="748" spans="1:13" s="118" customFormat="1" ht="10.199999999999999" outlineLevel="4">
      <c r="A748" s="118" t="s">
        <v>1425</v>
      </c>
      <c r="B748" s="116" t="s">
        <v>1330</v>
      </c>
      <c r="C748" s="129" t="s">
        <v>1426</v>
      </c>
      <c r="D748" s="210" t="s">
        <v>1427</v>
      </c>
      <c r="E748" s="129" t="s">
        <v>550</v>
      </c>
      <c r="F748" s="130"/>
      <c r="G748" s="167">
        <v>1</v>
      </c>
      <c r="I748" s="120">
        <f>+(27685.6+5059.2)*3.75</f>
        <v>122793</v>
      </c>
      <c r="J748" s="120"/>
      <c r="K748" s="120">
        <f>+(13842.8)*3.75</f>
        <v>51910.5</v>
      </c>
      <c r="L748" s="270">
        <f>+SUM(H748:K748)</f>
        <v>174703.5</v>
      </c>
      <c r="M748" s="134">
        <f>+L748*G748</f>
        <v>174703.5</v>
      </c>
    </row>
    <row r="749" spans="1:13" s="168" customFormat="1" ht="10.199999999999999" outlineLevel="4">
      <c r="B749" s="166" t="s">
        <v>1330</v>
      </c>
      <c r="C749" s="117" t="s">
        <v>1428</v>
      </c>
      <c r="D749" s="220" t="s">
        <v>1429</v>
      </c>
      <c r="E749" s="117" t="s">
        <v>135</v>
      </c>
      <c r="F749" s="142"/>
      <c r="G749" s="167"/>
      <c r="I749" s="169"/>
      <c r="J749" s="169"/>
      <c r="K749" s="169"/>
      <c r="L749" s="273"/>
      <c r="M749" s="143">
        <f>+L749*G749</f>
        <v>0</v>
      </c>
    </row>
    <row r="750" spans="1:13" s="118" customFormat="1" ht="10.199999999999999" outlineLevel="3">
      <c r="B750" s="116"/>
      <c r="C750" s="129"/>
      <c r="D750" s="210"/>
      <c r="E750" s="129"/>
      <c r="F750" s="130"/>
      <c r="G750" s="167"/>
      <c r="I750" s="120"/>
      <c r="J750" s="120"/>
      <c r="K750" s="120"/>
      <c r="L750" s="270"/>
      <c r="M750" s="134"/>
    </row>
    <row r="751" spans="1:13" s="118" customFormat="1" ht="10.199999999999999" outlineLevel="2">
      <c r="B751" s="116"/>
      <c r="C751" s="126" t="s">
        <v>1430</v>
      </c>
      <c r="D751" s="126" t="s">
        <v>944</v>
      </c>
      <c r="F751" s="161"/>
      <c r="G751" s="116"/>
      <c r="I751" s="120"/>
      <c r="J751" s="120"/>
      <c r="K751" s="120"/>
      <c r="L751" s="133"/>
      <c r="M751" s="264">
        <f>+M752</f>
        <v>347361.25</v>
      </c>
    </row>
    <row r="752" spans="1:13" s="118" customFormat="1" ht="10.199999999999999" outlineLevel="3">
      <c r="B752" s="116"/>
      <c r="C752" s="158" t="s">
        <v>1431</v>
      </c>
      <c r="D752" s="158" t="s">
        <v>946</v>
      </c>
      <c r="F752" s="266"/>
      <c r="G752" s="116"/>
      <c r="I752" s="120"/>
      <c r="J752" s="120"/>
      <c r="K752" s="120"/>
      <c r="L752" s="133"/>
      <c r="M752" s="267">
        <f>SUM(M753:M761)</f>
        <v>347361.25</v>
      </c>
    </row>
    <row r="753" spans="1:13" s="118" customFormat="1" ht="20.399999999999999" outlineLevel="4">
      <c r="A753" s="118" t="s">
        <v>1432</v>
      </c>
      <c r="B753" s="116" t="s">
        <v>948</v>
      </c>
      <c r="C753" s="129" t="s">
        <v>1433</v>
      </c>
      <c r="D753" s="180" t="s">
        <v>1434</v>
      </c>
      <c r="E753" s="129" t="s">
        <v>890</v>
      </c>
      <c r="F753" s="130"/>
      <c r="G753" s="131">
        <v>125</v>
      </c>
      <c r="I753" s="120">
        <v>610.61</v>
      </c>
      <c r="J753" s="120"/>
      <c r="K753" s="120">
        <v>130</v>
      </c>
      <c r="L753" s="270">
        <f>SUM(H753:K753)</f>
        <v>740.61</v>
      </c>
      <c r="M753" s="134">
        <f>+L753*G753</f>
        <v>92576.25</v>
      </c>
    </row>
    <row r="754" spans="1:13" s="118" customFormat="1" ht="20.399999999999999" outlineLevel="4">
      <c r="A754" s="118" t="s">
        <v>1432</v>
      </c>
      <c r="B754" s="116" t="s">
        <v>948</v>
      </c>
      <c r="C754" s="129" t="s">
        <v>1435</v>
      </c>
      <c r="D754" s="180" t="s">
        <v>1436</v>
      </c>
      <c r="E754" s="129" t="s">
        <v>890</v>
      </c>
      <c r="F754" s="130"/>
      <c r="G754" s="131">
        <v>238</v>
      </c>
      <c r="I754" s="120">
        <v>375</v>
      </c>
      <c r="J754" s="120"/>
      <c r="K754" s="120">
        <v>110</v>
      </c>
      <c r="L754" s="270">
        <f>SUM(H754:K754)</f>
        <v>485</v>
      </c>
      <c r="M754" s="134">
        <f>+L754*G754</f>
        <v>115430</v>
      </c>
    </row>
    <row r="755" spans="1:13" s="118" customFormat="1" ht="20.399999999999999" outlineLevel="4">
      <c r="A755" s="118" t="s">
        <v>1432</v>
      </c>
      <c r="B755" s="116" t="s">
        <v>948</v>
      </c>
      <c r="C755" s="129" t="s">
        <v>1437</v>
      </c>
      <c r="D755" s="180" t="s">
        <v>1438</v>
      </c>
      <c r="E755" s="129" t="s">
        <v>890</v>
      </c>
      <c r="F755" s="130"/>
      <c r="G755" s="131">
        <v>27</v>
      </c>
      <c r="I755" s="120">
        <v>375</v>
      </c>
      <c r="J755" s="120"/>
      <c r="K755" s="120">
        <v>110</v>
      </c>
      <c r="L755" s="270">
        <f>SUM(H755:K755)</f>
        <v>485</v>
      </c>
      <c r="M755" s="134">
        <f>+L755*G755</f>
        <v>13095</v>
      </c>
    </row>
    <row r="756" spans="1:13" s="118" customFormat="1" ht="20.399999999999999" outlineLevel="4">
      <c r="A756" s="118" t="s">
        <v>1432</v>
      </c>
      <c r="B756" s="116" t="s">
        <v>948</v>
      </c>
      <c r="C756" s="129" t="s">
        <v>1439</v>
      </c>
      <c r="D756" s="180" t="s">
        <v>1440</v>
      </c>
      <c r="E756" s="129" t="s">
        <v>890</v>
      </c>
      <c r="F756" s="130"/>
      <c r="G756" s="131">
        <v>252</v>
      </c>
      <c r="I756" s="120">
        <v>375</v>
      </c>
      <c r="J756" s="120"/>
      <c r="K756" s="120">
        <v>110</v>
      </c>
      <c r="L756" s="270">
        <f>SUM(H756:K756)</f>
        <v>485</v>
      </c>
      <c r="M756" s="134">
        <f>+L756*G756</f>
        <v>122220</v>
      </c>
    </row>
    <row r="757" spans="1:13" s="168" customFormat="1" ht="20.399999999999999" outlineLevel="4">
      <c r="B757" s="166" t="s">
        <v>948</v>
      </c>
      <c r="C757" s="117" t="s">
        <v>1441</v>
      </c>
      <c r="D757" s="379" t="s">
        <v>1413</v>
      </c>
      <c r="E757" s="117" t="s">
        <v>251</v>
      </c>
      <c r="F757" s="142"/>
      <c r="L757" s="380"/>
      <c r="M757" s="380"/>
    </row>
    <row r="758" spans="1:13" s="168" customFormat="1" ht="10.199999999999999" outlineLevel="4">
      <c r="B758" s="166" t="s">
        <v>948</v>
      </c>
      <c r="C758" s="117"/>
      <c r="D758" s="379" t="s">
        <v>1442</v>
      </c>
      <c r="E758" s="117" t="s">
        <v>251</v>
      </c>
      <c r="F758" s="142"/>
      <c r="G758" s="167">
        <v>90</v>
      </c>
      <c r="I758" s="169"/>
      <c r="J758" s="169"/>
      <c r="K758" s="169">
        <v>0</v>
      </c>
      <c r="L758" s="273">
        <f>SUM(H758:K758)</f>
        <v>0</v>
      </c>
      <c r="M758" s="143">
        <f>+L758*G758</f>
        <v>0</v>
      </c>
    </row>
    <row r="759" spans="1:13" s="118" customFormat="1" ht="20.399999999999999" outlineLevel="4">
      <c r="A759" s="118" t="s">
        <v>947</v>
      </c>
      <c r="B759" s="116" t="s">
        <v>948</v>
      </c>
      <c r="C759" s="129" t="s">
        <v>1443</v>
      </c>
      <c r="D759" s="180" t="s">
        <v>1444</v>
      </c>
      <c r="E759" s="129" t="s">
        <v>890</v>
      </c>
      <c r="F759" s="130"/>
      <c r="G759" s="131">
        <v>4</v>
      </c>
      <c r="I759" s="120">
        <v>395</v>
      </c>
      <c r="J759" s="120"/>
      <c r="K759" s="120">
        <v>110</v>
      </c>
      <c r="L759" s="270">
        <f>SUM(H759:K759)</f>
        <v>505</v>
      </c>
      <c r="M759" s="134">
        <f>+L759*G759</f>
        <v>2020</v>
      </c>
    </row>
    <row r="760" spans="1:13" s="118" customFormat="1" ht="20.399999999999999" outlineLevel="4">
      <c r="A760" s="118" t="s">
        <v>947</v>
      </c>
      <c r="B760" s="116" t="s">
        <v>948</v>
      </c>
      <c r="C760" s="129" t="s">
        <v>1445</v>
      </c>
      <c r="D760" s="180" t="s">
        <v>1446</v>
      </c>
      <c r="E760" s="129" t="s">
        <v>890</v>
      </c>
      <c r="F760" s="130"/>
      <c r="G760" s="131">
        <v>2</v>
      </c>
      <c r="I760" s="120">
        <v>395</v>
      </c>
      <c r="J760" s="120"/>
      <c r="K760" s="120">
        <v>110</v>
      </c>
      <c r="L760" s="270">
        <f>SUM(H760:K760)</f>
        <v>505</v>
      </c>
      <c r="M760" s="134">
        <f>+L760*G760</f>
        <v>1010</v>
      </c>
    </row>
    <row r="761" spans="1:13" s="118" customFormat="1" ht="20.399999999999999" outlineLevel="4">
      <c r="A761" s="118" t="s">
        <v>947</v>
      </c>
      <c r="B761" s="116" t="s">
        <v>948</v>
      </c>
      <c r="C761" s="129" t="s">
        <v>1447</v>
      </c>
      <c r="D761" s="180" t="s">
        <v>1448</v>
      </c>
      <c r="E761" s="129" t="s">
        <v>890</v>
      </c>
      <c r="F761" s="130"/>
      <c r="G761" s="131">
        <v>2</v>
      </c>
      <c r="I761" s="120">
        <v>395</v>
      </c>
      <c r="J761" s="120"/>
      <c r="K761" s="120">
        <v>110</v>
      </c>
      <c r="L761" s="270">
        <f>SUM(H761:K761)</f>
        <v>505</v>
      </c>
      <c r="M761" s="134">
        <f>+L761*G761</f>
        <v>1010</v>
      </c>
    </row>
    <row r="762" spans="1:13" s="118" customFormat="1" ht="10.199999999999999" outlineLevel="3">
      <c r="B762" s="116"/>
      <c r="C762" s="129"/>
      <c r="D762" s="210"/>
      <c r="E762" s="129"/>
      <c r="F762" s="130"/>
      <c r="G762" s="131"/>
      <c r="I762" s="120"/>
      <c r="J762" s="120"/>
      <c r="K762" s="120"/>
      <c r="L762" s="270"/>
      <c r="M762" s="134"/>
    </row>
    <row r="763" spans="1:13" s="118" customFormat="1" ht="10.199999999999999" outlineLevel="2">
      <c r="B763" s="116"/>
      <c r="C763" s="126" t="s">
        <v>1449</v>
      </c>
      <c r="D763" s="126" t="s">
        <v>1450</v>
      </c>
      <c r="F763" s="161"/>
      <c r="G763" s="116"/>
      <c r="I763" s="120"/>
      <c r="J763" s="120"/>
      <c r="K763" s="120"/>
      <c r="L763" s="133"/>
      <c r="M763" s="264">
        <f>SUM(M764:M765)</f>
        <v>35426.75</v>
      </c>
    </row>
    <row r="764" spans="1:13" s="255" customFormat="1" ht="10.199999999999999" outlineLevel="3">
      <c r="A764" s="255" t="s">
        <v>1451</v>
      </c>
      <c r="B764" s="269" t="s">
        <v>1452</v>
      </c>
      <c r="C764" s="244" t="s">
        <v>1453</v>
      </c>
      <c r="D764" s="244" t="s">
        <v>1454</v>
      </c>
      <c r="E764" s="244" t="s">
        <v>251</v>
      </c>
      <c r="F764" s="271"/>
      <c r="G764" s="254">
        <v>1</v>
      </c>
      <c r="I764" s="256"/>
      <c r="J764" s="256"/>
      <c r="K764" s="256">
        <v>18275</v>
      </c>
      <c r="L764" s="272">
        <f>SUM(H764:K764)</f>
        <v>18275</v>
      </c>
      <c r="M764" s="258">
        <f>+L764*G764</f>
        <v>18275</v>
      </c>
    </row>
    <row r="765" spans="1:13" s="255" customFormat="1" ht="10.199999999999999" outlineLevel="3">
      <c r="A765" s="255" t="s">
        <v>1451</v>
      </c>
      <c r="B765" s="269" t="s">
        <v>1452</v>
      </c>
      <c r="C765" s="244" t="s">
        <v>1455</v>
      </c>
      <c r="D765" s="244" t="s">
        <v>1456</v>
      </c>
      <c r="E765" s="244" t="s">
        <v>251</v>
      </c>
      <c r="F765" s="271"/>
      <c r="G765" s="254">
        <v>135</v>
      </c>
      <c r="I765" s="256"/>
      <c r="J765" s="256"/>
      <c r="K765" s="256">
        <v>127.05</v>
      </c>
      <c r="L765" s="272">
        <f>SUM(H765:K765)</f>
        <v>127.05</v>
      </c>
      <c r="M765" s="258">
        <f>+L765*G765</f>
        <v>17151.75</v>
      </c>
    </row>
    <row r="766" spans="1:13" s="118" customFormat="1" ht="10.199999999999999" outlineLevel="2">
      <c r="B766" s="116"/>
      <c r="C766" s="126" t="s">
        <v>1457</v>
      </c>
      <c r="D766" s="126" t="s">
        <v>1458</v>
      </c>
      <c r="F766" s="161"/>
      <c r="G766" s="116"/>
      <c r="I766" s="120"/>
      <c r="J766" s="120"/>
      <c r="K766" s="120"/>
      <c r="L766" s="133"/>
      <c r="M766" s="264">
        <f>+M767+M770</f>
        <v>146189.15000000002</v>
      </c>
    </row>
    <row r="767" spans="1:13" s="118" customFormat="1" ht="10.199999999999999" outlineLevel="3">
      <c r="B767" s="116"/>
      <c r="C767" s="158" t="s">
        <v>1459</v>
      </c>
      <c r="D767" s="158" t="s">
        <v>1460</v>
      </c>
      <c r="F767" s="266"/>
      <c r="G767" s="116"/>
      <c r="I767" s="120"/>
      <c r="J767" s="120"/>
      <c r="K767" s="120"/>
      <c r="L767" s="133"/>
      <c r="M767" s="267">
        <f>SUM(M768:M769)</f>
        <v>31350</v>
      </c>
    </row>
    <row r="768" spans="1:13" s="118" customFormat="1" ht="10.199999999999999" outlineLevel="4">
      <c r="B768" s="116" t="s">
        <v>957</v>
      </c>
      <c r="C768" s="129" t="s">
        <v>1461</v>
      </c>
      <c r="D768" s="129" t="s">
        <v>1462</v>
      </c>
      <c r="E768" s="129" t="s">
        <v>251</v>
      </c>
      <c r="F768" s="130"/>
      <c r="G768" s="131">
        <v>1590</v>
      </c>
      <c r="I768" s="120"/>
      <c r="J768" s="120"/>
      <c r="K768" s="120">
        <v>15</v>
      </c>
      <c r="L768" s="270">
        <f>SUM(H768:K768)</f>
        <v>15</v>
      </c>
      <c r="M768" s="134">
        <f>+L768*G768</f>
        <v>23850</v>
      </c>
    </row>
    <row r="769" spans="1:13" s="118" customFormat="1" ht="10.199999999999999" outlineLevel="4">
      <c r="B769" s="116" t="s">
        <v>957</v>
      </c>
      <c r="C769" s="129" t="s">
        <v>1463</v>
      </c>
      <c r="D769" s="129" t="s">
        <v>1464</v>
      </c>
      <c r="E769" s="129" t="s">
        <v>251</v>
      </c>
      <c r="F769" s="130"/>
      <c r="G769" s="131">
        <v>500</v>
      </c>
      <c r="I769" s="120"/>
      <c r="J769" s="120"/>
      <c r="K769" s="120">
        <v>15</v>
      </c>
      <c r="L769" s="270">
        <f>SUM(H769:K769)</f>
        <v>15</v>
      </c>
      <c r="M769" s="134">
        <f>+L769*G769</f>
        <v>7500</v>
      </c>
    </row>
    <row r="770" spans="1:13" s="118" customFormat="1" ht="10.199999999999999" outlineLevel="3">
      <c r="B770" s="116"/>
      <c r="C770" s="158" t="s">
        <v>1465</v>
      </c>
      <c r="D770" s="158" t="s">
        <v>956</v>
      </c>
      <c r="F770" s="266"/>
      <c r="G770" s="116"/>
      <c r="I770" s="120"/>
      <c r="J770" s="120"/>
      <c r="K770" s="120"/>
      <c r="L770" s="133"/>
      <c r="M770" s="267">
        <f>SUM(M771:M773)</f>
        <v>114839.15000000001</v>
      </c>
    </row>
    <row r="771" spans="1:13" s="118" customFormat="1" ht="10.199999999999999" outlineLevel="4">
      <c r="B771" s="116" t="s">
        <v>957</v>
      </c>
      <c r="C771" s="129" t="s">
        <v>1466</v>
      </c>
      <c r="D771" s="129" t="s">
        <v>1467</v>
      </c>
      <c r="E771" s="129" t="s">
        <v>251</v>
      </c>
      <c r="F771" s="130"/>
      <c r="G771" s="131">
        <v>125</v>
      </c>
      <c r="I771" s="120"/>
      <c r="J771" s="120"/>
      <c r="K771" s="120">
        <v>174.55</v>
      </c>
      <c r="L771" s="270">
        <f>SUM(H771:K771)</f>
        <v>174.55</v>
      </c>
      <c r="M771" s="134">
        <f>+L771*G771</f>
        <v>21818.75</v>
      </c>
    </row>
    <row r="772" spans="1:13" s="118" customFormat="1" ht="10.199999999999999" outlineLevel="4">
      <c r="B772" s="116" t="s">
        <v>957</v>
      </c>
      <c r="C772" s="129" t="s">
        <v>1468</v>
      </c>
      <c r="D772" s="129" t="s">
        <v>1469</v>
      </c>
      <c r="E772" s="129" t="s">
        <v>251</v>
      </c>
      <c r="F772" s="130"/>
      <c r="G772" s="131">
        <v>530</v>
      </c>
      <c r="I772" s="120"/>
      <c r="J772" s="120"/>
      <c r="K772" s="120">
        <v>160.68</v>
      </c>
      <c r="L772" s="270">
        <f>SUM(H772:K772)</f>
        <v>160.68</v>
      </c>
      <c r="M772" s="134">
        <f>+L772*G772</f>
        <v>85160.400000000009</v>
      </c>
    </row>
    <row r="773" spans="1:13" s="118" customFormat="1" ht="10.199999999999999" outlineLevel="4">
      <c r="B773" s="116" t="s">
        <v>957</v>
      </c>
      <c r="C773" s="129" t="s">
        <v>1470</v>
      </c>
      <c r="D773" s="129" t="s">
        <v>1471</v>
      </c>
      <c r="E773" s="129" t="s">
        <v>251</v>
      </c>
      <c r="F773" s="130"/>
      <c r="G773" s="131">
        <v>655</v>
      </c>
      <c r="I773" s="120"/>
      <c r="J773" s="120"/>
      <c r="K773" s="120">
        <v>12</v>
      </c>
      <c r="L773" s="270">
        <f>SUM(H773:K773)</f>
        <v>12</v>
      </c>
      <c r="M773" s="134">
        <f>+L773*G773</f>
        <v>7860</v>
      </c>
    </row>
    <row r="774" spans="1:13" s="118" customFormat="1" ht="10.199999999999999" outlineLevel="3">
      <c r="B774" s="116"/>
      <c r="C774" s="129"/>
      <c r="D774" s="129"/>
      <c r="E774" s="129"/>
      <c r="F774" s="130"/>
      <c r="G774" s="131"/>
      <c r="I774" s="120"/>
      <c r="J774" s="120"/>
      <c r="K774" s="120"/>
      <c r="L774" s="270"/>
      <c r="M774" s="134"/>
    </row>
    <row r="775" spans="1:13" s="118" customFormat="1" ht="10.199999999999999" outlineLevel="2">
      <c r="B775" s="116"/>
      <c r="C775" s="126" t="s">
        <v>1472</v>
      </c>
      <c r="D775" s="126" t="s">
        <v>963</v>
      </c>
      <c r="F775" s="161"/>
      <c r="G775" s="116"/>
      <c r="I775" s="120"/>
      <c r="J775" s="120"/>
      <c r="K775" s="120"/>
      <c r="L775" s="133"/>
      <c r="M775" s="264">
        <f>+M776+M779+M784</f>
        <v>384902.44</v>
      </c>
    </row>
    <row r="776" spans="1:13" s="118" customFormat="1" ht="10.199999999999999" outlineLevel="3">
      <c r="B776" s="116"/>
      <c r="C776" s="158" t="s">
        <v>1473</v>
      </c>
      <c r="D776" s="158" t="s">
        <v>965</v>
      </c>
      <c r="F776" s="266"/>
      <c r="G776" s="116"/>
      <c r="I776" s="120"/>
      <c r="J776" s="120"/>
      <c r="K776" s="120"/>
      <c r="L776" s="133"/>
      <c r="M776" s="267">
        <f>SUM(M777:M778)</f>
        <v>61200</v>
      </c>
    </row>
    <row r="777" spans="1:13" s="287" customFormat="1" ht="20.399999999999999" outlineLevel="4">
      <c r="A777" s="287" t="s">
        <v>966</v>
      </c>
      <c r="B777" s="288" t="s">
        <v>967</v>
      </c>
      <c r="C777" s="289" t="s">
        <v>1474</v>
      </c>
      <c r="D777" s="290" t="s">
        <v>969</v>
      </c>
      <c r="E777" s="289" t="s">
        <v>251</v>
      </c>
      <c r="F777" s="291"/>
      <c r="G777" s="292">
        <v>25</v>
      </c>
      <c r="I777" s="293"/>
      <c r="J777" s="293"/>
      <c r="K777" s="293">
        <v>1200</v>
      </c>
      <c r="L777" s="294">
        <f>SUM(H777:K777)</f>
        <v>1200</v>
      </c>
      <c r="M777" s="295">
        <f>+L777*G777</f>
        <v>30000</v>
      </c>
    </row>
    <row r="778" spans="1:13" s="287" customFormat="1" ht="20.399999999999999" outlineLevel="4">
      <c r="A778" s="287" t="s">
        <v>966</v>
      </c>
      <c r="B778" s="288" t="s">
        <v>967</v>
      </c>
      <c r="C778" s="289" t="s">
        <v>1475</v>
      </c>
      <c r="D778" s="290" t="s">
        <v>1476</v>
      </c>
      <c r="E778" s="289" t="s">
        <v>251</v>
      </c>
      <c r="F778" s="291"/>
      <c r="G778" s="292">
        <v>26</v>
      </c>
      <c r="I778" s="293"/>
      <c r="J778" s="293"/>
      <c r="K778" s="293">
        <v>1200</v>
      </c>
      <c r="L778" s="294">
        <f>SUM(H778:K778)</f>
        <v>1200</v>
      </c>
      <c r="M778" s="295">
        <f>+L778*G778</f>
        <v>31200</v>
      </c>
    </row>
    <row r="779" spans="1:13" s="118" customFormat="1" ht="10.199999999999999" outlineLevel="3">
      <c r="B779" s="116"/>
      <c r="C779" s="158" t="s">
        <v>1477</v>
      </c>
      <c r="D779" s="158" t="s">
        <v>1478</v>
      </c>
      <c r="F779" s="266"/>
      <c r="G779" s="116"/>
      <c r="I779" s="120"/>
      <c r="J779" s="120"/>
      <c r="K779" s="120"/>
      <c r="L779" s="133"/>
      <c r="M779" s="267">
        <f>SUM(M780:M783)</f>
        <v>201978.44</v>
      </c>
    </row>
    <row r="780" spans="1:13" s="297" customFormat="1" ht="10.199999999999999" outlineLevel="4">
      <c r="A780" s="297" t="s">
        <v>987</v>
      </c>
      <c r="B780" s="298" t="s">
        <v>967</v>
      </c>
      <c r="C780" s="299" t="s">
        <v>1479</v>
      </c>
      <c r="D780" s="381" t="s">
        <v>1480</v>
      </c>
      <c r="E780" s="299" t="s">
        <v>135</v>
      </c>
      <c r="F780" s="301"/>
      <c r="G780" s="302">
        <v>75.22</v>
      </c>
      <c r="I780" s="303"/>
      <c r="J780" s="303"/>
      <c r="K780" s="382">
        <v>320</v>
      </c>
      <c r="L780" s="304">
        <f>SUM(H780:K780)</f>
        <v>320</v>
      </c>
      <c r="M780" s="305">
        <f>+L780*G780</f>
        <v>24070.400000000001</v>
      </c>
    </row>
    <row r="781" spans="1:13" s="118" customFormat="1" ht="10.199999999999999" outlineLevel="4">
      <c r="A781" s="118" t="s">
        <v>1481</v>
      </c>
      <c r="B781" s="116" t="s">
        <v>967</v>
      </c>
      <c r="C781" s="129" t="s">
        <v>1482</v>
      </c>
      <c r="D781" s="180" t="s">
        <v>1483</v>
      </c>
      <c r="E781" s="129" t="s">
        <v>135</v>
      </c>
      <c r="F781" s="130"/>
      <c r="G781" s="131">
        <v>1.2</v>
      </c>
      <c r="I781" s="120"/>
      <c r="J781" s="120"/>
      <c r="K781" s="169">
        <v>120</v>
      </c>
      <c r="L781" s="270">
        <f>SUM(H781:K781)</f>
        <v>120</v>
      </c>
      <c r="M781" s="134">
        <f>+L781*G781</f>
        <v>144</v>
      </c>
    </row>
    <row r="782" spans="1:13" s="297" customFormat="1" ht="10.199999999999999" outlineLevel="4">
      <c r="A782" s="297" t="s">
        <v>987</v>
      </c>
      <c r="B782" s="298" t="s">
        <v>967</v>
      </c>
      <c r="C782" s="299" t="s">
        <v>1484</v>
      </c>
      <c r="D782" s="381" t="s">
        <v>1485</v>
      </c>
      <c r="E782" s="299" t="s">
        <v>135</v>
      </c>
      <c r="F782" s="301"/>
      <c r="G782" s="302">
        <v>141.20000000000002</v>
      </c>
      <c r="I782" s="303"/>
      <c r="J782" s="303"/>
      <c r="K782" s="382">
        <v>120</v>
      </c>
      <c r="L782" s="304">
        <f>SUM(H782:K782)</f>
        <v>120</v>
      </c>
      <c r="M782" s="305">
        <f>+L782*G782</f>
        <v>16944.000000000004</v>
      </c>
    </row>
    <row r="783" spans="1:13" s="383" customFormat="1" ht="10.199999999999999" outlineLevel="4">
      <c r="A783" s="383" t="s">
        <v>1486</v>
      </c>
      <c r="B783" s="384" t="s">
        <v>967</v>
      </c>
      <c r="C783" s="385" t="s">
        <v>1487</v>
      </c>
      <c r="D783" s="386" t="s">
        <v>1488</v>
      </c>
      <c r="E783" s="385" t="s">
        <v>135</v>
      </c>
      <c r="F783" s="387"/>
      <c r="G783" s="388">
        <v>326.86999999999995</v>
      </c>
      <c r="I783" s="389"/>
      <c r="J783" s="389"/>
      <c r="K783" s="390">
        <v>492</v>
      </c>
      <c r="L783" s="391">
        <f>SUM(H783:K783)</f>
        <v>492</v>
      </c>
      <c r="M783" s="392">
        <f>+L783*G783</f>
        <v>160820.03999999998</v>
      </c>
    </row>
    <row r="784" spans="1:13" s="118" customFormat="1" ht="10.199999999999999" outlineLevel="3">
      <c r="B784" s="116"/>
      <c r="C784" s="158" t="s">
        <v>1489</v>
      </c>
      <c r="D784" s="158" t="s">
        <v>973</v>
      </c>
      <c r="F784" s="266"/>
      <c r="G784" s="116"/>
      <c r="I784" s="120"/>
      <c r="J784" s="120"/>
      <c r="K784" s="120"/>
      <c r="L784" s="133"/>
      <c r="M784" s="267">
        <f>SUM(M785:M795)</f>
        <v>121724</v>
      </c>
    </row>
    <row r="785" spans="1:13" s="118" customFormat="1" ht="10.199999999999999" outlineLevel="4">
      <c r="A785" s="118" t="s">
        <v>1481</v>
      </c>
      <c r="B785" s="116" t="s">
        <v>967</v>
      </c>
      <c r="C785" s="129" t="s">
        <v>1490</v>
      </c>
      <c r="D785" s="155" t="s">
        <v>1491</v>
      </c>
      <c r="E785" s="129" t="s">
        <v>251</v>
      </c>
      <c r="F785" s="130"/>
      <c r="G785" s="131">
        <v>1</v>
      </c>
      <c r="I785" s="120"/>
      <c r="J785" s="120"/>
      <c r="K785" s="120">
        <v>1800</v>
      </c>
      <c r="L785" s="270">
        <f t="shared" ref="L785:L795" si="45">SUM(H785:K785)</f>
        <v>1800</v>
      </c>
      <c r="M785" s="134">
        <f t="shared" ref="M785:M795" si="46">+L785*G785</f>
        <v>1800</v>
      </c>
    </row>
    <row r="786" spans="1:13" s="118" customFormat="1" ht="10.199999999999999" outlineLevel="4">
      <c r="A786" s="118" t="s">
        <v>1481</v>
      </c>
      <c r="B786" s="116" t="s">
        <v>967</v>
      </c>
      <c r="C786" s="129" t="s">
        <v>1492</v>
      </c>
      <c r="D786" s="180" t="s">
        <v>1493</v>
      </c>
      <c r="E786" s="129" t="s">
        <v>550</v>
      </c>
      <c r="F786" s="130"/>
      <c r="G786" s="131">
        <v>12.049999999999999</v>
      </c>
      <c r="I786" s="120"/>
      <c r="J786" s="120"/>
      <c r="K786" s="120">
        <v>220</v>
      </c>
      <c r="L786" s="270">
        <f t="shared" si="45"/>
        <v>220</v>
      </c>
      <c r="M786" s="134">
        <f t="shared" si="46"/>
        <v>2650.9999999999995</v>
      </c>
    </row>
    <row r="787" spans="1:13" s="118" customFormat="1" ht="10.199999999999999" outlineLevel="4">
      <c r="A787" s="118" t="s">
        <v>1481</v>
      </c>
      <c r="B787" s="116" t="s">
        <v>967</v>
      </c>
      <c r="C787" s="129" t="s">
        <v>1494</v>
      </c>
      <c r="D787" s="155" t="s">
        <v>1495</v>
      </c>
      <c r="E787" s="129" t="s">
        <v>135</v>
      </c>
      <c r="F787" s="130"/>
      <c r="G787" s="131">
        <v>44.945454545454538</v>
      </c>
      <c r="I787" s="120"/>
      <c r="J787" s="120"/>
      <c r="K787" s="120">
        <v>220</v>
      </c>
      <c r="L787" s="270">
        <f t="shared" si="45"/>
        <v>220</v>
      </c>
      <c r="M787" s="134">
        <f t="shared" si="46"/>
        <v>9887.9999999999982</v>
      </c>
    </row>
    <row r="788" spans="1:13" s="118" customFormat="1" ht="10.199999999999999" outlineLevel="4">
      <c r="A788" s="118" t="s">
        <v>1481</v>
      </c>
      <c r="B788" s="116" t="s">
        <v>967</v>
      </c>
      <c r="C788" s="129" t="s">
        <v>1496</v>
      </c>
      <c r="D788" s="155" t="s">
        <v>1497</v>
      </c>
      <c r="E788" s="129" t="s">
        <v>346</v>
      </c>
      <c r="F788" s="130"/>
      <c r="G788" s="131">
        <v>49.44</v>
      </c>
      <c r="I788" s="120"/>
      <c r="J788" s="120"/>
      <c r="K788" s="120">
        <v>360</v>
      </c>
      <c r="L788" s="270">
        <f t="shared" si="45"/>
        <v>360</v>
      </c>
      <c r="M788" s="134">
        <f t="shared" si="46"/>
        <v>17798.399999999998</v>
      </c>
    </row>
    <row r="789" spans="1:13" s="393" customFormat="1" ht="10.199999999999999" outlineLevel="4">
      <c r="A789" s="393" t="s">
        <v>1498</v>
      </c>
      <c r="B789" s="394" t="s">
        <v>967</v>
      </c>
      <c r="C789" s="395" t="s">
        <v>1499</v>
      </c>
      <c r="D789" s="396" t="s">
        <v>1500</v>
      </c>
      <c r="E789" s="395" t="s">
        <v>890</v>
      </c>
      <c r="F789" s="397"/>
      <c r="G789" s="398">
        <v>251</v>
      </c>
      <c r="I789" s="399"/>
      <c r="J789" s="399"/>
      <c r="K789" s="399">
        <v>165</v>
      </c>
      <c r="L789" s="400">
        <f t="shared" si="45"/>
        <v>165</v>
      </c>
      <c r="M789" s="401">
        <f t="shared" si="46"/>
        <v>41415</v>
      </c>
    </row>
    <row r="790" spans="1:13" s="118" customFormat="1" ht="10.199999999999999" outlineLevel="4">
      <c r="A790" s="118" t="s">
        <v>1481</v>
      </c>
      <c r="B790" s="116" t="s">
        <v>967</v>
      </c>
      <c r="C790" s="129" t="s">
        <v>1501</v>
      </c>
      <c r="D790" s="180" t="s">
        <v>1502</v>
      </c>
      <c r="E790" s="129" t="s">
        <v>1025</v>
      </c>
      <c r="F790" s="130"/>
      <c r="G790" s="131">
        <v>2.16</v>
      </c>
      <c r="I790" s="120"/>
      <c r="J790" s="120"/>
      <c r="K790" s="120">
        <v>360</v>
      </c>
      <c r="L790" s="270">
        <f t="shared" si="45"/>
        <v>360</v>
      </c>
      <c r="M790" s="134">
        <f t="shared" si="46"/>
        <v>777.6</v>
      </c>
    </row>
    <row r="791" spans="1:13" s="118" customFormat="1" ht="20.399999999999999" outlineLevel="4">
      <c r="A791" s="118" t="s">
        <v>1481</v>
      </c>
      <c r="B791" s="116" t="s">
        <v>967</v>
      </c>
      <c r="C791" s="129" t="s">
        <v>1503</v>
      </c>
      <c r="D791" s="180" t="s">
        <v>1504</v>
      </c>
      <c r="E791" s="129" t="s">
        <v>550</v>
      </c>
      <c r="F791" s="130"/>
      <c r="G791" s="131">
        <v>24.36</v>
      </c>
      <c r="I791" s="120"/>
      <c r="J791" s="120"/>
      <c r="K791" s="120">
        <v>110</v>
      </c>
      <c r="L791" s="270">
        <f t="shared" si="45"/>
        <v>110</v>
      </c>
      <c r="M791" s="134">
        <f t="shared" si="46"/>
        <v>2679.6</v>
      </c>
    </row>
    <row r="792" spans="1:13" s="118" customFormat="1" ht="20.399999999999999" outlineLevel="4">
      <c r="A792" s="118" t="s">
        <v>1481</v>
      </c>
      <c r="B792" s="116" t="s">
        <v>967</v>
      </c>
      <c r="C792" s="129" t="s">
        <v>1505</v>
      </c>
      <c r="D792" s="180" t="s">
        <v>1506</v>
      </c>
      <c r="E792" s="129" t="s">
        <v>550</v>
      </c>
      <c r="F792" s="130"/>
      <c r="G792" s="131">
        <v>341.03999999999996</v>
      </c>
      <c r="I792" s="120"/>
      <c r="J792" s="120"/>
      <c r="K792" s="120">
        <v>110</v>
      </c>
      <c r="L792" s="270">
        <f t="shared" si="45"/>
        <v>110</v>
      </c>
      <c r="M792" s="134">
        <f t="shared" si="46"/>
        <v>37514.399999999994</v>
      </c>
    </row>
    <row r="793" spans="1:13" s="118" customFormat="1" ht="20.399999999999999" outlineLevel="4">
      <c r="A793" s="118" t="s">
        <v>1481</v>
      </c>
      <c r="B793" s="116" t="s">
        <v>967</v>
      </c>
      <c r="C793" s="129" t="s">
        <v>1507</v>
      </c>
      <c r="D793" s="180" t="s">
        <v>1508</v>
      </c>
      <c r="E793" s="129" t="s">
        <v>890</v>
      </c>
      <c r="F793" s="130"/>
      <c r="G793" s="131">
        <v>4</v>
      </c>
      <c r="I793" s="120"/>
      <c r="J793" s="120"/>
      <c r="K793" s="120">
        <v>450</v>
      </c>
      <c r="L793" s="270">
        <f t="shared" si="45"/>
        <v>450</v>
      </c>
      <c r="M793" s="134">
        <f t="shared" si="46"/>
        <v>1800</v>
      </c>
    </row>
    <row r="794" spans="1:13" s="118" customFormat="1" ht="20.399999999999999" outlineLevel="4">
      <c r="A794" s="118" t="s">
        <v>1481</v>
      </c>
      <c r="B794" s="116" t="s">
        <v>967</v>
      </c>
      <c r="C794" s="129" t="s">
        <v>1509</v>
      </c>
      <c r="D794" s="180" t="s">
        <v>1510</v>
      </c>
      <c r="E794" s="129" t="s">
        <v>890</v>
      </c>
      <c r="F794" s="130"/>
      <c r="G794" s="131">
        <v>4</v>
      </c>
      <c r="I794" s="120"/>
      <c r="J794" s="120"/>
      <c r="K794" s="120">
        <v>450</v>
      </c>
      <c r="L794" s="270">
        <f t="shared" si="45"/>
        <v>450</v>
      </c>
      <c r="M794" s="134">
        <f t="shared" si="46"/>
        <v>1800</v>
      </c>
    </row>
    <row r="795" spans="1:13" s="118" customFormat="1" ht="20.399999999999999" outlineLevel="4">
      <c r="A795" s="118" t="s">
        <v>1481</v>
      </c>
      <c r="B795" s="116" t="s">
        <v>967</v>
      </c>
      <c r="C795" s="129" t="s">
        <v>1511</v>
      </c>
      <c r="D795" s="180" t="s">
        <v>1512</v>
      </c>
      <c r="E795" s="129" t="s">
        <v>890</v>
      </c>
      <c r="F795" s="130"/>
      <c r="G795" s="131">
        <v>8</v>
      </c>
      <c r="I795" s="120"/>
      <c r="J795" s="120"/>
      <c r="K795" s="120">
        <v>450</v>
      </c>
      <c r="L795" s="270">
        <f t="shared" si="45"/>
        <v>450</v>
      </c>
      <c r="M795" s="134">
        <f t="shared" si="46"/>
        <v>3600</v>
      </c>
    </row>
    <row r="796" spans="1:13" s="118" customFormat="1" ht="10.199999999999999" outlineLevel="3">
      <c r="B796" s="116"/>
      <c r="C796" s="129"/>
      <c r="D796" s="218"/>
      <c r="E796" s="129"/>
      <c r="F796" s="130"/>
      <c r="G796" s="131"/>
      <c r="I796" s="120"/>
      <c r="J796" s="120"/>
      <c r="K796" s="120"/>
      <c r="L796" s="270"/>
      <c r="M796" s="134"/>
    </row>
    <row r="797" spans="1:13" s="118" customFormat="1" ht="10.199999999999999" outlineLevel="2">
      <c r="B797" s="116"/>
      <c r="C797" s="126" t="s">
        <v>1513</v>
      </c>
      <c r="D797" s="126" t="s">
        <v>1514</v>
      </c>
      <c r="F797" s="161"/>
      <c r="G797" s="116"/>
      <c r="I797" s="120"/>
      <c r="J797" s="120"/>
      <c r="K797" s="120"/>
      <c r="L797" s="133"/>
      <c r="M797" s="264">
        <f>+M798+M815+M881</f>
        <v>1934485.387830249</v>
      </c>
    </row>
    <row r="798" spans="1:13" s="118" customFormat="1" ht="10.199999999999999" outlineLevel="3">
      <c r="B798" s="116"/>
      <c r="C798" s="158" t="s">
        <v>1515</v>
      </c>
      <c r="D798" s="402" t="s">
        <v>1516</v>
      </c>
      <c r="F798" s="266"/>
      <c r="G798" s="116"/>
      <c r="I798" s="120"/>
      <c r="J798" s="120"/>
      <c r="K798" s="120"/>
      <c r="L798" s="133"/>
      <c r="M798" s="267">
        <f>SUM(M799:M814)</f>
        <v>103780.21283024912</v>
      </c>
    </row>
    <row r="799" spans="1:13" s="118" customFormat="1" ht="11.4" customHeight="1" outlineLevel="4">
      <c r="A799" s="118" t="s">
        <v>1517</v>
      </c>
      <c r="B799" s="116" t="s">
        <v>1518</v>
      </c>
      <c r="C799" s="129" t="s">
        <v>1519</v>
      </c>
      <c r="D799" s="403" t="s">
        <v>1520</v>
      </c>
      <c r="E799" s="129" t="s">
        <v>251</v>
      </c>
      <c r="F799" s="130"/>
      <c r="G799" s="131">
        <v>1</v>
      </c>
      <c r="I799" s="404"/>
      <c r="J799" s="120"/>
      <c r="K799" s="404">
        <v>8093.8723717644907</v>
      </c>
      <c r="L799" s="270">
        <f>+SUM(H799:K799)</f>
        <v>8093.8723717644907</v>
      </c>
      <c r="M799" s="134">
        <f t="shared" ref="M799:M814" si="47">+L799*G799</f>
        <v>8093.8723717644907</v>
      </c>
    </row>
    <row r="800" spans="1:13" s="137" customFormat="1" ht="11.4" customHeight="1" outlineLevel="4">
      <c r="A800" s="118" t="s">
        <v>1517</v>
      </c>
      <c r="B800" s="214" t="s">
        <v>1518</v>
      </c>
      <c r="C800" s="195" t="s">
        <v>1521</v>
      </c>
      <c r="D800" s="405" t="s">
        <v>1522</v>
      </c>
      <c r="E800" s="195" t="s">
        <v>251</v>
      </c>
      <c r="F800" s="135"/>
      <c r="G800" s="136">
        <v>1</v>
      </c>
      <c r="I800" s="138"/>
      <c r="J800" s="138"/>
      <c r="K800" s="138">
        <v>10247.194978956786</v>
      </c>
      <c r="L800" s="270">
        <f t="shared" ref="L800:L814" si="48">+SUM(H800:K800)</f>
        <v>10247.194978956786</v>
      </c>
      <c r="M800" s="140">
        <f t="shared" si="47"/>
        <v>10247.194978956786</v>
      </c>
    </row>
    <row r="801" spans="1:13" s="137" customFormat="1" ht="11.4" customHeight="1" outlineLevel="4">
      <c r="A801" s="118" t="s">
        <v>1517</v>
      </c>
      <c r="B801" s="214" t="s">
        <v>1518</v>
      </c>
      <c r="C801" s="129" t="s">
        <v>1523</v>
      </c>
      <c r="D801" s="405" t="s">
        <v>1524</v>
      </c>
      <c r="E801" s="195" t="s">
        <v>251</v>
      </c>
      <c r="F801" s="135"/>
      <c r="G801" s="136">
        <v>1</v>
      </c>
      <c r="I801" s="138"/>
      <c r="J801" s="138"/>
      <c r="K801" s="138">
        <v>5764.9100129256549</v>
      </c>
      <c r="L801" s="270">
        <f t="shared" si="48"/>
        <v>5764.9100129256549</v>
      </c>
      <c r="M801" s="140">
        <f t="shared" si="47"/>
        <v>5764.9100129256549</v>
      </c>
    </row>
    <row r="802" spans="1:13" s="118" customFormat="1" ht="11.4" customHeight="1" outlineLevel="4">
      <c r="A802" s="118" t="s">
        <v>1517</v>
      </c>
      <c r="B802" s="214" t="s">
        <v>1518</v>
      </c>
      <c r="C802" s="195" t="s">
        <v>1525</v>
      </c>
      <c r="D802" s="403" t="s">
        <v>1526</v>
      </c>
      <c r="E802" s="195" t="s">
        <v>251</v>
      </c>
      <c r="F802" s="130"/>
      <c r="G802" s="131">
        <v>1</v>
      </c>
      <c r="I802" s="120"/>
      <c r="J802" s="120"/>
      <c r="K802" s="120">
        <v>5631.0854497674318</v>
      </c>
      <c r="L802" s="270">
        <f t="shared" si="48"/>
        <v>5631.0854497674318</v>
      </c>
      <c r="M802" s="140">
        <f t="shared" si="47"/>
        <v>5631.0854497674318</v>
      </c>
    </row>
    <row r="803" spans="1:13" s="118" customFormat="1" ht="11.4" customHeight="1" outlineLevel="4">
      <c r="A803" s="118" t="s">
        <v>1517</v>
      </c>
      <c r="B803" s="214" t="s">
        <v>1518</v>
      </c>
      <c r="C803" s="129" t="s">
        <v>1527</v>
      </c>
      <c r="D803" s="403" t="s">
        <v>1528</v>
      </c>
      <c r="E803" s="195" t="s">
        <v>251</v>
      </c>
      <c r="F803" s="130"/>
      <c r="G803" s="131">
        <v>1</v>
      </c>
      <c r="I803" s="120"/>
      <c r="J803" s="120"/>
      <c r="K803" s="120">
        <v>5226.7389610836435</v>
      </c>
      <c r="L803" s="270">
        <f t="shared" si="48"/>
        <v>5226.7389610836435</v>
      </c>
      <c r="M803" s="140">
        <f t="shared" si="47"/>
        <v>5226.7389610836435</v>
      </c>
    </row>
    <row r="804" spans="1:13" s="118" customFormat="1" ht="11.4" customHeight="1" outlineLevel="4">
      <c r="A804" s="118" t="s">
        <v>1517</v>
      </c>
      <c r="B804" s="214" t="s">
        <v>1518</v>
      </c>
      <c r="C804" s="195" t="s">
        <v>1529</v>
      </c>
      <c r="D804" s="403" t="s">
        <v>1530</v>
      </c>
      <c r="E804" s="195" t="s">
        <v>251</v>
      </c>
      <c r="F804" s="130"/>
      <c r="G804" s="131">
        <v>1</v>
      </c>
      <c r="I804" s="120"/>
      <c r="J804" s="120"/>
      <c r="K804" s="120">
        <v>4036.4823887601656</v>
      </c>
      <c r="L804" s="270">
        <f t="shared" si="48"/>
        <v>4036.4823887601656</v>
      </c>
      <c r="M804" s="140">
        <f t="shared" si="47"/>
        <v>4036.4823887601656</v>
      </c>
    </row>
    <row r="805" spans="1:13" s="118" customFormat="1" ht="11.4" customHeight="1" outlineLevel="4">
      <c r="A805" s="118" t="s">
        <v>1517</v>
      </c>
      <c r="B805" s="214" t="s">
        <v>1518</v>
      </c>
      <c r="C805" s="129" t="s">
        <v>1531</v>
      </c>
      <c r="D805" s="403" t="s">
        <v>1532</v>
      </c>
      <c r="E805" s="195" t="s">
        <v>251</v>
      </c>
      <c r="F805" s="130"/>
      <c r="G805" s="131">
        <v>1</v>
      </c>
      <c r="I805" s="120"/>
      <c r="J805" s="120"/>
      <c r="K805" s="120">
        <v>2706.0172550359757</v>
      </c>
      <c r="L805" s="270">
        <f t="shared" si="48"/>
        <v>2706.0172550359757</v>
      </c>
      <c r="M805" s="140">
        <f t="shared" si="47"/>
        <v>2706.0172550359757</v>
      </c>
    </row>
    <row r="806" spans="1:13" s="118" customFormat="1" ht="11.4" customHeight="1" outlineLevel="4">
      <c r="A806" s="118" t="s">
        <v>1517</v>
      </c>
      <c r="B806" s="214" t="s">
        <v>1518</v>
      </c>
      <c r="C806" s="195" t="s">
        <v>1533</v>
      </c>
      <c r="D806" s="403" t="s">
        <v>1534</v>
      </c>
      <c r="E806" s="195" t="s">
        <v>251</v>
      </c>
      <c r="F806" s="130"/>
      <c r="G806" s="131">
        <v>1</v>
      </c>
      <c r="I806" s="120"/>
      <c r="J806" s="120"/>
      <c r="K806" s="120">
        <v>5642.4968466258852</v>
      </c>
      <c r="L806" s="270">
        <f t="shared" si="48"/>
        <v>5642.4968466258852</v>
      </c>
      <c r="M806" s="140">
        <f t="shared" si="47"/>
        <v>5642.4968466258852</v>
      </c>
    </row>
    <row r="807" spans="1:13" s="118" customFormat="1" ht="11.4" customHeight="1" outlineLevel="4">
      <c r="A807" s="118" t="s">
        <v>1517</v>
      </c>
      <c r="B807" s="214" t="s">
        <v>1518</v>
      </c>
      <c r="C807" s="129" t="s">
        <v>1535</v>
      </c>
      <c r="D807" s="403" t="s">
        <v>1536</v>
      </c>
      <c r="E807" s="195" t="s">
        <v>251</v>
      </c>
      <c r="F807" s="130"/>
      <c r="G807" s="131">
        <v>1</v>
      </c>
      <c r="I807" s="120"/>
      <c r="J807" s="120"/>
      <c r="K807" s="120">
        <v>5003.7379224756196</v>
      </c>
      <c r="L807" s="270">
        <f t="shared" si="48"/>
        <v>5003.7379224756196</v>
      </c>
      <c r="M807" s="140">
        <f t="shared" si="47"/>
        <v>5003.7379224756196</v>
      </c>
    </row>
    <row r="808" spans="1:13" s="118" customFormat="1" ht="11.4" customHeight="1" outlineLevel="4">
      <c r="A808" s="118" t="s">
        <v>1517</v>
      </c>
      <c r="B808" s="214" t="s">
        <v>1518</v>
      </c>
      <c r="C808" s="195" t="s">
        <v>1537</v>
      </c>
      <c r="D808" s="403" t="s">
        <v>1538</v>
      </c>
      <c r="E808" s="195" t="s">
        <v>251</v>
      </c>
      <c r="F808" s="130"/>
      <c r="G808" s="131">
        <v>1</v>
      </c>
      <c r="I808" s="120"/>
      <c r="J808" s="120"/>
      <c r="K808" s="120">
        <v>8198.8891428534716</v>
      </c>
      <c r="L808" s="270">
        <f t="shared" si="48"/>
        <v>8198.8891428534716</v>
      </c>
      <c r="M808" s="140">
        <f t="shared" si="47"/>
        <v>8198.8891428534716</v>
      </c>
    </row>
    <row r="809" spans="1:13" s="255" customFormat="1" ht="11.4" customHeight="1" outlineLevel="4">
      <c r="A809" s="255" t="s">
        <v>1517</v>
      </c>
      <c r="B809" s="340" t="s">
        <v>1518</v>
      </c>
      <c r="C809" s="244" t="s">
        <v>1539</v>
      </c>
      <c r="D809" s="406" t="s">
        <v>1540</v>
      </c>
      <c r="E809" s="341" t="s">
        <v>251</v>
      </c>
      <c r="F809" s="271"/>
      <c r="G809" s="254">
        <v>1</v>
      </c>
      <c r="I809" s="256"/>
      <c r="J809" s="256"/>
      <c r="K809" s="256">
        <f>129.71*3.75</f>
        <v>486.41250000000002</v>
      </c>
      <c r="L809" s="272">
        <f t="shared" si="48"/>
        <v>486.41250000000002</v>
      </c>
      <c r="M809" s="348">
        <f t="shared" si="47"/>
        <v>486.41250000000002</v>
      </c>
    </row>
    <row r="810" spans="1:13" s="255" customFormat="1" ht="11.4" customHeight="1" outlineLevel="4">
      <c r="A810" s="255" t="s">
        <v>1517</v>
      </c>
      <c r="B810" s="340" t="s">
        <v>1518</v>
      </c>
      <c r="C810" s="341" t="s">
        <v>1541</v>
      </c>
      <c r="D810" s="406" t="s">
        <v>1542</v>
      </c>
      <c r="E810" s="341" t="s">
        <v>251</v>
      </c>
      <c r="F810" s="271"/>
      <c r="G810" s="254">
        <v>2</v>
      </c>
      <c r="I810" s="256"/>
      <c r="J810" s="256"/>
      <c r="K810" s="256">
        <f>125.26*3.75</f>
        <v>469.72500000000002</v>
      </c>
      <c r="L810" s="272">
        <f t="shared" si="48"/>
        <v>469.72500000000002</v>
      </c>
      <c r="M810" s="348">
        <f t="shared" si="47"/>
        <v>939.45</v>
      </c>
    </row>
    <row r="811" spans="1:13" s="255" customFormat="1" ht="11.4" customHeight="1" outlineLevel="4">
      <c r="A811" s="255" t="s">
        <v>1517</v>
      </c>
      <c r="B811" s="340" t="s">
        <v>1518</v>
      </c>
      <c r="C811" s="244" t="s">
        <v>1543</v>
      </c>
      <c r="D811" s="406" t="s">
        <v>1544</v>
      </c>
      <c r="E811" s="341" t="s">
        <v>251</v>
      </c>
      <c r="F811" s="271"/>
      <c r="G811" s="254">
        <v>1</v>
      </c>
      <c r="I811" s="256"/>
      <c r="J811" s="256"/>
      <c r="K811" s="256">
        <f>354.22*3.75</f>
        <v>1328.325</v>
      </c>
      <c r="L811" s="272">
        <f t="shared" si="48"/>
        <v>1328.325</v>
      </c>
      <c r="M811" s="348">
        <f t="shared" si="47"/>
        <v>1328.325</v>
      </c>
    </row>
    <row r="812" spans="1:13" s="255" customFormat="1" ht="11.4" customHeight="1" outlineLevel="4">
      <c r="A812" s="255" t="s">
        <v>1517</v>
      </c>
      <c r="B812" s="340" t="s">
        <v>1518</v>
      </c>
      <c r="C812" s="341" t="s">
        <v>1545</v>
      </c>
      <c r="D812" s="406" t="s">
        <v>1546</v>
      </c>
      <c r="E812" s="341" t="s">
        <v>251</v>
      </c>
      <c r="F812" s="271"/>
      <c r="G812" s="254">
        <v>2</v>
      </c>
      <c r="I812" s="256"/>
      <c r="J812" s="256"/>
      <c r="K812" s="256">
        <f>103.28*3.75</f>
        <v>387.3</v>
      </c>
      <c r="L812" s="272">
        <f t="shared" si="48"/>
        <v>387.3</v>
      </c>
      <c r="M812" s="348">
        <f t="shared" si="47"/>
        <v>774.6</v>
      </c>
    </row>
    <row r="813" spans="1:13" s="118" customFormat="1" ht="10.199999999999999" outlineLevel="4">
      <c r="A813" s="118" t="s">
        <v>1547</v>
      </c>
      <c r="B813" s="116" t="s">
        <v>1518</v>
      </c>
      <c r="C813" s="129" t="s">
        <v>1548</v>
      </c>
      <c r="D813" s="403" t="s">
        <v>1549</v>
      </c>
      <c r="E813" s="129" t="s">
        <v>228</v>
      </c>
      <c r="F813" s="130"/>
      <c r="G813" s="131">
        <v>1</v>
      </c>
      <c r="I813" s="120"/>
      <c r="J813" s="120"/>
      <c r="K813" s="120">
        <v>35000</v>
      </c>
      <c r="L813" s="270">
        <f t="shared" si="48"/>
        <v>35000</v>
      </c>
      <c r="M813" s="140">
        <f t="shared" si="47"/>
        <v>35000</v>
      </c>
    </row>
    <row r="814" spans="1:13" s="118" customFormat="1" ht="10.199999999999999" outlineLevel="4">
      <c r="A814" s="118" t="s">
        <v>1547</v>
      </c>
      <c r="B814" s="116" t="s">
        <v>1518</v>
      </c>
      <c r="C814" s="195" t="s">
        <v>1550</v>
      </c>
      <c r="D814" s="403" t="s">
        <v>1551</v>
      </c>
      <c r="E814" s="129" t="s">
        <v>228</v>
      </c>
      <c r="F814" s="130"/>
      <c r="G814" s="131">
        <v>1</v>
      </c>
      <c r="I814" s="120"/>
      <c r="J814" s="120"/>
      <c r="K814" s="120">
        <v>4700</v>
      </c>
      <c r="L814" s="270">
        <f t="shared" si="48"/>
        <v>4700</v>
      </c>
      <c r="M814" s="140">
        <f t="shared" si="47"/>
        <v>4700</v>
      </c>
    </row>
    <row r="815" spans="1:13" s="118" customFormat="1" ht="10.199999999999999" outlineLevel="3">
      <c r="B815" s="116"/>
      <c r="C815" s="158" t="s">
        <v>1552</v>
      </c>
      <c r="D815" s="402" t="s">
        <v>1553</v>
      </c>
      <c r="F815" s="266"/>
      <c r="G815" s="116"/>
      <c r="I815" s="120"/>
      <c r="J815" s="120"/>
      <c r="K815" s="120"/>
      <c r="L815" s="133"/>
      <c r="M815" s="267">
        <f>SUM(M816:M879)</f>
        <v>1649622.0749999997</v>
      </c>
    </row>
    <row r="816" spans="1:13" s="118" customFormat="1" ht="10.199999999999999" outlineLevel="4">
      <c r="B816" s="116"/>
      <c r="C816" s="129" t="s">
        <v>1554</v>
      </c>
      <c r="D816" s="407" t="s">
        <v>1555</v>
      </c>
      <c r="E816" s="129" t="s">
        <v>251</v>
      </c>
      <c r="F816" s="130"/>
      <c r="G816" s="131"/>
      <c r="I816" s="120"/>
      <c r="J816" s="120"/>
      <c r="K816" s="120"/>
      <c r="L816" s="270"/>
      <c r="M816" s="134"/>
    </row>
    <row r="817" spans="1:13" s="255" customFormat="1" ht="12.6" customHeight="1" outlineLevel="4">
      <c r="A817" s="255" t="s">
        <v>1547</v>
      </c>
      <c r="B817" s="269" t="s">
        <v>1518</v>
      </c>
      <c r="C817" s="244" t="s">
        <v>1556</v>
      </c>
      <c r="D817" s="406" t="s">
        <v>1557</v>
      </c>
      <c r="E817" s="244" t="s">
        <v>251</v>
      </c>
      <c r="F817" s="271"/>
      <c r="G817" s="254">
        <v>1</v>
      </c>
      <c r="I817" s="256"/>
      <c r="J817" s="256"/>
      <c r="K817" s="256">
        <f>977.79*3.75</f>
        <v>3666.7124999999996</v>
      </c>
      <c r="L817" s="272">
        <f t="shared" ref="L817:L822" si="49">SUM(H817:K817)</f>
        <v>3666.7124999999996</v>
      </c>
      <c r="M817" s="258">
        <f t="shared" ref="M817:M822" si="50">+L817*G817</f>
        <v>3666.7124999999996</v>
      </c>
    </row>
    <row r="818" spans="1:13" s="255" customFormat="1" ht="12.6" customHeight="1" outlineLevel="4">
      <c r="A818" s="255" t="s">
        <v>1547</v>
      </c>
      <c r="B818" s="269" t="s">
        <v>1518</v>
      </c>
      <c r="C818" s="244" t="s">
        <v>1558</v>
      </c>
      <c r="D818" s="406" t="s">
        <v>1559</v>
      </c>
      <c r="E818" s="244" t="s">
        <v>251</v>
      </c>
      <c r="F818" s="271"/>
      <c r="G818" s="254">
        <v>14</v>
      </c>
      <c r="I818" s="256"/>
      <c r="J818" s="256"/>
      <c r="K818" s="256">
        <f>354.34*3.75</f>
        <v>1328.7749999999999</v>
      </c>
      <c r="L818" s="272">
        <f t="shared" si="49"/>
        <v>1328.7749999999999</v>
      </c>
      <c r="M818" s="258">
        <f t="shared" si="50"/>
        <v>18602.849999999999</v>
      </c>
    </row>
    <row r="819" spans="1:13" s="255" customFormat="1" ht="12.6" customHeight="1" outlineLevel="4">
      <c r="A819" s="255" t="s">
        <v>1547</v>
      </c>
      <c r="B819" s="269" t="s">
        <v>1518</v>
      </c>
      <c r="C819" s="244" t="s">
        <v>1560</v>
      </c>
      <c r="D819" s="406" t="s">
        <v>1561</v>
      </c>
      <c r="E819" s="244" t="s">
        <v>251</v>
      </c>
      <c r="F819" s="271"/>
      <c r="G819" s="254">
        <v>1</v>
      </c>
      <c r="I819" s="256"/>
      <c r="J819" s="256"/>
      <c r="K819" s="256">
        <f>358.43*3.75</f>
        <v>1344.1125</v>
      </c>
      <c r="L819" s="272">
        <f t="shared" si="49"/>
        <v>1344.1125</v>
      </c>
      <c r="M819" s="258">
        <f t="shared" si="50"/>
        <v>1344.1125</v>
      </c>
    </row>
    <row r="820" spans="1:13" s="255" customFormat="1" ht="12.6" customHeight="1" outlineLevel="4">
      <c r="A820" s="255" t="s">
        <v>1547</v>
      </c>
      <c r="B820" s="269" t="s">
        <v>1518</v>
      </c>
      <c r="C820" s="244"/>
      <c r="D820" s="406" t="s">
        <v>1562</v>
      </c>
      <c r="E820" s="244" t="s">
        <v>251</v>
      </c>
      <c r="F820" s="271"/>
      <c r="G820" s="254">
        <v>14</v>
      </c>
      <c r="I820" s="256"/>
      <c r="J820" s="256"/>
      <c r="K820" s="256">
        <f>380.44*3.75</f>
        <v>1426.65</v>
      </c>
      <c r="L820" s="272">
        <f t="shared" si="49"/>
        <v>1426.65</v>
      </c>
      <c r="M820" s="258">
        <f t="shared" si="50"/>
        <v>19973.100000000002</v>
      </c>
    </row>
    <row r="821" spans="1:13" s="255" customFormat="1" ht="12.6" customHeight="1" outlineLevel="4">
      <c r="A821" s="255" t="s">
        <v>1547</v>
      </c>
      <c r="B821" s="269" t="s">
        <v>1518</v>
      </c>
      <c r="C821" s="244"/>
      <c r="D821" s="406" t="s">
        <v>1563</v>
      </c>
      <c r="E821" s="244" t="s">
        <v>251</v>
      </c>
      <c r="F821" s="271"/>
      <c r="G821" s="254">
        <v>14</v>
      </c>
      <c r="I821" s="256"/>
      <c r="J821" s="256"/>
      <c r="K821" s="256">
        <f>210.86*3.75</f>
        <v>790.72500000000002</v>
      </c>
      <c r="L821" s="272">
        <f t="shared" si="49"/>
        <v>790.72500000000002</v>
      </c>
      <c r="M821" s="258">
        <f t="shared" si="50"/>
        <v>11070.15</v>
      </c>
    </row>
    <row r="822" spans="1:13" s="255" customFormat="1" ht="12.6" customHeight="1" outlineLevel="4">
      <c r="A822" s="255" t="s">
        <v>1547</v>
      </c>
      <c r="B822" s="269" t="s">
        <v>1518</v>
      </c>
      <c r="C822" s="244"/>
      <c r="D822" s="406" t="s">
        <v>1564</v>
      </c>
      <c r="E822" s="244" t="s">
        <v>251</v>
      </c>
      <c r="F822" s="271"/>
      <c r="G822" s="254">
        <v>13</v>
      </c>
      <c r="I822" s="256"/>
      <c r="J822" s="256"/>
      <c r="K822" s="256">
        <f>201.9*3.75</f>
        <v>757.125</v>
      </c>
      <c r="L822" s="272">
        <f t="shared" si="49"/>
        <v>757.125</v>
      </c>
      <c r="M822" s="258">
        <f t="shared" si="50"/>
        <v>9842.625</v>
      </c>
    </row>
    <row r="823" spans="1:13" s="118" customFormat="1" ht="12.6" customHeight="1" outlineLevel="4">
      <c r="B823" s="116"/>
      <c r="C823" s="129"/>
      <c r="D823" s="408" t="s">
        <v>1565</v>
      </c>
      <c r="E823" s="129"/>
      <c r="F823" s="130"/>
      <c r="G823" s="131"/>
      <c r="I823" s="120"/>
      <c r="J823" s="120"/>
      <c r="K823" s="120"/>
      <c r="L823" s="270"/>
      <c r="M823" s="134"/>
    </row>
    <row r="824" spans="1:13" s="118" customFormat="1" ht="12.6" customHeight="1" outlineLevel="4">
      <c r="B824" s="116"/>
      <c r="C824" s="129"/>
      <c r="D824" s="409" t="s">
        <v>1043</v>
      </c>
      <c r="E824" s="129"/>
      <c r="F824" s="130"/>
      <c r="G824" s="131"/>
      <c r="I824" s="120"/>
      <c r="J824" s="120"/>
      <c r="K824" s="120"/>
      <c r="L824" s="270"/>
      <c r="M824" s="134"/>
    </row>
    <row r="825" spans="1:13" s="255" customFormat="1" ht="12.6" customHeight="1" outlineLevel="4">
      <c r="A825" s="255" t="s">
        <v>1547</v>
      </c>
      <c r="B825" s="269" t="s">
        <v>1518</v>
      </c>
      <c r="C825" s="244"/>
      <c r="D825" s="406" t="s">
        <v>1566</v>
      </c>
      <c r="E825" s="244" t="s">
        <v>251</v>
      </c>
      <c r="F825" s="271"/>
      <c r="G825" s="254">
        <v>1</v>
      </c>
      <c r="I825" s="256"/>
      <c r="J825" s="256"/>
      <c r="K825" s="256">
        <f>584.71*3.75</f>
        <v>2192.6625000000004</v>
      </c>
      <c r="L825" s="272">
        <f>SUM(H825:K825)</f>
        <v>2192.6625000000004</v>
      </c>
      <c r="M825" s="258">
        <f>+L825*G825</f>
        <v>2192.6625000000004</v>
      </c>
    </row>
    <row r="826" spans="1:13" s="118" customFormat="1" ht="12.6" customHeight="1" outlineLevel="4">
      <c r="B826" s="116"/>
      <c r="C826" s="129"/>
      <c r="D826" s="409" t="s">
        <v>1567</v>
      </c>
      <c r="E826" s="129"/>
      <c r="F826" s="130"/>
      <c r="G826" s="131"/>
      <c r="I826" s="120"/>
      <c r="J826" s="120"/>
      <c r="K826" s="120"/>
      <c r="L826" s="270"/>
      <c r="M826" s="134"/>
    </row>
    <row r="827" spans="1:13" s="255" customFormat="1" ht="12.6" customHeight="1" outlineLevel="4">
      <c r="A827" s="255" t="s">
        <v>1547</v>
      </c>
      <c r="B827" s="269" t="s">
        <v>1518</v>
      </c>
      <c r="C827" s="244"/>
      <c r="D827" s="406" t="s">
        <v>1568</v>
      </c>
      <c r="E827" s="244" t="s">
        <v>251</v>
      </c>
      <c r="F827" s="271"/>
      <c r="G827" s="254">
        <v>1</v>
      </c>
      <c r="I827" s="256"/>
      <c r="J827" s="256"/>
      <c r="K827" s="256">
        <f>4517.28*3.75</f>
        <v>16939.8</v>
      </c>
      <c r="L827" s="272">
        <f>SUM(H827:K827)</f>
        <v>16939.8</v>
      </c>
      <c r="M827" s="258">
        <f>+L827*G827</f>
        <v>16939.8</v>
      </c>
    </row>
    <row r="828" spans="1:13" s="255" customFormat="1" ht="12.6" customHeight="1" outlineLevel="4">
      <c r="A828" s="255" t="s">
        <v>1547</v>
      </c>
      <c r="B828" s="269" t="s">
        <v>1518</v>
      </c>
      <c r="C828" s="244"/>
      <c r="D828" s="406" t="s">
        <v>1569</v>
      </c>
      <c r="E828" s="244" t="s">
        <v>251</v>
      </c>
      <c r="F828" s="271"/>
      <c r="G828" s="254">
        <v>1</v>
      </c>
      <c r="I828" s="256"/>
      <c r="J828" s="256"/>
      <c r="K828" s="256">
        <f>1864.8*3.75</f>
        <v>6993</v>
      </c>
      <c r="L828" s="272">
        <f>SUM(H828:K828)</f>
        <v>6993</v>
      </c>
      <c r="M828" s="258">
        <f>+L828*G828</f>
        <v>6993</v>
      </c>
    </row>
    <row r="829" spans="1:13" s="118" customFormat="1" ht="12.6" customHeight="1" outlineLevel="4">
      <c r="B829" s="116"/>
      <c r="C829" s="129"/>
      <c r="D829" s="409" t="s">
        <v>1570</v>
      </c>
      <c r="E829" s="129"/>
      <c r="F829" s="130"/>
      <c r="G829" s="131"/>
      <c r="I829" s="120"/>
      <c r="J829" s="120"/>
      <c r="K829" s="120"/>
      <c r="L829" s="270"/>
      <c r="M829" s="134"/>
    </row>
    <row r="830" spans="1:13" s="255" customFormat="1" ht="12.6" customHeight="1" outlineLevel="4">
      <c r="A830" s="255" t="s">
        <v>1547</v>
      </c>
      <c r="B830" s="269" t="s">
        <v>1518</v>
      </c>
      <c r="C830" s="244"/>
      <c r="D830" s="406" t="s">
        <v>1571</v>
      </c>
      <c r="E830" s="244" t="s">
        <v>251</v>
      </c>
      <c r="F830" s="271"/>
      <c r="G830" s="254">
        <v>26</v>
      </c>
      <c r="I830" s="256"/>
      <c r="J830" s="256"/>
      <c r="K830" s="256">
        <f>497.31*3.75</f>
        <v>1864.9124999999999</v>
      </c>
      <c r="L830" s="272">
        <f t="shared" ref="L830:L863" si="51">SUM(H830:K830)</f>
        <v>1864.9124999999999</v>
      </c>
      <c r="M830" s="258">
        <f t="shared" ref="M830:M863" si="52">+L830*G830</f>
        <v>48487.724999999999</v>
      </c>
    </row>
    <row r="831" spans="1:13" s="255" customFormat="1" ht="12.6" customHeight="1" outlineLevel="4">
      <c r="A831" s="255" t="s">
        <v>1547</v>
      </c>
      <c r="B831" s="269" t="s">
        <v>1518</v>
      </c>
      <c r="C831" s="244"/>
      <c r="D831" s="406" t="s">
        <v>1572</v>
      </c>
      <c r="E831" s="244" t="s">
        <v>251</v>
      </c>
      <c r="F831" s="271"/>
      <c r="G831" s="254">
        <v>56</v>
      </c>
      <c r="I831" s="256"/>
      <c r="J831" s="256"/>
      <c r="K831" s="256">
        <f>1040.2*3.75</f>
        <v>3900.75</v>
      </c>
      <c r="L831" s="272">
        <f t="shared" si="51"/>
        <v>3900.75</v>
      </c>
      <c r="M831" s="258">
        <f t="shared" si="52"/>
        <v>218442</v>
      </c>
    </row>
    <row r="832" spans="1:13" s="255" customFormat="1" ht="12.6" customHeight="1" outlineLevel="4">
      <c r="A832" s="255" t="s">
        <v>1547</v>
      </c>
      <c r="B832" s="269" t="s">
        <v>1518</v>
      </c>
      <c r="C832" s="244"/>
      <c r="D832" s="406" t="s">
        <v>1573</v>
      </c>
      <c r="E832" s="244" t="s">
        <v>251</v>
      </c>
      <c r="F832" s="271"/>
      <c r="G832" s="254">
        <v>56</v>
      </c>
      <c r="I832" s="256"/>
      <c r="J832" s="256"/>
      <c r="K832" s="256">
        <f>292.42*3.75</f>
        <v>1096.575</v>
      </c>
      <c r="L832" s="272">
        <f t="shared" si="51"/>
        <v>1096.575</v>
      </c>
      <c r="M832" s="258">
        <f t="shared" si="52"/>
        <v>61408.200000000004</v>
      </c>
    </row>
    <row r="833" spans="1:13" s="255" customFormat="1" ht="12.6" customHeight="1" outlineLevel="4">
      <c r="A833" s="255" t="s">
        <v>1547</v>
      </c>
      <c r="B833" s="269" t="s">
        <v>1518</v>
      </c>
      <c r="C833" s="244"/>
      <c r="D833" s="406" t="s">
        <v>1574</v>
      </c>
      <c r="E833" s="244" t="s">
        <v>251</v>
      </c>
      <c r="F833" s="271"/>
      <c r="G833" s="254">
        <v>13</v>
      </c>
      <c r="I833" s="256"/>
      <c r="J833" s="256"/>
      <c r="K833" s="256">
        <f>787.14*3.75</f>
        <v>2951.7750000000001</v>
      </c>
      <c r="L833" s="272">
        <f t="shared" si="51"/>
        <v>2951.7750000000001</v>
      </c>
      <c r="M833" s="258">
        <f t="shared" si="52"/>
        <v>38373.075000000004</v>
      </c>
    </row>
    <row r="834" spans="1:13" s="255" customFormat="1" ht="12.6" customHeight="1" outlineLevel="4">
      <c r="A834" s="255" t="s">
        <v>1547</v>
      </c>
      <c r="B834" s="269" t="s">
        <v>1518</v>
      </c>
      <c r="C834" s="244"/>
      <c r="D834" s="406" t="s">
        <v>1575</v>
      </c>
      <c r="E834" s="244" t="s">
        <v>251</v>
      </c>
      <c r="F834" s="271"/>
      <c r="G834" s="254">
        <v>39</v>
      </c>
      <c r="I834" s="256"/>
      <c r="J834" s="256"/>
      <c r="K834" s="256">
        <f>703.71*3.75</f>
        <v>2638.9125000000004</v>
      </c>
      <c r="L834" s="272">
        <f t="shared" si="51"/>
        <v>2638.9125000000004</v>
      </c>
      <c r="M834" s="258">
        <f t="shared" si="52"/>
        <v>102917.58750000001</v>
      </c>
    </row>
    <row r="835" spans="1:13" s="255" customFormat="1" ht="12.6" customHeight="1" outlineLevel="4">
      <c r="A835" s="255" t="s">
        <v>1547</v>
      </c>
      <c r="B835" s="269" t="s">
        <v>1518</v>
      </c>
      <c r="C835" s="244"/>
      <c r="D835" s="406" t="s">
        <v>1576</v>
      </c>
      <c r="E835" s="244" t="s">
        <v>251</v>
      </c>
      <c r="F835" s="271"/>
      <c r="G835" s="254">
        <v>26</v>
      </c>
      <c r="I835" s="256"/>
      <c r="J835" s="256"/>
      <c r="K835" s="256">
        <f>613.87*3.75</f>
        <v>2302.0124999999998</v>
      </c>
      <c r="L835" s="272">
        <f t="shared" si="51"/>
        <v>2302.0124999999998</v>
      </c>
      <c r="M835" s="258">
        <f t="shared" si="52"/>
        <v>59852.324999999997</v>
      </c>
    </row>
    <row r="836" spans="1:13" s="255" customFormat="1" ht="12.6" customHeight="1" outlineLevel="4">
      <c r="A836" s="255" t="s">
        <v>1547</v>
      </c>
      <c r="B836" s="269" t="s">
        <v>1518</v>
      </c>
      <c r="C836" s="244"/>
      <c r="D836" s="406" t="s">
        <v>1577</v>
      </c>
      <c r="E836" s="244" t="s">
        <v>251</v>
      </c>
      <c r="F836" s="271"/>
      <c r="G836" s="254">
        <v>26</v>
      </c>
      <c r="I836" s="256"/>
      <c r="J836" s="256"/>
      <c r="K836" s="256">
        <f>610.51*3.75</f>
        <v>2289.4124999999999</v>
      </c>
      <c r="L836" s="272">
        <f t="shared" si="51"/>
        <v>2289.4124999999999</v>
      </c>
      <c r="M836" s="258">
        <f t="shared" si="52"/>
        <v>59524.724999999999</v>
      </c>
    </row>
    <row r="837" spans="1:13" s="255" customFormat="1" ht="12.6" customHeight="1" outlineLevel="4">
      <c r="A837" s="255" t="s">
        <v>1547</v>
      </c>
      <c r="B837" s="269" t="s">
        <v>1518</v>
      </c>
      <c r="C837" s="244"/>
      <c r="D837" s="406" t="s">
        <v>1578</v>
      </c>
      <c r="E837" s="244" t="s">
        <v>251</v>
      </c>
      <c r="F837" s="271"/>
      <c r="G837" s="254">
        <v>28</v>
      </c>
      <c r="I837" s="256"/>
      <c r="J837" s="256"/>
      <c r="K837" s="256">
        <f>1073.53*3.75</f>
        <v>4025.7374999999997</v>
      </c>
      <c r="L837" s="272">
        <f t="shared" si="51"/>
        <v>4025.7374999999997</v>
      </c>
      <c r="M837" s="258">
        <f t="shared" si="52"/>
        <v>112720.65</v>
      </c>
    </row>
    <row r="838" spans="1:13" s="255" customFormat="1" ht="12.6" customHeight="1" outlineLevel="4">
      <c r="A838" s="255" t="s">
        <v>1547</v>
      </c>
      <c r="B838" s="269" t="s">
        <v>1518</v>
      </c>
      <c r="C838" s="244"/>
      <c r="D838" s="406" t="s">
        <v>1579</v>
      </c>
      <c r="E838" s="244" t="s">
        <v>251</v>
      </c>
      <c r="F838" s="271"/>
      <c r="G838" s="254">
        <v>28</v>
      </c>
      <c r="I838" s="256"/>
      <c r="J838" s="256"/>
      <c r="K838" s="256">
        <f>292.42*3.75</f>
        <v>1096.575</v>
      </c>
      <c r="L838" s="272">
        <f t="shared" si="51"/>
        <v>1096.575</v>
      </c>
      <c r="M838" s="258">
        <f t="shared" si="52"/>
        <v>30704.100000000002</v>
      </c>
    </row>
    <row r="839" spans="1:13" s="255" customFormat="1" ht="12.6" customHeight="1" outlineLevel="4">
      <c r="A839" s="255" t="s">
        <v>1547</v>
      </c>
      <c r="B839" s="269" t="s">
        <v>1518</v>
      </c>
      <c r="C839" s="244"/>
      <c r="D839" s="406" t="s">
        <v>1580</v>
      </c>
      <c r="E839" s="244" t="s">
        <v>251</v>
      </c>
      <c r="F839" s="271"/>
      <c r="G839" s="254">
        <v>39</v>
      </c>
      <c r="I839" s="256"/>
      <c r="J839" s="256"/>
      <c r="K839" s="256">
        <f>630.57*3.75</f>
        <v>2364.6375000000003</v>
      </c>
      <c r="L839" s="272">
        <f t="shared" si="51"/>
        <v>2364.6375000000003</v>
      </c>
      <c r="M839" s="258">
        <f t="shared" si="52"/>
        <v>92220.862500000017</v>
      </c>
    </row>
    <row r="840" spans="1:13" s="255" customFormat="1" ht="12.6" customHeight="1" outlineLevel="4">
      <c r="A840" s="255" t="s">
        <v>1547</v>
      </c>
      <c r="B840" s="269" t="s">
        <v>1518</v>
      </c>
      <c r="C840" s="244"/>
      <c r="D840" s="406" t="s">
        <v>1581</v>
      </c>
      <c r="E840" s="244" t="s">
        <v>251</v>
      </c>
      <c r="F840" s="271"/>
      <c r="G840" s="254">
        <v>14</v>
      </c>
      <c r="I840" s="256"/>
      <c r="J840" s="256"/>
      <c r="K840" s="256">
        <f>1170.91*3.75</f>
        <v>4390.9125000000004</v>
      </c>
      <c r="L840" s="272">
        <f t="shared" si="51"/>
        <v>4390.9125000000004</v>
      </c>
      <c r="M840" s="258">
        <f t="shared" si="52"/>
        <v>61472.775000000009</v>
      </c>
    </row>
    <row r="841" spans="1:13" s="255" customFormat="1" ht="12.6" customHeight="1" outlineLevel="4">
      <c r="A841" s="255" t="s">
        <v>1547</v>
      </c>
      <c r="B841" s="269" t="s">
        <v>1518</v>
      </c>
      <c r="C841" s="244"/>
      <c r="D841" s="406" t="s">
        <v>1582</v>
      </c>
      <c r="E841" s="244" t="s">
        <v>251</v>
      </c>
      <c r="F841" s="271"/>
      <c r="G841" s="254">
        <v>14</v>
      </c>
      <c r="I841" s="256"/>
      <c r="J841" s="256"/>
      <c r="K841" s="256">
        <f>292.42*3.75</f>
        <v>1096.575</v>
      </c>
      <c r="L841" s="272">
        <f t="shared" si="51"/>
        <v>1096.575</v>
      </c>
      <c r="M841" s="258">
        <f t="shared" si="52"/>
        <v>15352.050000000001</v>
      </c>
    </row>
    <row r="842" spans="1:13" s="255" customFormat="1" ht="12.6" customHeight="1" outlineLevel="4">
      <c r="A842" s="255" t="s">
        <v>1547</v>
      </c>
      <c r="B842" s="269" t="s">
        <v>1518</v>
      </c>
      <c r="C842" s="244"/>
      <c r="D842" s="406" t="s">
        <v>1583</v>
      </c>
      <c r="E842" s="244" t="s">
        <v>251</v>
      </c>
      <c r="F842" s="271"/>
      <c r="G842" s="254">
        <v>13</v>
      </c>
      <c r="I842" s="256"/>
      <c r="J842" s="256"/>
      <c r="K842" s="256">
        <f>795.32*3.75</f>
        <v>2982.4500000000003</v>
      </c>
      <c r="L842" s="272">
        <f t="shared" si="51"/>
        <v>2982.4500000000003</v>
      </c>
      <c r="M842" s="258">
        <f t="shared" si="52"/>
        <v>38771.850000000006</v>
      </c>
    </row>
    <row r="843" spans="1:13" s="255" customFormat="1" ht="12.6" customHeight="1" outlineLevel="4">
      <c r="A843" s="255" t="s">
        <v>1547</v>
      </c>
      <c r="B843" s="269" t="s">
        <v>1518</v>
      </c>
      <c r="C843" s="244"/>
      <c r="D843" s="406" t="s">
        <v>1584</v>
      </c>
      <c r="E843" s="244" t="s">
        <v>251</v>
      </c>
      <c r="F843" s="271"/>
      <c r="G843" s="254">
        <v>1</v>
      </c>
      <c r="I843" s="256"/>
      <c r="J843" s="256"/>
      <c r="K843" s="256">
        <f>802.5*3.75</f>
        <v>3009.375</v>
      </c>
      <c r="L843" s="272">
        <f t="shared" si="51"/>
        <v>3009.375</v>
      </c>
      <c r="M843" s="258">
        <f t="shared" si="52"/>
        <v>3009.375</v>
      </c>
    </row>
    <row r="844" spans="1:13" s="255" customFormat="1" ht="12.6" customHeight="1" outlineLevel="4">
      <c r="A844" s="255" t="s">
        <v>1547</v>
      </c>
      <c r="B844" s="269" t="s">
        <v>1518</v>
      </c>
      <c r="C844" s="244"/>
      <c r="D844" s="406" t="s">
        <v>1585</v>
      </c>
      <c r="E844" s="244" t="s">
        <v>251</v>
      </c>
      <c r="F844" s="271"/>
      <c r="G844" s="254">
        <v>3</v>
      </c>
      <c r="I844" s="256"/>
      <c r="J844" s="256"/>
      <c r="K844" s="256">
        <f>816*3.75</f>
        <v>3060</v>
      </c>
      <c r="L844" s="272">
        <f t="shared" si="51"/>
        <v>3060</v>
      </c>
      <c r="M844" s="258">
        <f t="shared" si="52"/>
        <v>9180</v>
      </c>
    </row>
    <row r="845" spans="1:13" s="255" customFormat="1" ht="12.6" customHeight="1" outlineLevel="4">
      <c r="A845" s="255" t="s">
        <v>1547</v>
      </c>
      <c r="B845" s="269" t="s">
        <v>1518</v>
      </c>
      <c r="C845" s="244"/>
      <c r="D845" s="406" t="s">
        <v>1586</v>
      </c>
      <c r="E845" s="244" t="s">
        <v>251</v>
      </c>
      <c r="F845" s="271"/>
      <c r="G845" s="254">
        <v>3</v>
      </c>
      <c r="I845" s="256"/>
      <c r="J845" s="256"/>
      <c r="K845" s="256">
        <f>267.64*3.75</f>
        <v>1003.65</v>
      </c>
      <c r="L845" s="272">
        <f t="shared" si="51"/>
        <v>1003.65</v>
      </c>
      <c r="M845" s="258">
        <f t="shared" si="52"/>
        <v>3010.95</v>
      </c>
    </row>
    <row r="846" spans="1:13" s="255" customFormat="1" ht="12.6" customHeight="1" outlineLevel="4">
      <c r="A846" s="255" t="s">
        <v>1547</v>
      </c>
      <c r="B846" s="269" t="s">
        <v>1518</v>
      </c>
      <c r="C846" s="244"/>
      <c r="D846" s="406" t="s">
        <v>1587</v>
      </c>
      <c r="E846" s="244" t="s">
        <v>251</v>
      </c>
      <c r="F846" s="271"/>
      <c r="G846" s="254">
        <v>1</v>
      </c>
      <c r="I846" s="256"/>
      <c r="J846" s="256"/>
      <c r="K846" s="256">
        <f>691.31*3.75</f>
        <v>2592.4124999999999</v>
      </c>
      <c r="L846" s="272">
        <f t="shared" si="51"/>
        <v>2592.4124999999999</v>
      </c>
      <c r="M846" s="258">
        <f t="shared" si="52"/>
        <v>2592.4124999999999</v>
      </c>
    </row>
    <row r="847" spans="1:13" s="255" customFormat="1" ht="12.6" customHeight="1" outlineLevel="4">
      <c r="A847" s="255" t="s">
        <v>1547</v>
      </c>
      <c r="B847" s="269" t="s">
        <v>1518</v>
      </c>
      <c r="C847" s="244"/>
      <c r="D847" s="406" t="s">
        <v>1588</v>
      </c>
      <c r="E847" s="244" t="s">
        <v>251</v>
      </c>
      <c r="F847" s="271"/>
      <c r="G847" s="254">
        <v>11</v>
      </c>
      <c r="I847" s="256"/>
      <c r="J847" s="256"/>
      <c r="K847" s="256">
        <f>712.86*3.75</f>
        <v>2673.2249999999999</v>
      </c>
      <c r="L847" s="272">
        <f t="shared" si="51"/>
        <v>2673.2249999999999</v>
      </c>
      <c r="M847" s="258">
        <f t="shared" si="52"/>
        <v>29405.474999999999</v>
      </c>
    </row>
    <row r="848" spans="1:13" s="255" customFormat="1" ht="12.6" customHeight="1" outlineLevel="4">
      <c r="A848" s="255" t="s">
        <v>1547</v>
      </c>
      <c r="B848" s="269" t="s">
        <v>1518</v>
      </c>
      <c r="C848" s="244"/>
      <c r="D848" s="406" t="s">
        <v>1589</v>
      </c>
      <c r="E848" s="244" t="s">
        <v>251</v>
      </c>
      <c r="F848" s="271"/>
      <c r="G848" s="254">
        <v>11</v>
      </c>
      <c r="I848" s="256"/>
      <c r="J848" s="256"/>
      <c r="K848" s="256">
        <f>734.74*3.75</f>
        <v>2755.2750000000001</v>
      </c>
      <c r="L848" s="272">
        <f t="shared" si="51"/>
        <v>2755.2750000000001</v>
      </c>
      <c r="M848" s="258">
        <f t="shared" si="52"/>
        <v>30308.025000000001</v>
      </c>
    </row>
    <row r="849" spans="1:13" s="255" customFormat="1" ht="12.6" customHeight="1" outlineLevel="4">
      <c r="A849" s="255" t="s">
        <v>1547</v>
      </c>
      <c r="B849" s="269" t="s">
        <v>1518</v>
      </c>
      <c r="C849" s="244"/>
      <c r="D849" s="406" t="s">
        <v>1590</v>
      </c>
      <c r="E849" s="244" t="s">
        <v>251</v>
      </c>
      <c r="F849" s="271"/>
      <c r="G849" s="254">
        <v>11</v>
      </c>
      <c r="I849" s="256"/>
      <c r="J849" s="256"/>
      <c r="K849" s="256">
        <f>267.64*3.75</f>
        <v>1003.65</v>
      </c>
      <c r="L849" s="272">
        <f t="shared" si="51"/>
        <v>1003.65</v>
      </c>
      <c r="M849" s="258">
        <f t="shared" si="52"/>
        <v>11040.15</v>
      </c>
    </row>
    <row r="850" spans="1:13" s="255" customFormat="1" ht="12.6" customHeight="1" outlineLevel="4">
      <c r="A850" s="255" t="s">
        <v>1547</v>
      </c>
      <c r="B850" s="269" t="s">
        <v>1518</v>
      </c>
      <c r="C850" s="244"/>
      <c r="D850" s="406" t="s">
        <v>1591</v>
      </c>
      <c r="E850" s="244" t="s">
        <v>251</v>
      </c>
      <c r="F850" s="271"/>
      <c r="G850" s="254">
        <v>13</v>
      </c>
      <c r="I850" s="256"/>
      <c r="J850" s="256"/>
      <c r="K850" s="256">
        <f>585.18*3.75</f>
        <v>2194.4249999999997</v>
      </c>
      <c r="L850" s="272">
        <f t="shared" si="51"/>
        <v>2194.4249999999997</v>
      </c>
      <c r="M850" s="258">
        <f t="shared" si="52"/>
        <v>28527.524999999998</v>
      </c>
    </row>
    <row r="851" spans="1:13" s="255" customFormat="1" ht="12.6" customHeight="1" outlineLevel="4">
      <c r="A851" s="255" t="s">
        <v>1547</v>
      </c>
      <c r="B851" s="269" t="s">
        <v>1518</v>
      </c>
      <c r="C851" s="244"/>
      <c r="D851" s="406" t="s">
        <v>1592</v>
      </c>
      <c r="E851" s="244" t="s">
        <v>251</v>
      </c>
      <c r="F851" s="271"/>
      <c r="G851" s="254">
        <v>2</v>
      </c>
      <c r="I851" s="256"/>
      <c r="J851" s="256"/>
      <c r="K851" s="256">
        <f>703.56*3.75</f>
        <v>2638.35</v>
      </c>
      <c r="L851" s="272">
        <f t="shared" si="51"/>
        <v>2638.35</v>
      </c>
      <c r="M851" s="258">
        <f t="shared" si="52"/>
        <v>5276.7</v>
      </c>
    </row>
    <row r="852" spans="1:13" s="255" customFormat="1" ht="12.6" customHeight="1" outlineLevel="4">
      <c r="A852" s="255" t="s">
        <v>1547</v>
      </c>
      <c r="B852" s="269" t="s">
        <v>1518</v>
      </c>
      <c r="C852" s="244"/>
      <c r="D852" s="406" t="s">
        <v>1593</v>
      </c>
      <c r="E852" s="244" t="s">
        <v>251</v>
      </c>
      <c r="F852" s="271"/>
      <c r="G852" s="254">
        <v>13</v>
      </c>
      <c r="I852" s="256"/>
      <c r="J852" s="256"/>
      <c r="K852" s="256">
        <f>916.84*3.75</f>
        <v>3438.15</v>
      </c>
      <c r="L852" s="272">
        <f t="shared" si="51"/>
        <v>3438.15</v>
      </c>
      <c r="M852" s="258">
        <f t="shared" si="52"/>
        <v>44695.950000000004</v>
      </c>
    </row>
    <row r="853" spans="1:13" s="255" customFormat="1" ht="12.6" customHeight="1" outlineLevel="4">
      <c r="A853" s="255" t="s">
        <v>1547</v>
      </c>
      <c r="B853" s="269" t="s">
        <v>1518</v>
      </c>
      <c r="C853" s="244"/>
      <c r="D853" s="406" t="s">
        <v>1594</v>
      </c>
      <c r="E853" s="244" t="s">
        <v>251</v>
      </c>
      <c r="F853" s="271"/>
      <c r="G853" s="254">
        <v>13</v>
      </c>
      <c r="I853" s="256"/>
      <c r="J853" s="256"/>
      <c r="K853" s="256">
        <f>4037.61*3.75</f>
        <v>15141.0375</v>
      </c>
      <c r="L853" s="272">
        <f t="shared" si="51"/>
        <v>15141.0375</v>
      </c>
      <c r="M853" s="258">
        <f t="shared" si="52"/>
        <v>196833.48750000002</v>
      </c>
    </row>
    <row r="854" spans="1:13" s="255" customFormat="1" ht="12.6" customHeight="1" outlineLevel="4">
      <c r="A854" s="255" t="s">
        <v>1547</v>
      </c>
      <c r="B854" s="269" t="s">
        <v>1518</v>
      </c>
      <c r="C854" s="244"/>
      <c r="D854" s="406" t="s">
        <v>1595</v>
      </c>
      <c r="E854" s="244" t="s">
        <v>251</v>
      </c>
      <c r="F854" s="271"/>
      <c r="G854" s="254">
        <v>13</v>
      </c>
      <c r="I854" s="256"/>
      <c r="J854" s="256"/>
      <c r="K854" s="256">
        <f>756.84*3.75</f>
        <v>2838.15</v>
      </c>
      <c r="L854" s="272">
        <f t="shared" si="51"/>
        <v>2838.15</v>
      </c>
      <c r="M854" s="258">
        <f t="shared" si="52"/>
        <v>36895.950000000004</v>
      </c>
    </row>
    <row r="855" spans="1:13" s="255" customFormat="1" ht="12.6" customHeight="1" outlineLevel="4">
      <c r="A855" s="255" t="s">
        <v>1547</v>
      </c>
      <c r="B855" s="269" t="s">
        <v>1518</v>
      </c>
      <c r="C855" s="244"/>
      <c r="D855" s="406" t="s">
        <v>1596</v>
      </c>
      <c r="E855" s="244" t="s">
        <v>251</v>
      </c>
      <c r="F855" s="271"/>
      <c r="G855" s="254">
        <v>13</v>
      </c>
      <c r="I855" s="256"/>
      <c r="J855" s="256"/>
      <c r="K855" s="256">
        <f>2725.83*3.75</f>
        <v>10221.862499999999</v>
      </c>
      <c r="L855" s="272">
        <f t="shared" si="51"/>
        <v>10221.862499999999</v>
      </c>
      <c r="M855" s="258">
        <f t="shared" si="52"/>
        <v>132884.21249999999</v>
      </c>
    </row>
    <row r="856" spans="1:13" s="255" customFormat="1" ht="12.6" customHeight="1" outlineLevel="4">
      <c r="A856" s="255" t="s">
        <v>1547</v>
      </c>
      <c r="B856" s="269" t="s">
        <v>1518</v>
      </c>
      <c r="C856" s="244"/>
      <c r="D856" s="406" t="s">
        <v>1597</v>
      </c>
      <c r="E856" s="244" t="s">
        <v>251</v>
      </c>
      <c r="F856" s="271"/>
      <c r="G856" s="254">
        <v>13</v>
      </c>
      <c r="I856" s="256"/>
      <c r="J856" s="256"/>
      <c r="K856" s="256">
        <f>271.18*3.75</f>
        <v>1016.9250000000001</v>
      </c>
      <c r="L856" s="272">
        <f t="shared" si="51"/>
        <v>1016.9250000000001</v>
      </c>
      <c r="M856" s="258">
        <f t="shared" si="52"/>
        <v>13220.025000000001</v>
      </c>
    </row>
    <row r="857" spans="1:13" s="255" customFormat="1" ht="12.6" customHeight="1" outlineLevel="4">
      <c r="A857" s="255" t="s">
        <v>1547</v>
      </c>
      <c r="B857" s="269" t="s">
        <v>1518</v>
      </c>
      <c r="C857" s="244"/>
      <c r="D857" s="406" t="s">
        <v>1598</v>
      </c>
      <c r="E857" s="244" t="s">
        <v>251</v>
      </c>
      <c r="F857" s="271"/>
      <c r="G857" s="254">
        <v>2</v>
      </c>
      <c r="I857" s="256"/>
      <c r="J857" s="256"/>
      <c r="K857" s="256">
        <f>295.75*3.75</f>
        <v>1109.0625</v>
      </c>
      <c r="L857" s="272">
        <f t="shared" si="51"/>
        <v>1109.0625</v>
      </c>
      <c r="M857" s="258">
        <f t="shared" si="52"/>
        <v>2218.125</v>
      </c>
    </row>
    <row r="858" spans="1:13" s="255" customFormat="1" ht="12.6" customHeight="1" outlineLevel="4">
      <c r="A858" s="255" t="s">
        <v>1547</v>
      </c>
      <c r="B858" s="269" t="s">
        <v>1518</v>
      </c>
      <c r="C858" s="244"/>
      <c r="D858" s="406" t="s">
        <v>1599</v>
      </c>
      <c r="E858" s="244" t="s">
        <v>251</v>
      </c>
      <c r="F858" s="271"/>
      <c r="G858" s="254">
        <v>1</v>
      </c>
      <c r="I858" s="256"/>
      <c r="J858" s="256"/>
      <c r="K858" s="256">
        <f>547.65*3.75</f>
        <v>2053.6875</v>
      </c>
      <c r="L858" s="272">
        <f t="shared" si="51"/>
        <v>2053.6875</v>
      </c>
      <c r="M858" s="258">
        <f t="shared" si="52"/>
        <v>2053.6875</v>
      </c>
    </row>
    <row r="859" spans="1:13" s="255" customFormat="1" ht="12.6" customHeight="1" outlineLevel="4">
      <c r="A859" s="255" t="s">
        <v>1547</v>
      </c>
      <c r="B859" s="269" t="s">
        <v>1518</v>
      </c>
      <c r="C859" s="244"/>
      <c r="D859" s="406" t="s">
        <v>1600</v>
      </c>
      <c r="E859" s="244" t="s">
        <v>251</v>
      </c>
      <c r="F859" s="271"/>
      <c r="G859" s="254">
        <v>3</v>
      </c>
      <c r="I859" s="256"/>
      <c r="J859" s="256"/>
      <c r="K859" s="256">
        <f>476.96*3.75</f>
        <v>1788.6</v>
      </c>
      <c r="L859" s="272">
        <f t="shared" si="51"/>
        <v>1788.6</v>
      </c>
      <c r="M859" s="258">
        <f t="shared" si="52"/>
        <v>5365.7999999999993</v>
      </c>
    </row>
    <row r="860" spans="1:13" s="255" customFormat="1" ht="12.6" customHeight="1" outlineLevel="4">
      <c r="A860" s="255" t="s">
        <v>1547</v>
      </c>
      <c r="B860" s="269" t="s">
        <v>1518</v>
      </c>
      <c r="C860" s="244"/>
      <c r="D860" s="406" t="s">
        <v>1601</v>
      </c>
      <c r="E860" s="244" t="s">
        <v>251</v>
      </c>
      <c r="F860" s="271"/>
      <c r="G860" s="254">
        <v>2</v>
      </c>
      <c r="I860" s="256"/>
      <c r="J860" s="256"/>
      <c r="K860" s="256">
        <f>400.07*3.75</f>
        <v>1500.2625</v>
      </c>
      <c r="L860" s="272">
        <f t="shared" si="51"/>
        <v>1500.2625</v>
      </c>
      <c r="M860" s="258">
        <f t="shared" si="52"/>
        <v>3000.5250000000001</v>
      </c>
    </row>
    <row r="861" spans="1:13" s="255" customFormat="1" ht="12.6" customHeight="1" outlineLevel="4">
      <c r="A861" s="255" t="s">
        <v>1547</v>
      </c>
      <c r="B861" s="269" t="s">
        <v>1518</v>
      </c>
      <c r="C861" s="244"/>
      <c r="D861" s="406" t="s">
        <v>1602</v>
      </c>
      <c r="E861" s="244" t="s">
        <v>251</v>
      </c>
      <c r="F861" s="271"/>
      <c r="G861" s="254">
        <v>2</v>
      </c>
      <c r="I861" s="256"/>
      <c r="J861" s="256"/>
      <c r="K861" s="256">
        <f>392.48*3.75</f>
        <v>1471.8000000000002</v>
      </c>
      <c r="L861" s="272">
        <f t="shared" si="51"/>
        <v>1471.8000000000002</v>
      </c>
      <c r="M861" s="258">
        <f t="shared" si="52"/>
        <v>2943.6000000000004</v>
      </c>
    </row>
    <row r="862" spans="1:13" s="255" customFormat="1" ht="12.6" customHeight="1" outlineLevel="4">
      <c r="A862" s="255" t="s">
        <v>1547</v>
      </c>
      <c r="B862" s="269" t="s">
        <v>1518</v>
      </c>
      <c r="C862" s="244"/>
      <c r="D862" s="406" t="s">
        <v>1603</v>
      </c>
      <c r="E862" s="244" t="s">
        <v>251</v>
      </c>
      <c r="F862" s="271"/>
      <c r="G862" s="254">
        <v>3</v>
      </c>
      <c r="I862" s="256"/>
      <c r="J862" s="256"/>
      <c r="K862" s="256">
        <f>409.76*3.75</f>
        <v>1536.6</v>
      </c>
      <c r="L862" s="272">
        <f t="shared" si="51"/>
        <v>1536.6</v>
      </c>
      <c r="M862" s="258">
        <f t="shared" si="52"/>
        <v>4609.7999999999993</v>
      </c>
    </row>
    <row r="863" spans="1:13" s="255" customFormat="1" ht="12.6" customHeight="1" outlineLevel="4">
      <c r="A863" s="255" t="s">
        <v>1547</v>
      </c>
      <c r="B863" s="269" t="s">
        <v>1518</v>
      </c>
      <c r="C863" s="244"/>
      <c r="D863" s="406" t="s">
        <v>1604</v>
      </c>
      <c r="E863" s="244" t="s">
        <v>251</v>
      </c>
      <c r="F863" s="271"/>
      <c r="G863" s="254">
        <v>1</v>
      </c>
      <c r="I863" s="256"/>
      <c r="J863" s="256"/>
      <c r="K863" s="256">
        <f>554.05*3.75</f>
        <v>2077.6875</v>
      </c>
      <c r="L863" s="272">
        <f t="shared" si="51"/>
        <v>2077.6875</v>
      </c>
      <c r="M863" s="258">
        <f t="shared" si="52"/>
        <v>2077.6875</v>
      </c>
    </row>
    <row r="864" spans="1:13" s="118" customFormat="1" ht="12.6" customHeight="1" outlineLevel="4">
      <c r="B864" s="116"/>
      <c r="C864" s="129"/>
      <c r="D864" s="409" t="s">
        <v>1605</v>
      </c>
      <c r="E864" s="129"/>
      <c r="F864" s="130"/>
      <c r="G864" s="131"/>
      <c r="I864" s="120"/>
      <c r="J864" s="120"/>
      <c r="K864" s="120"/>
      <c r="L864" s="270"/>
      <c r="M864" s="134"/>
    </row>
    <row r="865" spans="1:13" s="168" customFormat="1" ht="12.6" customHeight="1" outlineLevel="4">
      <c r="A865" s="168" t="s">
        <v>1547</v>
      </c>
      <c r="B865" s="166" t="s">
        <v>1518</v>
      </c>
      <c r="C865" s="117"/>
      <c r="D865" s="410" t="s">
        <v>1606</v>
      </c>
      <c r="E865" s="117" t="s">
        <v>251</v>
      </c>
      <c r="F865" s="142"/>
      <c r="G865" s="167"/>
      <c r="I865" s="169"/>
      <c r="J865" s="169"/>
      <c r="K865" s="169"/>
      <c r="L865" s="273">
        <f>SUM(H865:K865)</f>
        <v>0</v>
      </c>
      <c r="M865" s="143">
        <f>+L865*G865</f>
        <v>0</v>
      </c>
    </row>
    <row r="866" spans="1:13" s="118" customFormat="1" ht="12.6" customHeight="1" outlineLevel="4">
      <c r="B866" s="116"/>
      <c r="C866" s="129"/>
      <c r="D866" s="409" t="s">
        <v>1607</v>
      </c>
      <c r="E866" s="129"/>
      <c r="F866" s="130"/>
      <c r="G866" s="131"/>
      <c r="I866" s="120"/>
      <c r="J866" s="120"/>
      <c r="K866" s="120"/>
      <c r="L866" s="270"/>
      <c r="M866" s="134"/>
    </row>
    <row r="867" spans="1:13" s="255" customFormat="1" ht="12.6" customHeight="1" outlineLevel="4">
      <c r="A867" s="255" t="s">
        <v>1547</v>
      </c>
      <c r="B867" s="269" t="s">
        <v>1518</v>
      </c>
      <c r="C867" s="244"/>
      <c r="D867" s="406" t="s">
        <v>1608</v>
      </c>
      <c r="E867" s="244" t="s">
        <v>251</v>
      </c>
      <c r="F867" s="271"/>
      <c r="G867" s="254">
        <v>1</v>
      </c>
      <c r="I867" s="256"/>
      <c r="J867" s="256"/>
      <c r="K867" s="256">
        <f>780.19*3.75</f>
        <v>2925.7125000000001</v>
      </c>
      <c r="L867" s="272">
        <f t="shared" ref="L867:L872" si="53">SUM(H867:K867)</f>
        <v>2925.7125000000001</v>
      </c>
      <c r="M867" s="258">
        <f t="shared" ref="M867:M872" si="54">+L867*G867</f>
        <v>2925.7125000000001</v>
      </c>
    </row>
    <row r="868" spans="1:13" s="255" customFormat="1" ht="12.6" customHeight="1" outlineLevel="4">
      <c r="A868" s="255" t="s">
        <v>1547</v>
      </c>
      <c r="B868" s="269" t="s">
        <v>1518</v>
      </c>
      <c r="C868" s="244"/>
      <c r="D868" s="406" t="s">
        <v>1609</v>
      </c>
      <c r="E868" s="244" t="s">
        <v>251</v>
      </c>
      <c r="F868" s="271"/>
      <c r="G868" s="254">
        <v>1</v>
      </c>
      <c r="I868" s="256"/>
      <c r="J868" s="256"/>
      <c r="K868" s="256">
        <f>3966.38*3.75</f>
        <v>14873.925000000001</v>
      </c>
      <c r="L868" s="272">
        <f t="shared" si="53"/>
        <v>14873.925000000001</v>
      </c>
      <c r="M868" s="258">
        <f t="shared" si="54"/>
        <v>14873.925000000001</v>
      </c>
    </row>
    <row r="869" spans="1:13" s="255" customFormat="1" ht="12.6" customHeight="1" outlineLevel="4">
      <c r="A869" s="255" t="s">
        <v>1547</v>
      </c>
      <c r="B869" s="269" t="s">
        <v>1518</v>
      </c>
      <c r="C869" s="244"/>
      <c r="D869" s="406" t="s">
        <v>1610</v>
      </c>
      <c r="E869" s="244" t="s">
        <v>251</v>
      </c>
      <c r="F869" s="271"/>
      <c r="G869" s="254">
        <v>1</v>
      </c>
      <c r="I869" s="256"/>
      <c r="J869" s="256"/>
      <c r="K869" s="256">
        <f>2198.52*3.75</f>
        <v>8244.4500000000007</v>
      </c>
      <c r="L869" s="272">
        <f t="shared" si="53"/>
        <v>8244.4500000000007</v>
      </c>
      <c r="M869" s="258">
        <f t="shared" si="54"/>
        <v>8244.4500000000007</v>
      </c>
    </row>
    <row r="870" spans="1:13" s="168" customFormat="1" ht="12.6" customHeight="1" outlineLevel="4">
      <c r="A870" s="168" t="s">
        <v>1547</v>
      </c>
      <c r="B870" s="166" t="s">
        <v>1518</v>
      </c>
      <c r="C870" s="117"/>
      <c r="D870" s="410" t="s">
        <v>1611</v>
      </c>
      <c r="E870" s="117" t="s">
        <v>251</v>
      </c>
      <c r="F870" s="142"/>
      <c r="G870" s="167"/>
      <c r="I870" s="169"/>
      <c r="J870" s="169"/>
      <c r="K870" s="169"/>
      <c r="L870" s="273">
        <f t="shared" si="53"/>
        <v>0</v>
      </c>
      <c r="M870" s="143">
        <f t="shared" si="54"/>
        <v>0</v>
      </c>
    </row>
    <row r="871" spans="1:13" s="168" customFormat="1" ht="12.6" customHeight="1" outlineLevel="4">
      <c r="A871" s="168" t="s">
        <v>1547</v>
      </c>
      <c r="B871" s="166" t="s">
        <v>1518</v>
      </c>
      <c r="C871" s="117"/>
      <c r="D871" s="410" t="s">
        <v>1612</v>
      </c>
      <c r="E871" s="117" t="s">
        <v>251</v>
      </c>
      <c r="F871" s="142"/>
      <c r="G871" s="167"/>
      <c r="I871" s="169"/>
      <c r="J871" s="169"/>
      <c r="K871" s="169"/>
      <c r="L871" s="273">
        <f t="shared" si="53"/>
        <v>0</v>
      </c>
      <c r="M871" s="143">
        <f t="shared" si="54"/>
        <v>0</v>
      </c>
    </row>
    <row r="872" spans="1:13" s="168" customFormat="1" ht="12.6" customHeight="1" outlineLevel="4">
      <c r="A872" s="168" t="s">
        <v>1547</v>
      </c>
      <c r="B872" s="166" t="s">
        <v>1518</v>
      </c>
      <c r="C872" s="117"/>
      <c r="D872" s="410" t="s">
        <v>1613</v>
      </c>
      <c r="E872" s="117" t="s">
        <v>251</v>
      </c>
      <c r="F872" s="142"/>
      <c r="G872" s="167"/>
      <c r="I872" s="169"/>
      <c r="J872" s="169"/>
      <c r="K872" s="169"/>
      <c r="L872" s="273">
        <f t="shared" si="53"/>
        <v>0</v>
      </c>
      <c r="M872" s="143">
        <f t="shared" si="54"/>
        <v>0</v>
      </c>
    </row>
    <row r="873" spans="1:13" s="118" customFormat="1" ht="12.6" customHeight="1" outlineLevel="4">
      <c r="B873" s="116"/>
      <c r="C873" s="129"/>
      <c r="D873" s="409" t="s">
        <v>1614</v>
      </c>
      <c r="E873" s="129"/>
      <c r="F873" s="130"/>
      <c r="G873" s="131"/>
      <c r="I873" s="120"/>
      <c r="J873" s="120"/>
      <c r="K873" s="120"/>
      <c r="L873" s="270"/>
      <c r="M873" s="134"/>
    </row>
    <row r="874" spans="1:13" s="255" customFormat="1" ht="12.6" customHeight="1" outlineLevel="4">
      <c r="A874" s="255" t="s">
        <v>1547</v>
      </c>
      <c r="B874" s="269" t="s">
        <v>1518</v>
      </c>
      <c r="C874" s="244"/>
      <c r="D874" s="406" t="s">
        <v>1615</v>
      </c>
      <c r="E874" s="244" t="s">
        <v>251</v>
      </c>
      <c r="F874" s="271"/>
      <c r="G874" s="254">
        <v>1</v>
      </c>
      <c r="I874" s="256"/>
      <c r="J874" s="256"/>
      <c r="K874" s="256">
        <f>845.25*3.75</f>
        <v>3169.6875</v>
      </c>
      <c r="L874" s="272">
        <f>SUM(H874:K874)</f>
        <v>3169.6875</v>
      </c>
      <c r="M874" s="258">
        <f>+L874*G874</f>
        <v>3169.6875</v>
      </c>
    </row>
    <row r="875" spans="1:13" s="255" customFormat="1" ht="12.6" customHeight="1" outlineLevel="4">
      <c r="A875" s="255" t="s">
        <v>1547</v>
      </c>
      <c r="B875" s="269" t="s">
        <v>1518</v>
      </c>
      <c r="C875" s="244"/>
      <c r="D875" s="406" t="s">
        <v>1616</v>
      </c>
      <c r="E875" s="244" t="s">
        <v>251</v>
      </c>
      <c r="F875" s="271"/>
      <c r="G875" s="254">
        <v>1</v>
      </c>
      <c r="I875" s="256"/>
      <c r="J875" s="256"/>
      <c r="K875" s="256">
        <f>2572.8*3.75</f>
        <v>9648</v>
      </c>
      <c r="L875" s="272">
        <f>SUM(H875:K875)</f>
        <v>9648</v>
      </c>
      <c r="M875" s="258">
        <f>+L875*G875</f>
        <v>9648</v>
      </c>
    </row>
    <row r="876" spans="1:13" s="255" customFormat="1" ht="12.6" customHeight="1" outlineLevel="4">
      <c r="A876" s="255" t="s">
        <v>1547</v>
      </c>
      <c r="B876" s="269" t="s">
        <v>1518</v>
      </c>
      <c r="C876" s="244"/>
      <c r="D876" s="406" t="s">
        <v>1617</v>
      </c>
      <c r="E876" s="244" t="s">
        <v>251</v>
      </c>
      <c r="F876" s="271"/>
      <c r="G876" s="254">
        <v>1</v>
      </c>
      <c r="I876" s="256"/>
      <c r="J876" s="256"/>
      <c r="K876" s="256">
        <f>1947.98*3.75</f>
        <v>7304.9250000000002</v>
      </c>
      <c r="L876" s="272">
        <f>SUM(H876:K876)</f>
        <v>7304.9250000000002</v>
      </c>
      <c r="M876" s="258">
        <f>+L876*G876</f>
        <v>7304.9250000000002</v>
      </c>
    </row>
    <row r="877" spans="1:13" s="255" customFormat="1" ht="12.6" customHeight="1" outlineLevel="4">
      <c r="A877" s="255" t="s">
        <v>1547</v>
      </c>
      <c r="B877" s="269" t="s">
        <v>1518</v>
      </c>
      <c r="C877" s="244"/>
      <c r="D877" s="406" t="s">
        <v>1618</v>
      </c>
      <c r="E877" s="244" t="s">
        <v>251</v>
      </c>
      <c r="F877" s="271"/>
      <c r="G877" s="254">
        <v>1</v>
      </c>
      <c r="I877" s="256"/>
      <c r="J877" s="256"/>
      <c r="K877" s="256">
        <f>915.46*3.75</f>
        <v>3432.9750000000004</v>
      </c>
      <c r="L877" s="272">
        <f>SUM(H877:K877)</f>
        <v>3432.9750000000004</v>
      </c>
      <c r="M877" s="258">
        <f>+L877*G877</f>
        <v>3432.9750000000004</v>
      </c>
    </row>
    <row r="878" spans="1:13" s="118" customFormat="1" ht="12.6" customHeight="1" outlineLevel="4">
      <c r="B878" s="116"/>
      <c r="C878" s="129"/>
      <c r="D878" s="409" t="s">
        <v>1619</v>
      </c>
      <c r="E878" s="129"/>
      <c r="F878" s="130"/>
      <c r="G878" s="131"/>
      <c r="I878" s="120"/>
      <c r="J878" s="120"/>
      <c r="K878" s="120"/>
      <c r="L878" s="270"/>
      <c r="M878" s="134"/>
    </row>
    <row r="879" spans="1:13" s="168" customFormat="1" ht="12.6" customHeight="1" outlineLevel="4">
      <c r="A879" s="168" t="s">
        <v>1547</v>
      </c>
      <c r="B879" s="166" t="s">
        <v>1518</v>
      </c>
      <c r="C879" s="117"/>
      <c r="D879" s="410" t="s">
        <v>1620</v>
      </c>
      <c r="E879" s="117" t="s">
        <v>251</v>
      </c>
      <c r="F879" s="142"/>
      <c r="G879" s="167"/>
      <c r="I879" s="169"/>
      <c r="J879" s="169"/>
      <c r="K879" s="169"/>
      <c r="L879" s="273">
        <f>SUM(H879:K879)</f>
        <v>0</v>
      </c>
      <c r="M879" s="143">
        <f>+L879*G879</f>
        <v>0</v>
      </c>
    </row>
    <row r="880" spans="1:13" s="118" customFormat="1" ht="12.6" customHeight="1" outlineLevel="4">
      <c r="B880" s="116"/>
      <c r="C880" s="129"/>
      <c r="D880" s="403"/>
      <c r="E880" s="129"/>
      <c r="F880" s="130"/>
      <c r="G880" s="131"/>
      <c r="I880" s="120"/>
      <c r="J880" s="120"/>
      <c r="K880" s="120"/>
      <c r="L880" s="270"/>
      <c r="M880" s="134"/>
    </row>
    <row r="881" spans="1:13" s="118" customFormat="1" ht="10.199999999999999" outlineLevel="3">
      <c r="B881" s="116"/>
      <c r="C881" s="158" t="s">
        <v>1621</v>
      </c>
      <c r="D881" s="158" t="s">
        <v>1622</v>
      </c>
      <c r="F881" s="266"/>
      <c r="G881" s="116"/>
      <c r="I881" s="120"/>
      <c r="J881" s="120"/>
      <c r="K881" s="120"/>
      <c r="L881" s="133"/>
      <c r="M881" s="267">
        <f>SUM(M882:M886)</f>
        <v>181083.1</v>
      </c>
    </row>
    <row r="882" spans="1:13" s="168" customFormat="1" ht="10.199999999999999" outlineLevel="4">
      <c r="A882" s="118" t="s">
        <v>1623</v>
      </c>
      <c r="B882" s="166" t="s">
        <v>1518</v>
      </c>
      <c r="C882" s="117" t="s">
        <v>1624</v>
      </c>
      <c r="D882" s="220" t="s">
        <v>1625</v>
      </c>
      <c r="E882" s="117" t="s">
        <v>1025</v>
      </c>
      <c r="F882" s="142"/>
      <c r="G882" s="167"/>
      <c r="I882" s="169"/>
      <c r="J882" s="169"/>
      <c r="K882" s="169">
        <v>847.77</v>
      </c>
      <c r="L882" s="273">
        <f>SUM(H882:K882)</f>
        <v>847.77</v>
      </c>
      <c r="M882" s="143">
        <f>+L882*G882</f>
        <v>0</v>
      </c>
    </row>
    <row r="883" spans="1:13" s="168" customFormat="1" ht="10.199999999999999" outlineLevel="4">
      <c r="A883" s="118" t="s">
        <v>1623</v>
      </c>
      <c r="B883" s="166" t="s">
        <v>1518</v>
      </c>
      <c r="C883" s="117" t="s">
        <v>1626</v>
      </c>
      <c r="D883" s="220" t="s">
        <v>1627</v>
      </c>
      <c r="E883" s="117" t="s">
        <v>1025</v>
      </c>
      <c r="F883" s="142"/>
      <c r="G883" s="167">
        <v>1</v>
      </c>
      <c r="I883" s="169"/>
      <c r="J883" s="169"/>
      <c r="K883" s="169">
        <v>847.77</v>
      </c>
      <c r="L883" s="273">
        <f>SUM(H883:K883)</f>
        <v>847.77</v>
      </c>
      <c r="M883" s="143">
        <f>+L883*G883</f>
        <v>847.77</v>
      </c>
    </row>
    <row r="884" spans="1:13" s="168" customFormat="1" ht="10.199999999999999" outlineLevel="4">
      <c r="A884" s="118" t="s">
        <v>1623</v>
      </c>
      <c r="B884" s="166" t="s">
        <v>1518</v>
      </c>
      <c r="C884" s="117" t="s">
        <v>1628</v>
      </c>
      <c r="D884" s="220" t="s">
        <v>1629</v>
      </c>
      <c r="E884" s="117" t="s">
        <v>1025</v>
      </c>
      <c r="F884" s="142"/>
      <c r="G884" s="167">
        <v>0</v>
      </c>
      <c r="I884" s="169"/>
      <c r="J884" s="169"/>
      <c r="K884" s="169">
        <v>847.77</v>
      </c>
      <c r="L884" s="273">
        <f>SUM(H884:K884)</f>
        <v>847.77</v>
      </c>
      <c r="M884" s="143">
        <f>+L884*G884</f>
        <v>0</v>
      </c>
    </row>
    <row r="885" spans="1:13" s="118" customFormat="1" ht="10.199999999999999" outlineLevel="4">
      <c r="A885" s="118" t="s">
        <v>1623</v>
      </c>
      <c r="B885" s="116" t="s">
        <v>1518</v>
      </c>
      <c r="C885" s="129"/>
      <c r="D885" s="278" t="s">
        <v>1630</v>
      </c>
      <c r="E885" s="129" t="s">
        <v>1025</v>
      </c>
      <c r="F885" s="130"/>
      <c r="G885" s="131">
        <v>1</v>
      </c>
      <c r="I885" s="120"/>
      <c r="J885" s="120"/>
      <c r="K885" s="120">
        <v>180235.33000000002</v>
      </c>
      <c r="L885" s="270">
        <f>SUM(H885:K885)</f>
        <v>180235.33000000002</v>
      </c>
      <c r="M885" s="134">
        <f>+L885*G885</f>
        <v>180235.33000000002</v>
      </c>
    </row>
    <row r="886" spans="1:13" s="168" customFormat="1" ht="10.199999999999999" outlineLevel="4">
      <c r="A886" s="168" t="s">
        <v>1481</v>
      </c>
      <c r="B886" s="166" t="s">
        <v>967</v>
      </c>
      <c r="C886" s="117" t="s">
        <v>1631</v>
      </c>
      <c r="D886" s="379" t="s">
        <v>1632</v>
      </c>
      <c r="E886" s="117" t="s">
        <v>1633</v>
      </c>
      <c r="F886" s="142"/>
      <c r="G886" s="167">
        <v>0</v>
      </c>
      <c r="I886" s="169"/>
      <c r="J886" s="169"/>
      <c r="K886" s="169">
        <v>1300</v>
      </c>
      <c r="L886" s="273">
        <f>SUM(H886:K886)</f>
        <v>1300</v>
      </c>
      <c r="M886" s="143">
        <f>+L886*G886</f>
        <v>0</v>
      </c>
    </row>
    <row r="887" spans="1:13" s="118" customFormat="1" ht="10.199999999999999" outlineLevel="3">
      <c r="B887" s="116"/>
      <c r="C887" s="129"/>
      <c r="D887" s="210"/>
      <c r="E887" s="129"/>
      <c r="F887" s="130"/>
      <c r="G887" s="131"/>
      <c r="I887" s="120"/>
      <c r="J887" s="120"/>
      <c r="K887" s="120"/>
      <c r="L887" s="270"/>
      <c r="M887" s="134"/>
    </row>
    <row r="888" spans="1:13" s="118" customFormat="1" ht="10.199999999999999" outlineLevel="2">
      <c r="B888" s="116"/>
      <c r="C888" s="126" t="s">
        <v>1634</v>
      </c>
      <c r="D888" s="126" t="s">
        <v>1635</v>
      </c>
      <c r="F888" s="161"/>
      <c r="G888" s="116"/>
      <c r="I888" s="120"/>
      <c r="J888" s="120"/>
      <c r="K888" s="120"/>
      <c r="L888" s="133"/>
      <c r="M888" s="264">
        <f>+M889+M900</f>
        <v>473400.09824999998</v>
      </c>
    </row>
    <row r="889" spans="1:13" s="118" customFormat="1" ht="10.199999999999999" outlineLevel="3">
      <c r="B889" s="116"/>
      <c r="C889" s="158" t="s">
        <v>1636</v>
      </c>
      <c r="D889" s="158" t="s">
        <v>1637</v>
      </c>
      <c r="F889" s="266"/>
      <c r="G889" s="116"/>
      <c r="I889" s="120"/>
      <c r="J889" s="120"/>
      <c r="K889" s="120"/>
      <c r="L889" s="133"/>
      <c r="M889" s="267">
        <f>SUM(M890:M899)</f>
        <v>250594.52799999999</v>
      </c>
    </row>
    <row r="890" spans="1:13" s="118" customFormat="1" ht="10.199999999999999" outlineLevel="4">
      <c r="B890" s="116" t="s">
        <v>1638</v>
      </c>
      <c r="C890" s="129" t="s">
        <v>1639</v>
      </c>
      <c r="D890" s="218" t="s">
        <v>1640</v>
      </c>
      <c r="E890" s="129" t="s">
        <v>890</v>
      </c>
      <c r="F890" s="130"/>
      <c r="G890" s="131">
        <v>6</v>
      </c>
      <c r="I890" s="120">
        <v>229</v>
      </c>
      <c r="J890" s="120"/>
      <c r="K890" s="120"/>
      <c r="L890" s="270">
        <f t="shared" ref="L890:L899" si="55">SUM(H890:K890)</f>
        <v>229</v>
      </c>
      <c r="M890" s="134">
        <f t="shared" ref="M890:M899" si="56">+L890*G890</f>
        <v>1374</v>
      </c>
    </row>
    <row r="891" spans="1:13" s="118" customFormat="1" ht="10.199999999999999" outlineLevel="4">
      <c r="B891" s="116" t="s">
        <v>1638</v>
      </c>
      <c r="C891" s="129" t="s">
        <v>1641</v>
      </c>
      <c r="D891" s="218" t="s">
        <v>1642</v>
      </c>
      <c r="E891" s="129" t="s">
        <v>251</v>
      </c>
      <c r="F891" s="130"/>
      <c r="G891" s="131">
        <v>6</v>
      </c>
      <c r="I891" s="120">
        <v>72</v>
      </c>
      <c r="J891" s="120"/>
      <c r="K891" s="120"/>
      <c r="L891" s="270">
        <f t="shared" si="55"/>
        <v>72</v>
      </c>
      <c r="M891" s="134">
        <f t="shared" si="56"/>
        <v>432</v>
      </c>
    </row>
    <row r="892" spans="1:13" s="118" customFormat="1" ht="10.199999999999999" outlineLevel="4">
      <c r="B892" s="116" t="s">
        <v>1638</v>
      </c>
      <c r="C892" s="129" t="s">
        <v>1643</v>
      </c>
      <c r="D892" s="218" t="s">
        <v>1644</v>
      </c>
      <c r="E892" s="129" t="s">
        <v>251</v>
      </c>
      <c r="F892" s="130"/>
      <c r="G892" s="131">
        <v>4</v>
      </c>
      <c r="I892" s="120">
        <v>200</v>
      </c>
      <c r="J892" s="120"/>
      <c r="K892" s="120"/>
      <c r="L892" s="270">
        <f t="shared" si="55"/>
        <v>200</v>
      </c>
      <c r="M892" s="134">
        <f t="shared" si="56"/>
        <v>800</v>
      </c>
    </row>
    <row r="893" spans="1:13" s="118" customFormat="1" ht="10.199999999999999" outlineLevel="4">
      <c r="B893" s="116" t="s">
        <v>1638</v>
      </c>
      <c r="C893" s="129" t="s">
        <v>1645</v>
      </c>
      <c r="D893" s="218" t="s">
        <v>1646</v>
      </c>
      <c r="E893" s="129" t="s">
        <v>890</v>
      </c>
      <c r="F893" s="130"/>
      <c r="G893" s="131">
        <v>1</v>
      </c>
      <c r="I893" s="120">
        <v>305</v>
      </c>
      <c r="J893" s="120"/>
      <c r="K893" s="120"/>
      <c r="L893" s="270">
        <f t="shared" si="55"/>
        <v>305</v>
      </c>
      <c r="M893" s="134">
        <f t="shared" si="56"/>
        <v>305</v>
      </c>
    </row>
    <row r="894" spans="1:13" s="118" customFormat="1" ht="10.199999999999999" outlineLevel="4">
      <c r="B894" s="116" t="s">
        <v>1638</v>
      </c>
      <c r="C894" s="129" t="s">
        <v>1647</v>
      </c>
      <c r="D894" s="218" t="s">
        <v>1648</v>
      </c>
      <c r="E894" s="129" t="s">
        <v>890</v>
      </c>
      <c r="F894" s="130"/>
      <c r="G894" s="131">
        <v>1</v>
      </c>
      <c r="I894" s="120">
        <v>240</v>
      </c>
      <c r="J894" s="120"/>
      <c r="K894" s="120"/>
      <c r="L894" s="270">
        <f t="shared" si="55"/>
        <v>240</v>
      </c>
      <c r="M894" s="134">
        <f t="shared" si="56"/>
        <v>240</v>
      </c>
    </row>
    <row r="895" spans="1:13" s="118" customFormat="1" ht="10.199999999999999" outlineLevel="4">
      <c r="B895" s="116" t="s">
        <v>1638</v>
      </c>
      <c r="C895" s="129" t="s">
        <v>1649</v>
      </c>
      <c r="D895" s="218" t="s">
        <v>1650</v>
      </c>
      <c r="E895" s="129" t="s">
        <v>890</v>
      </c>
      <c r="F895" s="130"/>
      <c r="G895" s="131">
        <v>1</v>
      </c>
      <c r="I895" s="120">
        <v>200</v>
      </c>
      <c r="J895" s="120"/>
      <c r="K895" s="120"/>
      <c r="L895" s="270">
        <f t="shared" si="55"/>
        <v>200</v>
      </c>
      <c r="M895" s="134">
        <f t="shared" si="56"/>
        <v>200</v>
      </c>
    </row>
    <row r="896" spans="1:13" s="118" customFormat="1" ht="10.199999999999999" outlineLevel="4">
      <c r="B896" s="116" t="s">
        <v>1638</v>
      </c>
      <c r="C896" s="129" t="s">
        <v>1651</v>
      </c>
      <c r="D896" s="218" t="s">
        <v>1652</v>
      </c>
      <c r="E896" s="129" t="s">
        <v>890</v>
      </c>
      <c r="F896" s="130"/>
      <c r="G896" s="131">
        <v>125</v>
      </c>
      <c r="I896" s="120">
        <v>397.25</v>
      </c>
      <c r="J896" s="120"/>
      <c r="K896" s="120"/>
      <c r="L896" s="270">
        <f t="shared" si="55"/>
        <v>397.25</v>
      </c>
      <c r="M896" s="134">
        <f t="shared" si="56"/>
        <v>49656.25</v>
      </c>
    </row>
    <row r="897" spans="2:13" s="118" customFormat="1" ht="10.199999999999999" outlineLevel="4">
      <c r="B897" s="116" t="s">
        <v>1638</v>
      </c>
      <c r="C897" s="129" t="s">
        <v>1653</v>
      </c>
      <c r="D897" s="218" t="s">
        <v>1654</v>
      </c>
      <c r="E897" s="129" t="s">
        <v>890</v>
      </c>
      <c r="F897" s="130"/>
      <c r="G897" s="131">
        <v>125</v>
      </c>
      <c r="I897" s="120">
        <v>255</v>
      </c>
      <c r="J897" s="120"/>
      <c r="K897" s="120"/>
      <c r="L897" s="270">
        <f t="shared" si="55"/>
        <v>255</v>
      </c>
      <c r="M897" s="134">
        <f t="shared" si="56"/>
        <v>31875</v>
      </c>
    </row>
    <row r="898" spans="2:13" s="393" customFormat="1" ht="10.199999999999999" outlineLevel="4">
      <c r="B898" s="394" t="s">
        <v>1638</v>
      </c>
      <c r="C898" s="395" t="s">
        <v>1655</v>
      </c>
      <c r="D898" s="411" t="s">
        <v>1656</v>
      </c>
      <c r="E898" s="395" t="s">
        <v>890</v>
      </c>
      <c r="F898" s="397"/>
      <c r="G898" s="398">
        <v>251</v>
      </c>
      <c r="I898" s="399">
        <v>407.77799999999996</v>
      </c>
      <c r="J898" s="399"/>
      <c r="K898" s="399"/>
      <c r="L898" s="400">
        <f t="shared" si="55"/>
        <v>407.77799999999996</v>
      </c>
      <c r="M898" s="401">
        <f t="shared" si="56"/>
        <v>102352.27799999999</v>
      </c>
    </row>
    <row r="899" spans="2:13" s="118" customFormat="1" ht="10.199999999999999" outlineLevel="4">
      <c r="B899" s="116" t="s">
        <v>1638</v>
      </c>
      <c r="C899" s="129" t="s">
        <v>1657</v>
      </c>
      <c r="D899" s="218" t="s">
        <v>1658</v>
      </c>
      <c r="E899" s="129" t="s">
        <v>890</v>
      </c>
      <c r="F899" s="130"/>
      <c r="G899" s="131">
        <v>264</v>
      </c>
      <c r="I899" s="120">
        <v>240</v>
      </c>
      <c r="J899" s="120"/>
      <c r="K899" s="120"/>
      <c r="L899" s="270">
        <f t="shared" si="55"/>
        <v>240</v>
      </c>
      <c r="M899" s="134">
        <f t="shared" si="56"/>
        <v>63360</v>
      </c>
    </row>
    <row r="900" spans="2:13" s="118" customFormat="1" ht="10.199999999999999" outlineLevel="3">
      <c r="B900" s="116"/>
      <c r="C900" s="158" t="s">
        <v>1659</v>
      </c>
      <c r="D900" s="158" t="s">
        <v>1660</v>
      </c>
      <c r="F900" s="266"/>
      <c r="G900" s="116"/>
      <c r="I900" s="120"/>
      <c r="J900" s="120"/>
      <c r="K900" s="120"/>
      <c r="L900" s="133"/>
      <c r="M900" s="267">
        <f>SUM(M901:M923)</f>
        <v>222805.57024999999</v>
      </c>
    </row>
    <row r="901" spans="2:13" s="118" customFormat="1" ht="10.199999999999999" outlineLevel="4">
      <c r="B901" s="116" t="s">
        <v>996</v>
      </c>
      <c r="C901" s="129" t="s">
        <v>1661</v>
      </c>
      <c r="D901" s="218" t="s">
        <v>1662</v>
      </c>
      <c r="E901" s="129" t="s">
        <v>890</v>
      </c>
      <c r="F901" s="130"/>
      <c r="G901" s="131">
        <v>6</v>
      </c>
      <c r="I901" s="120">
        <v>76.23</v>
      </c>
      <c r="J901" s="120"/>
      <c r="K901" s="120">
        <v>85</v>
      </c>
      <c r="L901" s="270">
        <f t="shared" ref="L901:L907" si="57">SUM(H901:K901)*0</f>
        <v>0</v>
      </c>
      <c r="M901" s="134">
        <f t="shared" ref="M901:M907" si="58">+L901*G901</f>
        <v>0</v>
      </c>
    </row>
    <row r="902" spans="2:13" s="118" customFormat="1" ht="10.199999999999999" outlineLevel="4">
      <c r="B902" s="116" t="s">
        <v>996</v>
      </c>
      <c r="C902" s="129" t="s">
        <v>1663</v>
      </c>
      <c r="D902" s="218" t="s">
        <v>1664</v>
      </c>
      <c r="E902" s="129" t="s">
        <v>890</v>
      </c>
      <c r="F902" s="130"/>
      <c r="G902" s="131">
        <v>5</v>
      </c>
      <c r="I902" s="120">
        <v>214</v>
      </c>
      <c r="J902" s="120"/>
      <c r="K902" s="120">
        <v>85</v>
      </c>
      <c r="L902" s="270">
        <f t="shared" si="57"/>
        <v>0</v>
      </c>
      <c r="M902" s="134">
        <f t="shared" si="58"/>
        <v>0</v>
      </c>
    </row>
    <row r="903" spans="2:13" s="118" customFormat="1" ht="10.199999999999999" outlineLevel="4">
      <c r="B903" s="116" t="s">
        <v>996</v>
      </c>
      <c r="C903" s="129" t="s">
        <v>1665</v>
      </c>
      <c r="D903" s="218" t="s">
        <v>1666</v>
      </c>
      <c r="E903" s="129" t="s">
        <v>890</v>
      </c>
      <c r="F903" s="130"/>
      <c r="G903" s="131">
        <v>1</v>
      </c>
      <c r="I903" s="120">
        <v>159</v>
      </c>
      <c r="J903" s="120"/>
      <c r="K903" s="120">
        <v>85</v>
      </c>
      <c r="L903" s="270">
        <f t="shared" si="57"/>
        <v>0</v>
      </c>
      <c r="M903" s="134">
        <f t="shared" si="58"/>
        <v>0</v>
      </c>
    </row>
    <row r="904" spans="2:13" s="393" customFormat="1" ht="10.199999999999999" outlineLevel="4">
      <c r="B904" s="394" t="s">
        <v>996</v>
      </c>
      <c r="C904" s="395" t="s">
        <v>1667</v>
      </c>
      <c r="D904" s="411" t="s">
        <v>1668</v>
      </c>
      <c r="E904" s="395" t="s">
        <v>890</v>
      </c>
      <c r="F904" s="397"/>
      <c r="G904" s="398">
        <v>125</v>
      </c>
      <c r="I904" s="399">
        <v>465.91799999999995</v>
      </c>
      <c r="J904" s="399"/>
      <c r="K904" s="399"/>
      <c r="L904" s="400">
        <f t="shared" si="57"/>
        <v>0</v>
      </c>
      <c r="M904" s="401">
        <f t="shared" si="58"/>
        <v>0</v>
      </c>
    </row>
    <row r="905" spans="2:13" s="118" customFormat="1" ht="10.199999999999999" outlineLevel="4">
      <c r="B905" s="116" t="s">
        <v>996</v>
      </c>
      <c r="C905" s="129" t="s">
        <v>1669</v>
      </c>
      <c r="D905" s="218" t="s">
        <v>1670</v>
      </c>
      <c r="E905" s="129" t="s">
        <v>890</v>
      </c>
      <c r="F905" s="130"/>
      <c r="G905" s="131">
        <v>125</v>
      </c>
      <c r="I905" s="120">
        <v>207.40720000000002</v>
      </c>
      <c r="J905" s="120"/>
      <c r="K905" s="120"/>
      <c r="L905" s="270">
        <f t="shared" si="57"/>
        <v>0</v>
      </c>
      <c r="M905" s="134">
        <f t="shared" si="58"/>
        <v>0</v>
      </c>
    </row>
    <row r="906" spans="2:13" s="393" customFormat="1" ht="10.199999999999999" outlineLevel="4">
      <c r="B906" s="394" t="s">
        <v>996</v>
      </c>
      <c r="C906" s="395" t="s">
        <v>1671</v>
      </c>
      <c r="D906" s="411" t="s">
        <v>1672</v>
      </c>
      <c r="E906" s="395" t="s">
        <v>890</v>
      </c>
      <c r="F906" s="397"/>
      <c r="G906" s="398">
        <v>264</v>
      </c>
      <c r="I906" s="399">
        <v>172.55799999999999</v>
      </c>
      <c r="J906" s="399"/>
      <c r="K906" s="399"/>
      <c r="L906" s="400">
        <f t="shared" si="57"/>
        <v>0</v>
      </c>
      <c r="M906" s="401">
        <f t="shared" si="58"/>
        <v>0</v>
      </c>
    </row>
    <row r="907" spans="2:13" s="118" customFormat="1" ht="10.199999999999999" outlineLevel="4">
      <c r="B907" s="116" t="s">
        <v>996</v>
      </c>
      <c r="C907" s="129" t="s">
        <v>1673</v>
      </c>
      <c r="D907" s="218" t="s">
        <v>1674</v>
      </c>
      <c r="E907" s="129" t="s">
        <v>890</v>
      </c>
      <c r="F907" s="130"/>
      <c r="G907" s="131">
        <v>251</v>
      </c>
      <c r="I907" s="120">
        <v>289.49690000000004</v>
      </c>
      <c r="J907" s="120"/>
      <c r="K907" s="120"/>
      <c r="L907" s="270">
        <f t="shared" si="57"/>
        <v>0</v>
      </c>
      <c r="M907" s="134">
        <f t="shared" si="58"/>
        <v>0</v>
      </c>
    </row>
    <row r="908" spans="2:13" s="118" customFormat="1" ht="10.199999999999999" outlineLevel="4">
      <c r="B908" s="116"/>
      <c r="D908" s="218"/>
      <c r="E908" s="129"/>
      <c r="F908" s="130"/>
      <c r="G908" s="131"/>
      <c r="I908" s="120"/>
      <c r="J908" s="120"/>
      <c r="K908" s="120"/>
      <c r="L908" s="270"/>
      <c r="M908" s="134"/>
    </row>
    <row r="909" spans="2:13" s="118" customFormat="1" ht="10.199999999999999" outlineLevel="4">
      <c r="B909" s="116" t="s">
        <v>996</v>
      </c>
      <c r="C909" s="129" t="s">
        <v>1675</v>
      </c>
      <c r="D909" s="218" t="s">
        <v>1676</v>
      </c>
      <c r="E909" s="129" t="s">
        <v>890</v>
      </c>
      <c r="F909" s="130"/>
      <c r="G909" s="131">
        <v>2</v>
      </c>
      <c r="I909" s="120">
        <v>248.86199999999997</v>
      </c>
      <c r="J909" s="120"/>
      <c r="K909" s="120"/>
      <c r="L909" s="270">
        <f t="shared" ref="L909:L923" si="59">SUM(H909:K909)</f>
        <v>248.86199999999997</v>
      </c>
      <c r="M909" s="134">
        <f t="shared" ref="M909:M923" si="60">+L909*G909</f>
        <v>497.72399999999993</v>
      </c>
    </row>
    <row r="910" spans="2:13" s="255" customFormat="1" ht="10.199999999999999" outlineLevel="4">
      <c r="B910" s="269" t="s">
        <v>996</v>
      </c>
      <c r="C910" s="244" t="s">
        <v>1675</v>
      </c>
      <c r="D910" s="372" t="s">
        <v>1677</v>
      </c>
      <c r="E910" s="244" t="s">
        <v>890</v>
      </c>
      <c r="F910" s="271"/>
      <c r="G910" s="412">
        <v>125</v>
      </c>
      <c r="I910" s="256">
        <f>(43.67+3.6)*3.7*1.35</f>
        <v>236.11365000000006</v>
      </c>
      <c r="J910" s="256"/>
      <c r="K910" s="256"/>
      <c r="L910" s="272">
        <f t="shared" si="59"/>
        <v>236.11365000000006</v>
      </c>
      <c r="M910" s="258">
        <f t="shared" si="60"/>
        <v>29514.206250000007</v>
      </c>
    </row>
    <row r="911" spans="2:13" s="118" customFormat="1" ht="10.199999999999999" outlineLevel="4">
      <c r="B911" s="116" t="s">
        <v>996</v>
      </c>
      <c r="C911" s="129" t="s">
        <v>1675</v>
      </c>
      <c r="D911" s="218" t="s">
        <v>1678</v>
      </c>
      <c r="E911" s="129" t="s">
        <v>890</v>
      </c>
      <c r="F911" s="130"/>
      <c r="G911" s="131">
        <v>1</v>
      </c>
      <c r="I911" s="120">
        <v>148.96</v>
      </c>
      <c r="J911" s="120"/>
      <c r="K911" s="120"/>
      <c r="L911" s="270">
        <f t="shared" si="59"/>
        <v>148.96</v>
      </c>
      <c r="M911" s="134">
        <f t="shared" si="60"/>
        <v>148.96</v>
      </c>
    </row>
    <row r="912" spans="2:13" s="118" customFormat="1" ht="10.199999999999999" outlineLevel="4">
      <c r="B912" s="116" t="s">
        <v>996</v>
      </c>
      <c r="C912" s="129" t="s">
        <v>1675</v>
      </c>
      <c r="D912" s="218" t="s">
        <v>1679</v>
      </c>
      <c r="E912" s="129" t="s">
        <v>890</v>
      </c>
      <c r="F912" s="130"/>
      <c r="G912" s="131">
        <v>6</v>
      </c>
      <c r="I912" s="120">
        <v>148.96</v>
      </c>
      <c r="J912" s="120"/>
      <c r="K912" s="120"/>
      <c r="L912" s="270">
        <f t="shared" si="59"/>
        <v>148.96</v>
      </c>
      <c r="M912" s="134">
        <f t="shared" si="60"/>
        <v>893.76</v>
      </c>
    </row>
    <row r="913" spans="1:13" s="118" customFormat="1" ht="10.199999999999999" outlineLevel="4">
      <c r="B913" s="116" t="s">
        <v>996</v>
      </c>
      <c r="C913" s="129" t="s">
        <v>1675</v>
      </c>
      <c r="D913" s="218" t="s">
        <v>1680</v>
      </c>
      <c r="E913" s="129" t="s">
        <v>890</v>
      </c>
      <c r="F913" s="130"/>
      <c r="G913" s="131">
        <v>3</v>
      </c>
      <c r="I913" s="120">
        <v>148.96</v>
      </c>
      <c r="J913" s="120"/>
      <c r="K913" s="120"/>
      <c r="L913" s="270">
        <f t="shared" si="59"/>
        <v>148.96</v>
      </c>
      <c r="M913" s="134">
        <f t="shared" si="60"/>
        <v>446.88</v>
      </c>
    </row>
    <row r="914" spans="1:13" s="118" customFormat="1" ht="10.199999999999999" outlineLevel="4">
      <c r="B914" s="116" t="s">
        <v>996</v>
      </c>
      <c r="C914" s="129" t="s">
        <v>1675</v>
      </c>
      <c r="D914" s="218" t="s">
        <v>1681</v>
      </c>
      <c r="E914" s="129" t="s">
        <v>890</v>
      </c>
      <c r="F914" s="130"/>
      <c r="G914" s="131">
        <v>2</v>
      </c>
      <c r="I914" s="120">
        <v>148.96</v>
      </c>
      <c r="J914" s="120"/>
      <c r="K914" s="120"/>
      <c r="L914" s="270">
        <f t="shared" si="59"/>
        <v>148.96</v>
      </c>
      <c r="M914" s="134">
        <f t="shared" si="60"/>
        <v>297.92</v>
      </c>
    </row>
    <row r="915" spans="1:13" s="118" customFormat="1" ht="10.199999999999999" outlineLevel="4">
      <c r="B915" s="116" t="s">
        <v>996</v>
      </c>
      <c r="C915" s="129" t="s">
        <v>1675</v>
      </c>
      <c r="D915" s="218" t="s">
        <v>1682</v>
      </c>
      <c r="E915" s="129" t="s">
        <v>890</v>
      </c>
      <c r="F915" s="130"/>
      <c r="G915" s="131">
        <v>2</v>
      </c>
      <c r="I915" s="120">
        <v>300.58</v>
      </c>
      <c r="J915" s="120"/>
      <c r="K915" s="120"/>
      <c r="L915" s="270">
        <f t="shared" si="59"/>
        <v>300.58</v>
      </c>
      <c r="M915" s="134">
        <f t="shared" si="60"/>
        <v>601.16</v>
      </c>
    </row>
    <row r="916" spans="1:13" s="118" customFormat="1" ht="10.199999999999999" outlineLevel="4">
      <c r="B916" s="116" t="s">
        <v>996</v>
      </c>
      <c r="C916" s="129" t="s">
        <v>1675</v>
      </c>
      <c r="D916" s="218" t="s">
        <v>1683</v>
      </c>
      <c r="E916" s="129" t="s">
        <v>890</v>
      </c>
      <c r="F916" s="130"/>
      <c r="G916" s="131">
        <v>1</v>
      </c>
      <c r="I916" s="120">
        <v>248.86199999999997</v>
      </c>
      <c r="J916" s="120"/>
      <c r="K916" s="120"/>
      <c r="L916" s="270">
        <f t="shared" si="59"/>
        <v>248.86199999999997</v>
      </c>
      <c r="M916" s="134">
        <f t="shared" si="60"/>
        <v>248.86199999999997</v>
      </c>
    </row>
    <row r="917" spans="1:13" s="118" customFormat="1" ht="10.199999999999999" outlineLevel="4">
      <c r="B917" s="116" t="s">
        <v>996</v>
      </c>
      <c r="C917" s="129" t="s">
        <v>1675</v>
      </c>
      <c r="D917" s="218" t="s">
        <v>1684</v>
      </c>
      <c r="E917" s="129" t="s">
        <v>890</v>
      </c>
      <c r="F917" s="130"/>
      <c r="G917" s="131">
        <v>2</v>
      </c>
      <c r="I917" s="120">
        <v>248.86199999999997</v>
      </c>
      <c r="J917" s="120"/>
      <c r="K917" s="120"/>
      <c r="L917" s="270">
        <f t="shared" si="59"/>
        <v>248.86199999999997</v>
      </c>
      <c r="M917" s="134">
        <f t="shared" si="60"/>
        <v>497.72399999999993</v>
      </c>
    </row>
    <row r="918" spans="1:13" s="255" customFormat="1" ht="10.199999999999999" outlineLevel="4">
      <c r="B918" s="269" t="s">
        <v>996</v>
      </c>
      <c r="C918" s="244" t="s">
        <v>1675</v>
      </c>
      <c r="D918" s="372" t="s">
        <v>1685</v>
      </c>
      <c r="E918" s="244" t="s">
        <v>890</v>
      </c>
      <c r="F918" s="271"/>
      <c r="G918" s="254">
        <v>1</v>
      </c>
      <c r="I918" s="256">
        <f>22.36*3.7*1.35</f>
        <v>111.68820000000001</v>
      </c>
      <c r="J918" s="256"/>
      <c r="K918" s="256"/>
      <c r="L918" s="272">
        <f t="shared" si="59"/>
        <v>111.68820000000001</v>
      </c>
      <c r="M918" s="258">
        <f t="shared" si="60"/>
        <v>111.68820000000001</v>
      </c>
    </row>
    <row r="919" spans="1:13" s="255" customFormat="1" ht="10.199999999999999" outlineLevel="4">
      <c r="B919" s="269" t="s">
        <v>996</v>
      </c>
      <c r="C919" s="244" t="s">
        <v>1675</v>
      </c>
      <c r="D919" s="372" t="s">
        <v>1686</v>
      </c>
      <c r="E919" s="244" t="s">
        <v>890</v>
      </c>
      <c r="F919" s="271"/>
      <c r="G919" s="254">
        <v>225</v>
      </c>
      <c r="I919" s="256">
        <f>(56.92+2.16)*3.7*1.35</f>
        <v>295.1046</v>
      </c>
      <c r="J919" s="256"/>
      <c r="K919" s="256"/>
      <c r="L919" s="272">
        <f t="shared" si="59"/>
        <v>295.1046</v>
      </c>
      <c r="M919" s="258">
        <f t="shared" si="60"/>
        <v>66398.535000000003</v>
      </c>
    </row>
    <row r="920" spans="1:13" s="255" customFormat="1" ht="10.199999999999999" outlineLevel="4">
      <c r="B920" s="269" t="s">
        <v>996</v>
      </c>
      <c r="C920" s="244" t="s">
        <v>1675</v>
      </c>
      <c r="D920" s="372" t="s">
        <v>1687</v>
      </c>
      <c r="E920" s="244" t="s">
        <v>890</v>
      </c>
      <c r="F920" s="271"/>
      <c r="G920" s="254">
        <v>1</v>
      </c>
      <c r="I920" s="256">
        <f>37.4*3.7*1.35</f>
        <v>186.81300000000002</v>
      </c>
      <c r="J920" s="256"/>
      <c r="K920" s="256"/>
      <c r="L920" s="272">
        <f t="shared" si="59"/>
        <v>186.81300000000002</v>
      </c>
      <c r="M920" s="258">
        <f t="shared" si="60"/>
        <v>186.81300000000002</v>
      </c>
    </row>
    <row r="921" spans="1:13" s="255" customFormat="1" ht="10.199999999999999" outlineLevel="4">
      <c r="B921" s="269" t="s">
        <v>996</v>
      </c>
      <c r="C921" s="244" t="s">
        <v>1675</v>
      </c>
      <c r="D921" s="372" t="s">
        <v>1688</v>
      </c>
      <c r="E921" s="244" t="s">
        <v>890</v>
      </c>
      <c r="F921" s="271"/>
      <c r="G921" s="254">
        <v>125</v>
      </c>
      <c r="I921" s="256">
        <f>(105.52+4.36)*3.7*1.35</f>
        <v>548.85059999999999</v>
      </c>
      <c r="J921" s="256"/>
      <c r="K921" s="256"/>
      <c r="L921" s="272">
        <f t="shared" si="59"/>
        <v>548.85059999999999</v>
      </c>
      <c r="M921" s="258">
        <f t="shared" si="60"/>
        <v>68606.324999999997</v>
      </c>
    </row>
    <row r="922" spans="1:13" s="255" customFormat="1" ht="10.199999999999999" outlineLevel="4">
      <c r="B922" s="269" t="s">
        <v>996</v>
      </c>
      <c r="C922" s="244" t="s">
        <v>1675</v>
      </c>
      <c r="D922" s="372" t="s">
        <v>1689</v>
      </c>
      <c r="E922" s="244" t="s">
        <v>890</v>
      </c>
      <c r="F922" s="271"/>
      <c r="G922" s="412">
        <v>264</v>
      </c>
      <c r="I922" s="256">
        <f>(29.41+3.6)*3.7*1.35</f>
        <v>164.88495</v>
      </c>
      <c r="J922" s="256"/>
      <c r="K922" s="256"/>
      <c r="L922" s="272">
        <f t="shared" si="59"/>
        <v>164.88495</v>
      </c>
      <c r="M922" s="258">
        <f t="shared" si="60"/>
        <v>43529.626799999998</v>
      </c>
    </row>
    <row r="923" spans="1:13" s="255" customFormat="1" ht="10.199999999999999" outlineLevel="4">
      <c r="B923" s="269" t="s">
        <v>996</v>
      </c>
      <c r="C923" s="244" t="s">
        <v>1675</v>
      </c>
      <c r="D923" s="372" t="s">
        <v>1690</v>
      </c>
      <c r="E923" s="244" t="s">
        <v>890</v>
      </c>
      <c r="F923" s="271"/>
      <c r="G923" s="254">
        <v>26</v>
      </c>
      <c r="I923" s="256">
        <f>(110.37+2.16)*3.7</f>
        <v>416.36100000000005</v>
      </c>
      <c r="J923" s="256"/>
      <c r="K923" s="256"/>
      <c r="L923" s="272">
        <f t="shared" si="59"/>
        <v>416.36100000000005</v>
      </c>
      <c r="M923" s="258">
        <f t="shared" si="60"/>
        <v>10825.386</v>
      </c>
    </row>
    <row r="924" spans="1:13" s="118" customFormat="1" ht="10.199999999999999" outlineLevel="3">
      <c r="B924" s="116"/>
      <c r="C924" s="129"/>
      <c r="D924" s="218"/>
      <c r="E924" s="129"/>
      <c r="F924" s="130"/>
      <c r="G924" s="131"/>
      <c r="I924" s="120"/>
      <c r="J924" s="120"/>
      <c r="K924" s="120"/>
      <c r="L924" s="270"/>
      <c r="M924" s="134"/>
    </row>
    <row r="925" spans="1:13" s="118" customFormat="1" ht="10.199999999999999" outlineLevel="2">
      <c r="B925" s="116"/>
      <c r="C925" s="126" t="s">
        <v>1691</v>
      </c>
      <c r="D925" s="126" t="s">
        <v>1000</v>
      </c>
      <c r="F925" s="161"/>
      <c r="G925" s="116"/>
      <c r="I925" s="120"/>
      <c r="J925" s="120"/>
      <c r="K925" s="120"/>
      <c r="L925" s="133"/>
      <c r="M925" s="264">
        <f>+M926</f>
        <v>720256.72140000004</v>
      </c>
    </row>
    <row r="926" spans="1:13" s="118" customFormat="1" ht="10.199999999999999" outlineLevel="3">
      <c r="B926" s="116"/>
      <c r="C926" s="158" t="s">
        <v>1692</v>
      </c>
      <c r="D926" s="158" t="s">
        <v>1002</v>
      </c>
      <c r="F926" s="266"/>
      <c r="G926" s="116"/>
      <c r="I926" s="120"/>
      <c r="J926" s="120"/>
      <c r="K926" s="120"/>
      <c r="L926" s="133"/>
      <c r="M926" s="267">
        <f>SUM(M927:M943)</f>
        <v>720256.72140000004</v>
      </c>
    </row>
    <row r="927" spans="1:13" s="318" customFormat="1" ht="20.399999999999999" outlineLevel="4">
      <c r="A927" s="318" t="s">
        <v>1693</v>
      </c>
      <c r="B927" s="319" t="s">
        <v>1004</v>
      </c>
      <c r="C927" s="320" t="s">
        <v>1694</v>
      </c>
      <c r="D927" s="413" t="s">
        <v>1695</v>
      </c>
      <c r="E927" s="320" t="s">
        <v>346</v>
      </c>
      <c r="F927" s="321"/>
      <c r="G927" s="322">
        <v>890.86900000000026</v>
      </c>
      <c r="I927" s="323"/>
      <c r="J927" s="323"/>
      <c r="K927" s="323">
        <v>19</v>
      </c>
      <c r="L927" s="324">
        <f>SUM(H927:K927)</f>
        <v>19</v>
      </c>
      <c r="M927" s="325">
        <f t="shared" ref="M927:M943" si="61">+L927*G927</f>
        <v>16926.511000000006</v>
      </c>
    </row>
    <row r="928" spans="1:13" s="168" customFormat="1" ht="10.199999999999999" outlineLevel="4">
      <c r="B928" s="166" t="s">
        <v>1004</v>
      </c>
      <c r="C928" s="117" t="s">
        <v>1696</v>
      </c>
      <c r="D928" s="414" t="s">
        <v>1697</v>
      </c>
      <c r="E928" s="117" t="s">
        <v>346</v>
      </c>
      <c r="F928" s="142"/>
      <c r="G928" s="167">
        <v>54.393000000000015</v>
      </c>
      <c r="I928" s="169"/>
      <c r="J928" s="169"/>
      <c r="K928" s="169">
        <v>19</v>
      </c>
      <c r="L928" s="273">
        <f>SUM(H928:K928)*0</f>
        <v>0</v>
      </c>
      <c r="M928" s="143">
        <f t="shared" si="61"/>
        <v>0</v>
      </c>
    </row>
    <row r="929" spans="1:13" s="118" customFormat="1" ht="10.199999999999999" outlineLevel="4">
      <c r="A929" s="118" t="s">
        <v>1698</v>
      </c>
      <c r="B929" s="116" t="s">
        <v>1004</v>
      </c>
      <c r="C929" s="129" t="s">
        <v>1699</v>
      </c>
      <c r="D929" s="378" t="s">
        <v>1700</v>
      </c>
      <c r="E929" s="129" t="s">
        <v>1025</v>
      </c>
      <c r="F929" s="130"/>
      <c r="G929" s="131">
        <v>154.92899999999997</v>
      </c>
      <c r="I929" s="120"/>
      <c r="J929" s="120"/>
      <c r="K929" s="120">
        <v>19</v>
      </c>
      <c r="L929" s="270">
        <f t="shared" ref="L929:L936" si="62">SUM(H929:K929)</f>
        <v>19</v>
      </c>
      <c r="M929" s="134">
        <f t="shared" si="61"/>
        <v>2943.6509999999994</v>
      </c>
    </row>
    <row r="930" spans="1:13" s="118" customFormat="1" ht="10.199999999999999" outlineLevel="4">
      <c r="A930" s="118" t="s">
        <v>1698</v>
      </c>
      <c r="B930" s="116" t="s">
        <v>1004</v>
      </c>
      <c r="C930" s="129" t="s">
        <v>1701</v>
      </c>
      <c r="D930" s="378" t="s">
        <v>1702</v>
      </c>
      <c r="E930" s="129" t="s">
        <v>1025</v>
      </c>
      <c r="F930" s="130"/>
      <c r="G930" s="131">
        <v>437.55960000000005</v>
      </c>
      <c r="I930" s="120"/>
      <c r="J930" s="120"/>
      <c r="K930" s="120">
        <v>19</v>
      </c>
      <c r="L930" s="270">
        <f t="shared" si="62"/>
        <v>19</v>
      </c>
      <c r="M930" s="134">
        <f t="shared" si="61"/>
        <v>8313.6324000000004</v>
      </c>
    </row>
    <row r="931" spans="1:13" s="118" customFormat="1" ht="10.199999999999999" outlineLevel="4">
      <c r="A931" s="118" t="s">
        <v>1698</v>
      </c>
      <c r="B931" s="116" t="s">
        <v>1004</v>
      </c>
      <c r="C931" s="129" t="s">
        <v>1703</v>
      </c>
      <c r="D931" s="378" t="s">
        <v>1704</v>
      </c>
      <c r="E931" s="129" t="s">
        <v>1025</v>
      </c>
      <c r="F931" s="130"/>
      <c r="G931" s="131">
        <v>64.89</v>
      </c>
      <c r="I931" s="120"/>
      <c r="J931" s="120"/>
      <c r="K931" s="120">
        <v>19</v>
      </c>
      <c r="L931" s="270">
        <f t="shared" si="62"/>
        <v>19</v>
      </c>
      <c r="M931" s="134">
        <f t="shared" si="61"/>
        <v>1232.9100000000001</v>
      </c>
    </row>
    <row r="932" spans="1:13" s="318" customFormat="1" ht="20.399999999999999" outlineLevel="4">
      <c r="A932" s="318" t="s">
        <v>1693</v>
      </c>
      <c r="B932" s="319" t="s">
        <v>1004</v>
      </c>
      <c r="C932" s="320" t="s">
        <v>1705</v>
      </c>
      <c r="D932" s="413" t="s">
        <v>1706</v>
      </c>
      <c r="E932" s="320" t="s">
        <v>1025</v>
      </c>
      <c r="F932" s="321"/>
      <c r="G932" s="322">
        <v>1964.7539999999992</v>
      </c>
      <c r="I932" s="323"/>
      <c r="J932" s="323"/>
      <c r="K932" s="323">
        <v>19</v>
      </c>
      <c r="L932" s="324">
        <f t="shared" si="62"/>
        <v>19</v>
      </c>
      <c r="M932" s="325">
        <f t="shared" si="61"/>
        <v>37330.325999999986</v>
      </c>
    </row>
    <row r="933" spans="1:13" s="318" customFormat="1" ht="30.6" outlineLevel="4">
      <c r="A933" s="318" t="s">
        <v>1707</v>
      </c>
      <c r="B933" s="319" t="s">
        <v>1004</v>
      </c>
      <c r="C933" s="320" t="s">
        <v>1708</v>
      </c>
      <c r="D933" s="413" t="s">
        <v>1709</v>
      </c>
      <c r="E933" s="320" t="s">
        <v>1025</v>
      </c>
      <c r="F933" s="321"/>
      <c r="G933" s="322">
        <v>13498.216999999995</v>
      </c>
      <c r="I933" s="323"/>
      <c r="J933" s="323"/>
      <c r="K933" s="323">
        <v>21</v>
      </c>
      <c r="L933" s="324">
        <f t="shared" si="62"/>
        <v>21</v>
      </c>
      <c r="M933" s="325">
        <f t="shared" si="61"/>
        <v>283462.55699999991</v>
      </c>
    </row>
    <row r="934" spans="1:13" s="118" customFormat="1" ht="20.399999999999999" outlineLevel="4">
      <c r="A934" s="118" t="s">
        <v>1707</v>
      </c>
      <c r="B934" s="116" t="s">
        <v>1004</v>
      </c>
      <c r="C934" s="129" t="s">
        <v>1710</v>
      </c>
      <c r="D934" s="378" t="s">
        <v>1711</v>
      </c>
      <c r="E934" s="129" t="s">
        <v>1025</v>
      </c>
      <c r="F934" s="130"/>
      <c r="G934" s="131">
        <v>384.16000000000025</v>
      </c>
      <c r="I934" s="120"/>
      <c r="J934" s="120"/>
      <c r="K934" s="120">
        <v>29</v>
      </c>
      <c r="L934" s="270">
        <f t="shared" si="62"/>
        <v>29</v>
      </c>
      <c r="M934" s="134">
        <f t="shared" si="61"/>
        <v>11140.640000000007</v>
      </c>
    </row>
    <row r="935" spans="1:13" s="318" customFormat="1" ht="20.399999999999999" outlineLevel="4">
      <c r="A935" s="318" t="s">
        <v>1707</v>
      </c>
      <c r="B935" s="319" t="s">
        <v>1004</v>
      </c>
      <c r="C935" s="320" t="s">
        <v>1712</v>
      </c>
      <c r="D935" s="413" t="s">
        <v>1713</v>
      </c>
      <c r="E935" s="320" t="s">
        <v>1025</v>
      </c>
      <c r="F935" s="321"/>
      <c r="G935" s="322">
        <v>4252.2460000000001</v>
      </c>
      <c r="I935" s="323"/>
      <c r="J935" s="323"/>
      <c r="K935" s="323">
        <v>23</v>
      </c>
      <c r="L935" s="324">
        <f t="shared" si="62"/>
        <v>23</v>
      </c>
      <c r="M935" s="325">
        <f t="shared" si="61"/>
        <v>97801.657999999996</v>
      </c>
    </row>
    <row r="936" spans="1:13" s="118" customFormat="1" ht="10.199999999999999" outlineLevel="4">
      <c r="A936" s="118" t="s">
        <v>1714</v>
      </c>
      <c r="B936" s="116" t="s">
        <v>1004</v>
      </c>
      <c r="C936" s="129" t="s">
        <v>1715</v>
      </c>
      <c r="D936" s="378" t="s">
        <v>1716</v>
      </c>
      <c r="E936" s="129" t="s">
        <v>346</v>
      </c>
      <c r="F936" s="130"/>
      <c r="G936" s="131">
        <v>758.98500000000013</v>
      </c>
      <c r="I936" s="120"/>
      <c r="J936" s="120"/>
      <c r="K936" s="120">
        <v>29</v>
      </c>
      <c r="L936" s="270">
        <f t="shared" si="62"/>
        <v>29</v>
      </c>
      <c r="M936" s="134">
        <f t="shared" si="61"/>
        <v>22010.565000000002</v>
      </c>
    </row>
    <row r="937" spans="1:13" s="168" customFormat="1" ht="30.6" outlineLevel="4">
      <c r="B937" s="166" t="s">
        <v>1004</v>
      </c>
      <c r="C937" s="117" t="s">
        <v>1717</v>
      </c>
      <c r="D937" s="414" t="s">
        <v>1718</v>
      </c>
      <c r="E937" s="117" t="s">
        <v>346</v>
      </c>
      <c r="F937" s="142"/>
      <c r="G937" s="167">
        <v>110.15999999999985</v>
      </c>
      <c r="I937" s="169"/>
      <c r="J937" s="169"/>
      <c r="K937" s="169">
        <v>16.52</v>
      </c>
      <c r="L937" s="273">
        <f>SUM(H937:K937)*0</f>
        <v>0</v>
      </c>
      <c r="M937" s="143">
        <f t="shared" si="61"/>
        <v>0</v>
      </c>
    </row>
    <row r="938" spans="1:13" s="318" customFormat="1" ht="40.799999999999997" outlineLevel="4">
      <c r="A938" s="318" t="s">
        <v>1707</v>
      </c>
      <c r="B938" s="319" t="s">
        <v>1004</v>
      </c>
      <c r="C938" s="320" t="s">
        <v>1719</v>
      </c>
      <c r="D938" s="413" t="s">
        <v>1720</v>
      </c>
      <c r="E938" s="320" t="s">
        <v>346</v>
      </c>
      <c r="F938" s="321"/>
      <c r="G938" s="322">
        <v>7419.9900000000025</v>
      </c>
      <c r="I938" s="323"/>
      <c r="J938" s="323"/>
      <c r="K938" s="323">
        <v>21</v>
      </c>
      <c r="L938" s="324">
        <f>SUM(H938:K938)</f>
        <v>21</v>
      </c>
      <c r="M938" s="325">
        <f t="shared" si="61"/>
        <v>155819.79000000007</v>
      </c>
    </row>
    <row r="939" spans="1:13" s="168" customFormat="1" ht="20.399999999999999" outlineLevel="4">
      <c r="B939" s="166" t="s">
        <v>1004</v>
      </c>
      <c r="C939" s="117" t="s">
        <v>1721</v>
      </c>
      <c r="D939" s="414" t="s">
        <v>1722</v>
      </c>
      <c r="E939" s="117" t="s">
        <v>1025</v>
      </c>
      <c r="F939" s="142"/>
      <c r="G939" s="167">
        <v>94.822999999999993</v>
      </c>
      <c r="I939" s="169"/>
      <c r="J939" s="169"/>
      <c r="K939" s="169">
        <v>23</v>
      </c>
      <c r="L939" s="273">
        <f>SUM(H939:K939)*0</f>
        <v>0</v>
      </c>
      <c r="M939" s="143">
        <f t="shared" si="61"/>
        <v>0</v>
      </c>
    </row>
    <row r="940" spans="1:13" s="318" customFormat="1" ht="10.199999999999999" outlineLevel="4">
      <c r="A940" s="318" t="s">
        <v>1707</v>
      </c>
      <c r="B940" s="319" t="s">
        <v>1004</v>
      </c>
      <c r="C940" s="320" t="s">
        <v>1723</v>
      </c>
      <c r="D940" s="413" t="s">
        <v>1724</v>
      </c>
      <c r="E940" s="320" t="s">
        <v>1025</v>
      </c>
      <c r="F940" s="321"/>
      <c r="G940" s="322">
        <v>1083.5999999999999</v>
      </c>
      <c r="I940" s="323"/>
      <c r="J940" s="323"/>
      <c r="K940" s="323">
        <v>21</v>
      </c>
      <c r="L940" s="324">
        <f>SUM(H940:K940)</f>
        <v>21</v>
      </c>
      <c r="M940" s="325">
        <f t="shared" si="61"/>
        <v>22755.599999999999</v>
      </c>
    </row>
    <row r="941" spans="1:13" s="118" customFormat="1" ht="10.199999999999999" outlineLevel="4">
      <c r="A941" s="118" t="s">
        <v>1714</v>
      </c>
      <c r="B941" s="116" t="s">
        <v>1004</v>
      </c>
      <c r="C941" s="129" t="s">
        <v>1725</v>
      </c>
      <c r="D941" s="415" t="s">
        <v>1726</v>
      </c>
      <c r="E941" s="129" t="s">
        <v>1025</v>
      </c>
      <c r="F941" s="130"/>
      <c r="G941" s="131">
        <v>192.78</v>
      </c>
      <c r="I941" s="120"/>
      <c r="J941" s="120"/>
      <c r="K941" s="120">
        <v>29</v>
      </c>
      <c r="L941" s="270">
        <f>SUM(H941:K941)</f>
        <v>29</v>
      </c>
      <c r="M941" s="134">
        <f t="shared" si="61"/>
        <v>5590.62</v>
      </c>
    </row>
    <row r="942" spans="1:13" s="118" customFormat="1" ht="10.199999999999999" outlineLevel="4">
      <c r="A942" s="118" t="s">
        <v>1698</v>
      </c>
      <c r="B942" s="116" t="s">
        <v>1004</v>
      </c>
      <c r="C942" s="129" t="s">
        <v>1727</v>
      </c>
      <c r="D942" s="378" t="s">
        <v>1728</v>
      </c>
      <c r="E942" s="129" t="s">
        <v>1025</v>
      </c>
      <c r="F942" s="130"/>
      <c r="G942" s="131">
        <v>139.441</v>
      </c>
      <c r="I942" s="120"/>
      <c r="J942" s="120"/>
      <c r="K942" s="120">
        <v>21</v>
      </c>
      <c r="L942" s="270">
        <f>SUM(H942:K942)</f>
        <v>21</v>
      </c>
      <c r="M942" s="134">
        <f t="shared" si="61"/>
        <v>2928.261</v>
      </c>
    </row>
    <row r="943" spans="1:13" s="255" customFormat="1" ht="10.199999999999999" outlineLevel="4">
      <c r="A943" s="255" t="s">
        <v>1714</v>
      </c>
      <c r="B943" s="269" t="s">
        <v>1004</v>
      </c>
      <c r="C943" s="244"/>
      <c r="D943" s="278" t="s">
        <v>1729</v>
      </c>
      <c r="E943" s="244" t="s">
        <v>362</v>
      </c>
      <c r="F943" s="271"/>
      <c r="G943" s="254">
        <v>1</v>
      </c>
      <c r="I943" s="256"/>
      <c r="J943" s="256"/>
      <c r="K943" s="256">
        <v>52000</v>
      </c>
      <c r="L943" s="272">
        <f>SUM(H943:K943)</f>
        <v>52000</v>
      </c>
      <c r="M943" s="258">
        <f t="shared" si="61"/>
        <v>52000</v>
      </c>
    </row>
    <row r="944" spans="1:13" s="118" customFormat="1" ht="10.199999999999999" outlineLevel="3">
      <c r="B944" s="116"/>
      <c r="C944" s="129"/>
      <c r="D944" s="210"/>
      <c r="E944" s="129"/>
      <c r="F944" s="130"/>
      <c r="G944" s="131"/>
      <c r="I944" s="120"/>
      <c r="J944" s="120"/>
      <c r="K944" s="120"/>
      <c r="L944" s="270"/>
      <c r="M944" s="134"/>
    </row>
    <row r="945" spans="2:13" s="118" customFormat="1" ht="10.199999999999999" outlineLevel="2">
      <c r="B945" s="116"/>
      <c r="C945" s="126" t="s">
        <v>1730</v>
      </c>
      <c r="D945" s="126" t="s">
        <v>1731</v>
      </c>
      <c r="F945" s="161"/>
      <c r="G945" s="116"/>
      <c r="I945" s="120"/>
      <c r="J945" s="120"/>
      <c r="K945" s="120"/>
      <c r="L945" s="133"/>
      <c r="M945" s="264">
        <f>+M946+M967+M971+M980+M982+M1060+M1098+M955</f>
        <v>533586.87669915252</v>
      </c>
    </row>
    <row r="946" spans="2:13" s="118" customFormat="1" ht="10.199999999999999" outlineLevel="3">
      <c r="B946" s="116"/>
      <c r="C946" s="158" t="s">
        <v>1732</v>
      </c>
      <c r="D946" s="158" t="s">
        <v>1733</v>
      </c>
      <c r="F946" s="266"/>
      <c r="G946" s="116"/>
      <c r="I946" s="120"/>
      <c r="J946" s="120"/>
      <c r="K946" s="120"/>
      <c r="L946" s="133"/>
      <c r="M946" s="416">
        <f>SUM(M947:M954)</f>
        <v>24840</v>
      </c>
    </row>
    <row r="947" spans="2:13" s="118" customFormat="1" ht="10.199999999999999" outlineLevel="4">
      <c r="B947" s="116" t="s">
        <v>1734</v>
      </c>
      <c r="C947" s="129" t="s">
        <v>1735</v>
      </c>
      <c r="D947" s="129" t="s">
        <v>1736</v>
      </c>
      <c r="E947" s="129" t="s">
        <v>234</v>
      </c>
      <c r="F947" s="130"/>
      <c r="G947" s="131">
        <v>159.41600000000005</v>
      </c>
      <c r="I947" s="120"/>
      <c r="J947" s="120"/>
      <c r="K947" s="120">
        <f>89*0</f>
        <v>0</v>
      </c>
      <c r="L947" s="270">
        <f t="shared" ref="L947:L954" si="63">SUM(H947:K947)</f>
        <v>0</v>
      </c>
      <c r="M947" s="134">
        <f t="shared" ref="M947:M954" si="64">+L947*G947</f>
        <v>0</v>
      </c>
    </row>
    <row r="948" spans="2:13" s="422" customFormat="1" ht="10.199999999999999" outlineLevel="4">
      <c r="B948" s="417" t="s">
        <v>1734</v>
      </c>
      <c r="C948" s="418" t="s">
        <v>1737</v>
      </c>
      <c r="D948" s="419" t="s">
        <v>1738</v>
      </c>
      <c r="E948" s="418" t="s">
        <v>251</v>
      </c>
      <c r="F948" s="420"/>
      <c r="G948" s="421">
        <v>4</v>
      </c>
      <c r="I948" s="423"/>
      <c r="J948" s="423"/>
      <c r="K948" s="423">
        <v>300</v>
      </c>
      <c r="L948" s="424">
        <f t="shared" si="63"/>
        <v>300</v>
      </c>
      <c r="M948" s="425">
        <f t="shared" si="64"/>
        <v>1200</v>
      </c>
    </row>
    <row r="949" spans="2:13" s="422" customFormat="1" ht="10.199999999999999" outlineLevel="4">
      <c r="B949" s="417" t="s">
        <v>1734</v>
      </c>
      <c r="C949" s="418" t="s">
        <v>1739</v>
      </c>
      <c r="D949" s="419" t="s">
        <v>1740</v>
      </c>
      <c r="E949" s="418" t="s">
        <v>251</v>
      </c>
      <c r="F949" s="420"/>
      <c r="G949" s="421">
        <v>15</v>
      </c>
      <c r="I949" s="423"/>
      <c r="J949" s="423"/>
      <c r="K949" s="423">
        <v>300</v>
      </c>
      <c r="L949" s="424">
        <f t="shared" si="63"/>
        <v>300</v>
      </c>
      <c r="M949" s="425">
        <f t="shared" si="64"/>
        <v>4500</v>
      </c>
    </row>
    <row r="950" spans="2:13" s="422" customFormat="1" ht="10.199999999999999" outlineLevel="4">
      <c r="B950" s="417" t="s">
        <v>1734</v>
      </c>
      <c r="C950" s="418" t="s">
        <v>1741</v>
      </c>
      <c r="D950" s="419" t="s">
        <v>1742</v>
      </c>
      <c r="E950" s="418" t="s">
        <v>251</v>
      </c>
      <c r="F950" s="420"/>
      <c r="G950" s="421">
        <v>24</v>
      </c>
      <c r="I950" s="423"/>
      <c r="J950" s="423"/>
      <c r="K950" s="423">
        <v>80</v>
      </c>
      <c r="L950" s="424">
        <f t="shared" si="63"/>
        <v>80</v>
      </c>
      <c r="M950" s="425">
        <f t="shared" si="64"/>
        <v>1920</v>
      </c>
    </row>
    <row r="951" spans="2:13" s="422" customFormat="1" ht="10.199999999999999" outlineLevel="4">
      <c r="B951" s="417" t="s">
        <v>1734</v>
      </c>
      <c r="C951" s="418" t="s">
        <v>1743</v>
      </c>
      <c r="D951" s="419" t="s">
        <v>1744</v>
      </c>
      <c r="E951" s="418" t="s">
        <v>346</v>
      </c>
      <c r="F951" s="420"/>
      <c r="G951" s="421">
        <v>60</v>
      </c>
      <c r="I951" s="423"/>
      <c r="J951" s="423"/>
      <c r="K951" s="423">
        <v>85</v>
      </c>
      <c r="L951" s="424">
        <f t="shared" si="63"/>
        <v>85</v>
      </c>
      <c r="M951" s="425">
        <f t="shared" si="64"/>
        <v>5100</v>
      </c>
    </row>
    <row r="952" spans="2:13" s="422" customFormat="1" ht="10.199999999999999" outlineLevel="4">
      <c r="B952" s="417" t="s">
        <v>1734</v>
      </c>
      <c r="C952" s="418" t="s">
        <v>1745</v>
      </c>
      <c r="D952" s="419" t="s">
        <v>1746</v>
      </c>
      <c r="E952" s="418" t="s">
        <v>346</v>
      </c>
      <c r="F952" s="420"/>
      <c r="G952" s="421">
        <v>9</v>
      </c>
      <c r="I952" s="423"/>
      <c r="J952" s="423"/>
      <c r="K952" s="423">
        <v>80</v>
      </c>
      <c r="L952" s="424">
        <f t="shared" si="63"/>
        <v>80</v>
      </c>
      <c r="M952" s="425">
        <f t="shared" si="64"/>
        <v>720</v>
      </c>
    </row>
    <row r="953" spans="2:13" s="422" customFormat="1" ht="10.199999999999999" outlineLevel="4">
      <c r="B953" s="417" t="s">
        <v>1734</v>
      </c>
      <c r="C953" s="418" t="s">
        <v>1747</v>
      </c>
      <c r="D953" s="419" t="s">
        <v>1748</v>
      </c>
      <c r="E953" s="418" t="s">
        <v>234</v>
      </c>
      <c r="F953" s="420"/>
      <c r="G953" s="421">
        <v>38</v>
      </c>
      <c r="I953" s="423"/>
      <c r="J953" s="423"/>
      <c r="K953" s="423">
        <v>300</v>
      </c>
      <c r="L953" s="424">
        <f t="shared" si="63"/>
        <v>300</v>
      </c>
      <c r="M953" s="425">
        <f t="shared" si="64"/>
        <v>11400</v>
      </c>
    </row>
    <row r="954" spans="2:13" s="118" customFormat="1" ht="10.199999999999999" outlineLevel="4">
      <c r="B954" s="116" t="s">
        <v>1734</v>
      </c>
      <c r="C954" s="129" t="s">
        <v>1749</v>
      </c>
      <c r="D954" s="218" t="s">
        <v>1750</v>
      </c>
      <c r="E954" s="129" t="s">
        <v>346</v>
      </c>
      <c r="F954" s="130"/>
      <c r="G954" s="131">
        <v>18.97</v>
      </c>
      <c r="I954" s="120"/>
      <c r="J954" s="120"/>
      <c r="K954" s="120">
        <f>350*0</f>
        <v>0</v>
      </c>
      <c r="L954" s="270">
        <f t="shared" si="63"/>
        <v>0</v>
      </c>
      <c r="M954" s="134">
        <f t="shared" si="64"/>
        <v>0</v>
      </c>
    </row>
    <row r="955" spans="2:13" s="118" customFormat="1" ht="10.199999999999999" outlineLevel="4">
      <c r="B955" s="417"/>
      <c r="C955" s="418"/>
      <c r="D955" s="426" t="s">
        <v>1751</v>
      </c>
      <c r="E955" s="418"/>
      <c r="F955" s="420"/>
      <c r="G955" s="421"/>
      <c r="H955" s="422"/>
      <c r="I955" s="423"/>
      <c r="J955" s="423"/>
      <c r="K955" s="423"/>
      <c r="L955" s="424"/>
      <c r="M955" s="416">
        <f>SUM(M956:M966)</f>
        <v>104137</v>
      </c>
    </row>
    <row r="956" spans="2:13" s="118" customFormat="1" ht="10.199999999999999" outlineLevel="4">
      <c r="B956" s="417" t="s">
        <v>1752</v>
      </c>
      <c r="C956" s="418"/>
      <c r="D956" s="419" t="s">
        <v>1753</v>
      </c>
      <c r="E956" s="418" t="s">
        <v>346</v>
      </c>
      <c r="F956" s="420"/>
      <c r="G956" s="421">
        <v>308</v>
      </c>
      <c r="H956" s="422"/>
      <c r="I956" s="423"/>
      <c r="J956" s="423"/>
      <c r="K956" s="423">
        <v>85</v>
      </c>
      <c r="L956" s="424">
        <f t="shared" ref="L956:L966" si="65">SUM(H956:K956)</f>
        <v>85</v>
      </c>
      <c r="M956" s="425">
        <f t="shared" ref="M956:M966" si="66">+L956*G956</f>
        <v>26180</v>
      </c>
    </row>
    <row r="957" spans="2:13" s="118" customFormat="1" ht="10.199999999999999" outlineLevel="4">
      <c r="B957" s="417" t="s">
        <v>1752</v>
      </c>
      <c r="C957" s="418"/>
      <c r="D957" s="419" t="s">
        <v>1754</v>
      </c>
      <c r="E957" s="418" t="s">
        <v>346</v>
      </c>
      <c r="F957" s="420"/>
      <c r="G957" s="421">
        <v>213</v>
      </c>
      <c r="H957" s="422"/>
      <c r="I957" s="423"/>
      <c r="J957" s="423"/>
      <c r="K957" s="423">
        <v>80</v>
      </c>
      <c r="L957" s="424">
        <f t="shared" si="65"/>
        <v>80</v>
      </c>
      <c r="M957" s="425">
        <f t="shared" si="66"/>
        <v>17040</v>
      </c>
    </row>
    <row r="958" spans="2:13" s="118" customFormat="1" ht="10.199999999999999" outlineLevel="4">
      <c r="B958" s="417" t="s">
        <v>1752</v>
      </c>
      <c r="C958" s="418"/>
      <c r="D958" s="419" t="s">
        <v>1755</v>
      </c>
      <c r="E958" s="418" t="s">
        <v>234</v>
      </c>
      <c r="F958" s="420"/>
      <c r="G958" s="421">
        <v>77</v>
      </c>
      <c r="H958" s="422"/>
      <c r="I958" s="423"/>
      <c r="J958" s="423"/>
      <c r="K958" s="423">
        <v>300</v>
      </c>
      <c r="L958" s="424">
        <f t="shared" si="65"/>
        <v>300</v>
      </c>
      <c r="M958" s="425">
        <f t="shared" si="66"/>
        <v>23100</v>
      </c>
    </row>
    <row r="959" spans="2:13" s="118" customFormat="1" ht="10.199999999999999" outlineLevel="4">
      <c r="B959" s="417" t="s">
        <v>1752</v>
      </c>
      <c r="C959" s="418"/>
      <c r="D959" s="419" t="s">
        <v>1756</v>
      </c>
      <c r="E959" s="418" t="s">
        <v>346</v>
      </c>
      <c r="F959" s="420"/>
      <c r="G959" s="421">
        <v>213</v>
      </c>
      <c r="H959" s="422"/>
      <c r="I959" s="423"/>
      <c r="J959" s="423"/>
      <c r="K959" s="423">
        <v>85</v>
      </c>
      <c r="L959" s="424">
        <f t="shared" si="65"/>
        <v>85</v>
      </c>
      <c r="M959" s="425">
        <f t="shared" si="66"/>
        <v>18105</v>
      </c>
    </row>
    <row r="960" spans="2:13" s="118" customFormat="1" ht="10.199999999999999" outlineLevel="4">
      <c r="B960" s="417" t="s">
        <v>1752</v>
      </c>
      <c r="C960" s="418"/>
      <c r="D960" s="419" t="s">
        <v>1757</v>
      </c>
      <c r="E960" s="418" t="s">
        <v>346</v>
      </c>
      <c r="F960" s="420"/>
      <c r="G960" s="421">
        <v>180</v>
      </c>
      <c r="H960" s="422"/>
      <c r="I960" s="423"/>
      <c r="J960" s="423"/>
      <c r="K960" s="423">
        <v>35</v>
      </c>
      <c r="L960" s="424">
        <f t="shared" si="65"/>
        <v>35</v>
      </c>
      <c r="M960" s="425">
        <f t="shared" si="66"/>
        <v>6300</v>
      </c>
    </row>
    <row r="961" spans="1:13" s="118" customFormat="1" ht="10.199999999999999" outlineLevel="4">
      <c r="B961" s="417" t="s">
        <v>1752</v>
      </c>
      <c r="C961" s="418"/>
      <c r="D961" s="419" t="s">
        <v>1758</v>
      </c>
      <c r="E961" s="418" t="s">
        <v>251</v>
      </c>
      <c r="F961" s="420"/>
      <c r="G961" s="421">
        <v>158</v>
      </c>
      <c r="H961" s="422"/>
      <c r="I961" s="423"/>
      <c r="J961" s="423"/>
      <c r="K961" s="423">
        <v>30</v>
      </c>
      <c r="L961" s="424">
        <f t="shared" si="65"/>
        <v>30</v>
      </c>
      <c r="M961" s="425">
        <f t="shared" si="66"/>
        <v>4740</v>
      </c>
    </row>
    <row r="962" spans="1:13" s="118" customFormat="1" ht="10.199999999999999" outlineLevel="4">
      <c r="B962" s="417" t="s">
        <v>1752</v>
      </c>
      <c r="C962" s="418"/>
      <c r="D962" s="419" t="s">
        <v>1759</v>
      </c>
      <c r="E962" s="418" t="s">
        <v>251</v>
      </c>
      <c r="F962" s="420"/>
      <c r="G962" s="421">
        <v>156</v>
      </c>
      <c r="H962" s="422"/>
      <c r="I962" s="423"/>
      <c r="J962" s="423"/>
      <c r="K962" s="423">
        <v>7</v>
      </c>
      <c r="L962" s="424">
        <f t="shared" si="65"/>
        <v>7</v>
      </c>
      <c r="M962" s="425">
        <f t="shared" si="66"/>
        <v>1092</v>
      </c>
    </row>
    <row r="963" spans="1:13" s="118" customFormat="1" ht="10.199999999999999" outlineLevel="4">
      <c r="B963" s="417" t="s">
        <v>1752</v>
      </c>
      <c r="C963" s="418"/>
      <c r="D963" s="419" t="s">
        <v>1760</v>
      </c>
      <c r="E963" s="418" t="s">
        <v>251</v>
      </c>
      <c r="F963" s="420"/>
      <c r="G963" s="421">
        <v>26</v>
      </c>
      <c r="H963" s="422"/>
      <c r="I963" s="423"/>
      <c r="J963" s="423"/>
      <c r="K963" s="423">
        <v>35</v>
      </c>
      <c r="L963" s="424">
        <f t="shared" si="65"/>
        <v>35</v>
      </c>
      <c r="M963" s="425">
        <f t="shared" si="66"/>
        <v>910</v>
      </c>
    </row>
    <row r="964" spans="1:13" s="118" customFormat="1" ht="10.199999999999999" outlineLevel="4">
      <c r="B964" s="417" t="s">
        <v>1752</v>
      </c>
      <c r="C964" s="418"/>
      <c r="D964" s="419" t="s">
        <v>1761</v>
      </c>
      <c r="E964" s="418" t="s">
        <v>251</v>
      </c>
      <c r="F964" s="420"/>
      <c r="G964" s="421">
        <v>17</v>
      </c>
      <c r="H964" s="422"/>
      <c r="I964" s="423"/>
      <c r="J964" s="423"/>
      <c r="K964" s="423">
        <v>30</v>
      </c>
      <c r="L964" s="424">
        <f t="shared" si="65"/>
        <v>30</v>
      </c>
      <c r="M964" s="425">
        <f t="shared" si="66"/>
        <v>510</v>
      </c>
    </row>
    <row r="965" spans="1:13" s="118" customFormat="1" ht="10.199999999999999" outlineLevel="4">
      <c r="B965" s="417" t="s">
        <v>1752</v>
      </c>
      <c r="C965" s="418"/>
      <c r="D965" s="419" t="s">
        <v>1762</v>
      </c>
      <c r="E965" s="418" t="s">
        <v>251</v>
      </c>
      <c r="F965" s="420"/>
      <c r="G965" s="421">
        <v>14</v>
      </c>
      <c r="H965" s="422"/>
      <c r="I965" s="423"/>
      <c r="J965" s="423"/>
      <c r="K965" s="423">
        <v>220</v>
      </c>
      <c r="L965" s="424">
        <f t="shared" si="65"/>
        <v>220</v>
      </c>
      <c r="M965" s="425">
        <f t="shared" si="66"/>
        <v>3080</v>
      </c>
    </row>
    <row r="966" spans="1:13" s="118" customFormat="1" ht="10.199999999999999" outlineLevel="4">
      <c r="B966" s="417" t="s">
        <v>1752</v>
      </c>
      <c r="C966" s="418"/>
      <c r="D966" s="419" t="s">
        <v>1763</v>
      </c>
      <c r="E966" s="418" t="s">
        <v>251</v>
      </c>
      <c r="F966" s="420"/>
      <c r="G966" s="421">
        <v>14</v>
      </c>
      <c r="H966" s="422"/>
      <c r="I966" s="423"/>
      <c r="J966" s="423"/>
      <c r="K966" s="423">
        <v>220</v>
      </c>
      <c r="L966" s="424">
        <f t="shared" si="65"/>
        <v>220</v>
      </c>
      <c r="M966" s="425">
        <f t="shared" si="66"/>
        <v>3080</v>
      </c>
    </row>
    <row r="967" spans="1:13" s="118" customFormat="1" ht="10.199999999999999" outlineLevel="3">
      <c r="B967" s="116"/>
      <c r="C967" s="158" t="s">
        <v>1764</v>
      </c>
      <c r="D967" s="158" t="s">
        <v>1021</v>
      </c>
      <c r="F967" s="266"/>
      <c r="G967" s="116"/>
      <c r="I967" s="120"/>
      <c r="J967" s="120"/>
      <c r="K967" s="120"/>
      <c r="L967" s="133"/>
      <c r="M967" s="267">
        <f>SUM(M968:M970)</f>
        <v>12640</v>
      </c>
    </row>
    <row r="968" spans="1:13" s="118" customFormat="1" ht="10.199999999999999" outlineLevel="4">
      <c r="B968" s="116" t="s">
        <v>834</v>
      </c>
      <c r="C968" s="129" t="s">
        <v>1765</v>
      </c>
      <c r="D968" s="129" t="s">
        <v>1766</v>
      </c>
      <c r="E968" s="129" t="s">
        <v>251</v>
      </c>
      <c r="F968" s="130"/>
      <c r="G968" s="131">
        <v>16</v>
      </c>
      <c r="I968" s="120"/>
      <c r="J968" s="120"/>
      <c r="K968" s="120">
        <v>85</v>
      </c>
      <c r="L968" s="270">
        <f>SUM(H968:K968)</f>
        <v>85</v>
      </c>
      <c r="M968" s="134">
        <f>+L968*G968</f>
        <v>1360</v>
      </c>
    </row>
    <row r="969" spans="1:13" s="118" customFormat="1" ht="30.6" outlineLevel="4">
      <c r="A969" s="118" t="s">
        <v>1767</v>
      </c>
      <c r="B969" s="116" t="s">
        <v>929</v>
      </c>
      <c r="C969" s="129" t="s">
        <v>1768</v>
      </c>
      <c r="D969" s="180" t="s">
        <v>1769</v>
      </c>
      <c r="E969" s="129" t="s">
        <v>890</v>
      </c>
      <c r="F969" s="130"/>
      <c r="G969" s="131">
        <v>16</v>
      </c>
      <c r="I969" s="120"/>
      <c r="J969" s="120"/>
      <c r="K969" s="120">
        <v>80</v>
      </c>
      <c r="L969" s="270">
        <f>SUM(H969:K969)</f>
        <v>80</v>
      </c>
      <c r="M969" s="134">
        <f>+L969*G969</f>
        <v>1280</v>
      </c>
    </row>
    <row r="970" spans="1:13" s="118" customFormat="1" ht="20.399999999999999" outlineLevel="4">
      <c r="A970" s="118" t="s">
        <v>1767</v>
      </c>
      <c r="B970" s="116" t="s">
        <v>929</v>
      </c>
      <c r="C970" s="129" t="s">
        <v>1770</v>
      </c>
      <c r="D970" s="180" t="s">
        <v>1771</v>
      </c>
      <c r="E970" s="129" t="s">
        <v>890</v>
      </c>
      <c r="F970" s="130"/>
      <c r="G970" s="131">
        <v>125</v>
      </c>
      <c r="I970" s="120"/>
      <c r="J970" s="120"/>
      <c r="K970" s="120">
        <v>80</v>
      </c>
      <c r="L970" s="270">
        <f>SUM(H970:K970)</f>
        <v>80</v>
      </c>
      <c r="M970" s="134">
        <f>+L970*G970</f>
        <v>10000</v>
      </c>
    </row>
    <row r="971" spans="1:13" s="118" customFormat="1" ht="10.199999999999999" outlineLevel="3">
      <c r="B971" s="116"/>
      <c r="C971" s="158" t="s">
        <v>1772</v>
      </c>
      <c r="D971" s="158" t="s">
        <v>1773</v>
      </c>
      <c r="F971" s="266"/>
      <c r="G971" s="116"/>
      <c r="I971" s="120"/>
      <c r="J971" s="120"/>
      <c r="K971" s="120"/>
      <c r="L971" s="133"/>
      <c r="M971" s="267">
        <f>SUM(M972:M979)</f>
        <v>90432.87000000001</v>
      </c>
    </row>
    <row r="972" spans="1:13" s="118" customFormat="1" ht="10.199999999999999" outlineLevel="4">
      <c r="A972" s="118" t="s">
        <v>1774</v>
      </c>
      <c r="B972" s="116" t="s">
        <v>929</v>
      </c>
      <c r="C972" s="129" t="s">
        <v>1775</v>
      </c>
      <c r="D972" s="155" t="s">
        <v>1776</v>
      </c>
      <c r="E972" s="129" t="s">
        <v>251</v>
      </c>
      <c r="F972" s="130"/>
      <c r="G972" s="131">
        <v>125</v>
      </c>
      <c r="I972" s="120"/>
      <c r="J972" s="120"/>
      <c r="K972" s="120">
        <v>304.29000000000002</v>
      </c>
      <c r="L972" s="270">
        <f t="shared" ref="L972:L979" si="67">SUM(H972:K972)</f>
        <v>304.29000000000002</v>
      </c>
      <c r="M972" s="134">
        <f t="shared" ref="M972:M979" si="68">+L972*G972</f>
        <v>38036.25</v>
      </c>
    </row>
    <row r="973" spans="1:13" s="118" customFormat="1" ht="10.199999999999999" outlineLevel="4">
      <c r="A973" s="118" t="s">
        <v>1774</v>
      </c>
      <c r="B973" s="116" t="s">
        <v>929</v>
      </c>
      <c r="C973" s="129" t="s">
        <v>1777</v>
      </c>
      <c r="D973" s="155" t="s">
        <v>1778</v>
      </c>
      <c r="E973" s="129" t="s">
        <v>251</v>
      </c>
      <c r="F973" s="130"/>
      <c r="G973" s="131">
        <v>125</v>
      </c>
      <c r="I973" s="120"/>
      <c r="J973" s="120"/>
      <c r="K973" s="120">
        <v>304.29000000000002</v>
      </c>
      <c r="L973" s="270">
        <f t="shared" si="67"/>
        <v>304.29000000000002</v>
      </c>
      <c r="M973" s="134">
        <f t="shared" si="68"/>
        <v>38036.25</v>
      </c>
    </row>
    <row r="974" spans="1:13" s="118" customFormat="1" ht="10.199999999999999" outlineLevel="4">
      <c r="A974" s="118" t="s">
        <v>1774</v>
      </c>
      <c r="B974" s="116" t="s">
        <v>929</v>
      </c>
      <c r="C974" s="129" t="s">
        <v>1779</v>
      </c>
      <c r="D974" s="155" t="s">
        <v>1780</v>
      </c>
      <c r="E974" s="129" t="s">
        <v>251</v>
      </c>
      <c r="F974" s="130"/>
      <c r="G974" s="131">
        <v>15</v>
      </c>
      <c r="I974" s="120"/>
      <c r="J974" s="120"/>
      <c r="K974" s="120">
        <v>304.29000000000002</v>
      </c>
      <c r="L974" s="270">
        <f t="shared" si="67"/>
        <v>304.29000000000002</v>
      </c>
      <c r="M974" s="134">
        <f t="shared" si="68"/>
        <v>4564.3500000000004</v>
      </c>
    </row>
    <row r="975" spans="1:13" s="118" customFormat="1" ht="10.199999999999999" outlineLevel="4">
      <c r="A975" s="118" t="s">
        <v>1774</v>
      </c>
      <c r="B975" s="116" t="s">
        <v>929</v>
      </c>
      <c r="C975" s="129" t="s">
        <v>1781</v>
      </c>
      <c r="D975" s="155" t="s">
        <v>1782</v>
      </c>
      <c r="E975" s="129" t="s">
        <v>251</v>
      </c>
      <c r="F975" s="130"/>
      <c r="G975" s="131">
        <v>1</v>
      </c>
      <c r="I975" s="120"/>
      <c r="J975" s="120"/>
      <c r="K975" s="120">
        <v>612.48</v>
      </c>
      <c r="L975" s="270">
        <f t="shared" si="67"/>
        <v>612.48</v>
      </c>
      <c r="M975" s="134">
        <f t="shared" si="68"/>
        <v>612.48</v>
      </c>
    </row>
    <row r="976" spans="1:13" s="118" customFormat="1" ht="10.199999999999999" outlineLevel="4">
      <c r="A976" s="118" t="s">
        <v>1774</v>
      </c>
      <c r="B976" s="116" t="s">
        <v>929</v>
      </c>
      <c r="C976" s="129" t="s">
        <v>1783</v>
      </c>
      <c r="D976" s="155" t="s">
        <v>1784</v>
      </c>
      <c r="E976" s="129" t="s">
        <v>251</v>
      </c>
      <c r="F976" s="130"/>
      <c r="G976" s="131">
        <v>15</v>
      </c>
      <c r="I976" s="120"/>
      <c r="J976" s="120"/>
      <c r="K976" s="120">
        <v>90</v>
      </c>
      <c r="L976" s="270">
        <f t="shared" si="67"/>
        <v>90</v>
      </c>
      <c r="M976" s="134">
        <f t="shared" si="68"/>
        <v>1350</v>
      </c>
    </row>
    <row r="977" spans="1:13" s="118" customFormat="1" ht="10.199999999999999" outlineLevel="4">
      <c r="A977" s="118" t="s">
        <v>1774</v>
      </c>
      <c r="B977" s="116" t="s">
        <v>929</v>
      </c>
      <c r="C977" s="129" t="s">
        <v>1785</v>
      </c>
      <c r="D977" s="155" t="s">
        <v>1786</v>
      </c>
      <c r="E977" s="129" t="s">
        <v>251</v>
      </c>
      <c r="F977" s="130"/>
      <c r="G977" s="131">
        <v>6</v>
      </c>
      <c r="I977" s="120"/>
      <c r="J977" s="120"/>
      <c r="K977" s="120">
        <v>1000</v>
      </c>
      <c r="L977" s="270">
        <f t="shared" si="67"/>
        <v>1000</v>
      </c>
      <c r="M977" s="134">
        <f t="shared" si="68"/>
        <v>6000</v>
      </c>
    </row>
    <row r="978" spans="1:13" s="118" customFormat="1" ht="10.199999999999999" outlineLevel="4">
      <c r="A978" s="118" t="s">
        <v>1774</v>
      </c>
      <c r="B978" s="116" t="s">
        <v>929</v>
      </c>
      <c r="C978" s="129" t="s">
        <v>1787</v>
      </c>
      <c r="D978" s="155" t="s">
        <v>1788</v>
      </c>
      <c r="E978" s="129" t="s">
        <v>251</v>
      </c>
      <c r="F978" s="130"/>
      <c r="G978" s="131">
        <v>2</v>
      </c>
      <c r="I978" s="120"/>
      <c r="J978" s="120"/>
      <c r="K978" s="120">
        <v>304.29000000000002</v>
      </c>
      <c r="L978" s="270">
        <f t="shared" si="67"/>
        <v>304.29000000000002</v>
      </c>
      <c r="M978" s="134">
        <f t="shared" si="68"/>
        <v>608.58000000000004</v>
      </c>
    </row>
    <row r="979" spans="1:13" s="118" customFormat="1" ht="10.199999999999999" outlineLevel="4">
      <c r="A979" s="118" t="s">
        <v>1774</v>
      </c>
      <c r="B979" s="116" t="s">
        <v>929</v>
      </c>
      <c r="C979" s="129" t="s">
        <v>1789</v>
      </c>
      <c r="D979" s="155" t="s">
        <v>1790</v>
      </c>
      <c r="E979" s="129" t="s">
        <v>251</v>
      </c>
      <c r="F979" s="130"/>
      <c r="G979" s="131">
        <v>2</v>
      </c>
      <c r="I979" s="120"/>
      <c r="J979" s="120"/>
      <c r="K979" s="120">
        <v>612.48</v>
      </c>
      <c r="L979" s="270">
        <f t="shared" si="67"/>
        <v>612.48</v>
      </c>
      <c r="M979" s="134">
        <f t="shared" si="68"/>
        <v>1224.96</v>
      </c>
    </row>
    <row r="980" spans="1:13" s="118" customFormat="1" ht="10.199999999999999" outlineLevel="3">
      <c r="B980" s="116"/>
      <c r="C980" s="158" t="s">
        <v>1791</v>
      </c>
      <c r="D980" s="158" t="s">
        <v>1792</v>
      </c>
      <c r="F980" s="266"/>
      <c r="G980" s="116"/>
      <c r="I980" s="120"/>
      <c r="J980" s="120"/>
      <c r="K980" s="120"/>
      <c r="L980" s="133"/>
      <c r="M980" s="267">
        <f>SUM(M981:M981)</f>
        <v>1089</v>
      </c>
    </row>
    <row r="981" spans="1:13" s="118" customFormat="1" ht="10.199999999999999" outlineLevel="4">
      <c r="B981" s="116" t="s">
        <v>1793</v>
      </c>
      <c r="C981" s="129" t="s">
        <v>1794</v>
      </c>
      <c r="D981" s="129" t="s">
        <v>1795</v>
      </c>
      <c r="E981" s="129" t="s">
        <v>251</v>
      </c>
      <c r="F981" s="130"/>
      <c r="G981" s="131">
        <v>22</v>
      </c>
      <c r="I981" s="120"/>
      <c r="J981" s="120"/>
      <c r="K981" s="120">
        <v>49.5</v>
      </c>
      <c r="L981" s="270">
        <f>SUM(H981:K981)</f>
        <v>49.5</v>
      </c>
      <c r="M981" s="134">
        <f>+L981*G981</f>
        <v>1089</v>
      </c>
    </row>
    <row r="982" spans="1:13" s="118" customFormat="1" ht="10.199999999999999" outlineLevel="3">
      <c r="B982" s="116"/>
      <c r="C982" s="158" t="s">
        <v>1796</v>
      </c>
      <c r="D982" s="158" t="s">
        <v>1797</v>
      </c>
      <c r="F982" s="266"/>
      <c r="G982" s="116"/>
      <c r="I982" s="120"/>
      <c r="J982" s="120"/>
      <c r="K982" s="120"/>
      <c r="L982" s="133"/>
      <c r="M982" s="416">
        <f>SUM(M983:M1059)</f>
        <v>146733.30900000001</v>
      </c>
    </row>
    <row r="983" spans="1:13" s="168" customFormat="1" ht="20.399999999999999" outlineLevel="4">
      <c r="A983" s="168" t="s">
        <v>928</v>
      </c>
      <c r="B983" s="166" t="s">
        <v>929</v>
      </c>
      <c r="C983" s="117" t="s">
        <v>1798</v>
      </c>
      <c r="D983" s="379" t="s">
        <v>1799</v>
      </c>
      <c r="E983" s="117" t="s">
        <v>1025</v>
      </c>
      <c r="F983" s="142"/>
      <c r="G983" s="167">
        <v>5.63</v>
      </c>
      <c r="H983" s="120"/>
      <c r="I983" s="120"/>
      <c r="J983" s="120"/>
      <c r="K983" s="120">
        <f>360.593220338983*0</f>
        <v>0</v>
      </c>
      <c r="L983" s="273">
        <f t="shared" ref="L983:L1046" si="69">SUM(H983:K983)</f>
        <v>0</v>
      </c>
      <c r="M983" s="143">
        <f t="shared" ref="M983:M999" si="70">+L983*G983</f>
        <v>0</v>
      </c>
    </row>
    <row r="984" spans="1:13" s="168" customFormat="1" ht="30.6" outlineLevel="4">
      <c r="A984" s="168" t="s">
        <v>1767</v>
      </c>
      <c r="B984" s="166" t="s">
        <v>929</v>
      </c>
      <c r="C984" s="117" t="s">
        <v>1800</v>
      </c>
      <c r="D984" s="379" t="s">
        <v>1801</v>
      </c>
      <c r="E984" s="117" t="s">
        <v>890</v>
      </c>
      <c r="F984" s="142"/>
      <c r="G984" s="167">
        <v>22</v>
      </c>
      <c r="H984" s="118"/>
      <c r="I984" s="120"/>
      <c r="J984" s="120"/>
      <c r="K984" s="120">
        <f t="shared" ref="K984:K990" si="71">150*0</f>
        <v>0</v>
      </c>
      <c r="L984" s="273">
        <f t="shared" si="69"/>
        <v>0</v>
      </c>
      <c r="M984" s="143">
        <f t="shared" si="70"/>
        <v>0</v>
      </c>
    </row>
    <row r="985" spans="1:13" s="168" customFormat="1" ht="30.6" outlineLevel="4">
      <c r="A985" s="168" t="s">
        <v>1767</v>
      </c>
      <c r="B985" s="166" t="s">
        <v>929</v>
      </c>
      <c r="C985" s="117" t="s">
        <v>1802</v>
      </c>
      <c r="D985" s="379" t="s">
        <v>1803</v>
      </c>
      <c r="E985" s="117" t="s">
        <v>890</v>
      </c>
      <c r="F985" s="142"/>
      <c r="G985" s="167">
        <v>13</v>
      </c>
      <c r="H985" s="118"/>
      <c r="I985" s="120"/>
      <c r="J985" s="120"/>
      <c r="K985" s="120">
        <f t="shared" si="71"/>
        <v>0</v>
      </c>
      <c r="L985" s="273">
        <f t="shared" si="69"/>
        <v>0</v>
      </c>
      <c r="M985" s="143">
        <f t="shared" si="70"/>
        <v>0</v>
      </c>
    </row>
    <row r="986" spans="1:13" s="168" customFormat="1" ht="30.6" outlineLevel="4">
      <c r="A986" s="168" t="s">
        <v>1767</v>
      </c>
      <c r="B986" s="166" t="s">
        <v>929</v>
      </c>
      <c r="C986" s="117" t="s">
        <v>1804</v>
      </c>
      <c r="D986" s="379" t="s">
        <v>1805</v>
      </c>
      <c r="E986" s="117" t="s">
        <v>890</v>
      </c>
      <c r="F986" s="142"/>
      <c r="G986" s="167">
        <v>12</v>
      </c>
      <c r="H986" s="118"/>
      <c r="I986" s="120"/>
      <c r="J986" s="120"/>
      <c r="K986" s="120">
        <f t="shared" si="71"/>
        <v>0</v>
      </c>
      <c r="L986" s="273">
        <f t="shared" si="69"/>
        <v>0</v>
      </c>
      <c r="M986" s="143">
        <f t="shared" si="70"/>
        <v>0</v>
      </c>
    </row>
    <row r="987" spans="1:13" s="168" customFormat="1" ht="30.6" outlineLevel="4">
      <c r="A987" s="168" t="s">
        <v>1767</v>
      </c>
      <c r="B987" s="166" t="s">
        <v>929</v>
      </c>
      <c r="C987" s="117" t="s">
        <v>1806</v>
      </c>
      <c r="D987" s="379" t="s">
        <v>1807</v>
      </c>
      <c r="E987" s="117" t="s">
        <v>550</v>
      </c>
      <c r="F987" s="142"/>
      <c r="G987" s="167">
        <v>16.27</v>
      </c>
      <c r="H987" s="118"/>
      <c r="I987" s="120"/>
      <c r="J987" s="120"/>
      <c r="K987" s="120">
        <f t="shared" si="71"/>
        <v>0</v>
      </c>
      <c r="L987" s="273">
        <f t="shared" si="69"/>
        <v>0</v>
      </c>
      <c r="M987" s="143">
        <f t="shared" si="70"/>
        <v>0</v>
      </c>
    </row>
    <row r="988" spans="1:13" s="168" customFormat="1" ht="30.6" outlineLevel="4">
      <c r="A988" s="168" t="s">
        <v>1767</v>
      </c>
      <c r="B988" s="166" t="s">
        <v>929</v>
      </c>
      <c r="C988" s="117" t="s">
        <v>1808</v>
      </c>
      <c r="D988" s="379" t="s">
        <v>1809</v>
      </c>
      <c r="E988" s="117" t="s">
        <v>890</v>
      </c>
      <c r="F988" s="142"/>
      <c r="G988" s="167">
        <v>1</v>
      </c>
      <c r="H988" s="118"/>
      <c r="I988" s="120"/>
      <c r="J988" s="120"/>
      <c r="K988" s="120">
        <f t="shared" si="71"/>
        <v>0</v>
      </c>
      <c r="L988" s="273">
        <f t="shared" si="69"/>
        <v>0</v>
      </c>
      <c r="M988" s="143">
        <f t="shared" si="70"/>
        <v>0</v>
      </c>
    </row>
    <row r="989" spans="1:13" s="168" customFormat="1" ht="20.399999999999999" outlineLevel="4">
      <c r="A989" s="168" t="s">
        <v>1767</v>
      </c>
      <c r="B989" s="166" t="s">
        <v>929</v>
      </c>
      <c r="C989" s="117" t="s">
        <v>1810</v>
      </c>
      <c r="D989" s="379" t="s">
        <v>1811</v>
      </c>
      <c r="E989" s="117" t="s">
        <v>890</v>
      </c>
      <c r="F989" s="142"/>
      <c r="G989" s="167">
        <v>10</v>
      </c>
      <c r="H989" s="118"/>
      <c r="I989" s="120"/>
      <c r="J989" s="120"/>
      <c r="K989" s="120">
        <f t="shared" si="71"/>
        <v>0</v>
      </c>
      <c r="L989" s="273">
        <f t="shared" si="69"/>
        <v>0</v>
      </c>
      <c r="M989" s="143">
        <f t="shared" si="70"/>
        <v>0</v>
      </c>
    </row>
    <row r="990" spans="1:13" s="168" customFormat="1" ht="20.399999999999999" outlineLevel="4">
      <c r="A990" s="168" t="s">
        <v>1767</v>
      </c>
      <c r="B990" s="166" t="s">
        <v>929</v>
      </c>
      <c r="C990" s="117" t="s">
        <v>1812</v>
      </c>
      <c r="D990" s="379" t="s">
        <v>1813</v>
      </c>
      <c r="E990" s="117" t="s">
        <v>890</v>
      </c>
      <c r="F990" s="142"/>
      <c r="G990" s="167">
        <v>6</v>
      </c>
      <c r="H990" s="118"/>
      <c r="I990" s="120"/>
      <c r="J990" s="120"/>
      <c r="K990" s="120">
        <f t="shared" si="71"/>
        <v>0</v>
      </c>
      <c r="L990" s="273">
        <f t="shared" si="69"/>
        <v>0</v>
      </c>
      <c r="M990" s="143">
        <f t="shared" si="70"/>
        <v>0</v>
      </c>
    </row>
    <row r="991" spans="1:13" s="168" customFormat="1" ht="20.399999999999999" outlineLevel="4">
      <c r="A991" s="168" t="s">
        <v>928</v>
      </c>
      <c r="B991" s="166" t="s">
        <v>929</v>
      </c>
      <c r="C991" s="117" t="s">
        <v>1814</v>
      </c>
      <c r="D991" s="379" t="s">
        <v>1799</v>
      </c>
      <c r="E991" s="117" t="s">
        <v>1025</v>
      </c>
      <c r="F991" s="142"/>
      <c r="G991" s="167">
        <v>11.7</v>
      </c>
      <c r="H991" s="120"/>
      <c r="I991" s="120"/>
      <c r="J991" s="120"/>
      <c r="K991" s="120">
        <f>360.593220338983*0</f>
        <v>0</v>
      </c>
      <c r="L991" s="273">
        <f t="shared" si="69"/>
        <v>0</v>
      </c>
      <c r="M991" s="143">
        <f t="shared" si="70"/>
        <v>0</v>
      </c>
    </row>
    <row r="992" spans="1:13" s="168" customFormat="1" ht="10.199999999999999" outlineLevel="4">
      <c r="A992" s="168" t="s">
        <v>1815</v>
      </c>
      <c r="B992" s="166" t="s">
        <v>929</v>
      </c>
      <c r="C992" s="117" t="s">
        <v>1816</v>
      </c>
      <c r="D992" s="379" t="s">
        <v>1817</v>
      </c>
      <c r="E992" s="117" t="s">
        <v>251</v>
      </c>
      <c r="F992" s="142"/>
      <c r="G992" s="167">
        <v>1</v>
      </c>
      <c r="H992" s="118"/>
      <c r="I992" s="120"/>
      <c r="J992" s="120"/>
      <c r="K992" s="120">
        <f>18475*0</f>
        <v>0</v>
      </c>
      <c r="L992" s="273">
        <f t="shared" si="69"/>
        <v>0</v>
      </c>
      <c r="M992" s="143">
        <f t="shared" si="70"/>
        <v>0</v>
      </c>
    </row>
    <row r="993" spans="1:13" s="168" customFormat="1" ht="10.199999999999999" outlineLevel="4">
      <c r="A993" s="168" t="s">
        <v>1815</v>
      </c>
      <c r="B993" s="166" t="s">
        <v>929</v>
      </c>
      <c r="C993" s="117" t="s">
        <v>1818</v>
      </c>
      <c r="D993" s="379" t="s">
        <v>1819</v>
      </c>
      <c r="E993" s="117" t="s">
        <v>500</v>
      </c>
      <c r="F993" s="142"/>
      <c r="G993" s="167">
        <v>1.6</v>
      </c>
      <c r="H993" s="118"/>
      <c r="I993" s="120"/>
      <c r="J993" s="120"/>
      <c r="K993" s="120">
        <f>850*0</f>
        <v>0</v>
      </c>
      <c r="L993" s="273">
        <f t="shared" si="69"/>
        <v>0</v>
      </c>
      <c r="M993" s="143">
        <f t="shared" si="70"/>
        <v>0</v>
      </c>
    </row>
    <row r="994" spans="1:13" s="168" customFormat="1" ht="20.399999999999999" outlineLevel="4">
      <c r="A994" s="168" t="s">
        <v>1767</v>
      </c>
      <c r="B994" s="166" t="s">
        <v>929</v>
      </c>
      <c r="C994" s="117" t="s">
        <v>1820</v>
      </c>
      <c r="D994" s="379" t="s">
        <v>1821</v>
      </c>
      <c r="E994" s="117" t="s">
        <v>890</v>
      </c>
      <c r="F994" s="142"/>
      <c r="G994" s="167">
        <v>1</v>
      </c>
      <c r="H994" s="118"/>
      <c r="I994" s="120">
        <f>500*0</f>
        <v>0</v>
      </c>
      <c r="J994" s="120"/>
      <c r="K994" s="120"/>
      <c r="L994" s="273">
        <f t="shared" si="69"/>
        <v>0</v>
      </c>
      <c r="M994" s="143">
        <f t="shared" si="70"/>
        <v>0</v>
      </c>
    </row>
    <row r="995" spans="1:13" s="168" customFormat="1" ht="10.199999999999999" outlineLevel="4">
      <c r="A995" s="168" t="s">
        <v>1044</v>
      </c>
      <c r="B995" s="166" t="s">
        <v>929</v>
      </c>
      <c r="C995" s="117" t="s">
        <v>1822</v>
      </c>
      <c r="D995" s="379" t="s">
        <v>1823</v>
      </c>
      <c r="E995" s="117" t="s">
        <v>251</v>
      </c>
      <c r="F995" s="142"/>
      <c r="G995" s="167">
        <v>20</v>
      </c>
      <c r="H995" s="118"/>
      <c r="I995" s="120"/>
      <c r="J995" s="120"/>
      <c r="K995" s="120">
        <f>40*0</f>
        <v>0</v>
      </c>
      <c r="L995" s="273">
        <f t="shared" si="69"/>
        <v>0</v>
      </c>
      <c r="M995" s="143">
        <f t="shared" si="70"/>
        <v>0</v>
      </c>
    </row>
    <row r="996" spans="1:13" s="168" customFormat="1" ht="10.199999999999999" outlineLevel="4">
      <c r="A996" s="168" t="s">
        <v>1044</v>
      </c>
      <c r="B996" s="166" t="s">
        <v>929</v>
      </c>
      <c r="C996" s="117" t="s">
        <v>1824</v>
      </c>
      <c r="D996" s="379" t="s">
        <v>1825</v>
      </c>
      <c r="E996" s="117" t="s">
        <v>251</v>
      </c>
      <c r="F996" s="142"/>
      <c r="G996" s="167">
        <v>8</v>
      </c>
      <c r="H996" s="118"/>
      <c r="I996" s="120"/>
      <c r="J996" s="120"/>
      <c r="K996" s="120">
        <f>40*0</f>
        <v>0</v>
      </c>
      <c r="L996" s="273">
        <f t="shared" si="69"/>
        <v>0</v>
      </c>
      <c r="M996" s="143">
        <f t="shared" si="70"/>
        <v>0</v>
      </c>
    </row>
    <row r="997" spans="1:13" s="168" customFormat="1" ht="10.199999999999999" outlineLevel="4">
      <c r="A997" s="168" t="s">
        <v>1044</v>
      </c>
      <c r="B997" s="166" t="s">
        <v>929</v>
      </c>
      <c r="C997" s="117" t="s">
        <v>1826</v>
      </c>
      <c r="D997" s="379" t="s">
        <v>1827</v>
      </c>
      <c r="E997" s="117" t="s">
        <v>500</v>
      </c>
      <c r="F997" s="142"/>
      <c r="G997" s="167">
        <v>28.7</v>
      </c>
      <c r="H997" s="118"/>
      <c r="I997" s="120"/>
      <c r="J997" s="120"/>
      <c r="K997" s="120">
        <f>49.275*0</f>
        <v>0</v>
      </c>
      <c r="L997" s="273">
        <f t="shared" si="69"/>
        <v>0</v>
      </c>
      <c r="M997" s="143">
        <f t="shared" si="70"/>
        <v>0</v>
      </c>
    </row>
    <row r="998" spans="1:13" s="168" customFormat="1" ht="10.199999999999999" outlineLevel="4">
      <c r="A998" s="168" t="s">
        <v>1767</v>
      </c>
      <c r="B998" s="166" t="s">
        <v>929</v>
      </c>
      <c r="C998" s="117" t="s">
        <v>1828</v>
      </c>
      <c r="D998" s="379" t="s">
        <v>1829</v>
      </c>
      <c r="E998" s="117" t="s">
        <v>890</v>
      </c>
      <c r="F998" s="142"/>
      <c r="G998" s="167">
        <v>1</v>
      </c>
      <c r="H998" s="118"/>
      <c r="I998" s="120"/>
      <c r="J998" s="120"/>
      <c r="K998" s="120">
        <f>2000*0</f>
        <v>0</v>
      </c>
      <c r="L998" s="273">
        <f t="shared" si="69"/>
        <v>0</v>
      </c>
      <c r="M998" s="143">
        <f t="shared" si="70"/>
        <v>0</v>
      </c>
    </row>
    <row r="999" spans="1:13" s="118" customFormat="1" ht="10.199999999999999" outlineLevel="4">
      <c r="B999" s="116"/>
      <c r="C999" s="129"/>
      <c r="D999" s="427" t="s">
        <v>1830</v>
      </c>
      <c r="E999" s="129"/>
      <c r="F999" s="130"/>
      <c r="G999" s="131"/>
      <c r="I999" s="120"/>
      <c r="J999" s="120"/>
      <c r="K999" s="120"/>
      <c r="L999" s="270">
        <f t="shared" si="69"/>
        <v>0</v>
      </c>
      <c r="M999" s="134">
        <f t="shared" si="70"/>
        <v>0</v>
      </c>
    </row>
    <row r="1000" spans="1:13" s="318" customFormat="1" ht="20.399999999999999" outlineLevel="4">
      <c r="A1000" s="318" t="s">
        <v>1831</v>
      </c>
      <c r="B1000" s="319" t="s">
        <v>929</v>
      </c>
      <c r="C1000" s="320"/>
      <c r="D1000" s="428" t="s">
        <v>1832</v>
      </c>
      <c r="E1000" s="320" t="s">
        <v>251</v>
      </c>
      <c r="F1000" s="321"/>
      <c r="G1000" s="322">
        <v>228</v>
      </c>
      <c r="I1000" s="323"/>
      <c r="J1000" s="323"/>
      <c r="K1000" s="323">
        <v>100</v>
      </c>
      <c r="L1000" s="324">
        <f t="shared" si="69"/>
        <v>100</v>
      </c>
      <c r="M1000" s="325">
        <f>+L1000*G1000</f>
        <v>22800</v>
      </c>
    </row>
    <row r="1001" spans="1:13" s="118" customFormat="1" ht="10.199999999999999" outlineLevel="4">
      <c r="A1001" s="118" t="s">
        <v>1831</v>
      </c>
      <c r="B1001" s="116" t="s">
        <v>929</v>
      </c>
      <c r="C1001" s="129"/>
      <c r="D1001" s="180" t="s">
        <v>1833</v>
      </c>
      <c r="E1001" s="129" t="s">
        <v>346</v>
      </c>
      <c r="F1001" s="130"/>
      <c r="G1001" s="131">
        <v>15</v>
      </c>
      <c r="I1001" s="120"/>
      <c r="J1001" s="120"/>
      <c r="K1001" s="120">
        <v>1125</v>
      </c>
      <c r="L1001" s="270">
        <f t="shared" si="69"/>
        <v>1125</v>
      </c>
      <c r="M1001" s="134">
        <f t="shared" ref="M1001:M1059" si="72">+L1001*G1001</f>
        <v>16875</v>
      </c>
    </row>
    <row r="1002" spans="1:13" s="118" customFormat="1" ht="10.199999999999999" outlineLevel="4">
      <c r="A1002" s="118" t="s">
        <v>1767</v>
      </c>
      <c r="B1002" s="116" t="s">
        <v>929</v>
      </c>
      <c r="C1002" s="129"/>
      <c r="D1002" s="180" t="s">
        <v>1834</v>
      </c>
      <c r="E1002" s="129" t="s">
        <v>500</v>
      </c>
      <c r="F1002" s="130"/>
      <c r="G1002" s="131">
        <v>6.47</v>
      </c>
      <c r="I1002" s="120"/>
      <c r="J1002" s="120"/>
      <c r="K1002" s="120">
        <v>577</v>
      </c>
      <c r="L1002" s="270">
        <f t="shared" si="69"/>
        <v>577</v>
      </c>
      <c r="M1002" s="134">
        <f t="shared" si="72"/>
        <v>3733.19</v>
      </c>
    </row>
    <row r="1003" spans="1:13" s="118" customFormat="1" ht="20.399999999999999" outlineLevel="4">
      <c r="A1003" s="118" t="s">
        <v>1767</v>
      </c>
      <c r="B1003" s="116" t="s">
        <v>929</v>
      </c>
      <c r="C1003" s="129"/>
      <c r="D1003" s="180" t="s">
        <v>1835</v>
      </c>
      <c r="E1003" s="129" t="s">
        <v>500</v>
      </c>
      <c r="F1003" s="130"/>
      <c r="G1003" s="131">
        <v>3.5</v>
      </c>
      <c r="I1003" s="120"/>
      <c r="J1003" s="120"/>
      <c r="K1003" s="120">
        <v>577</v>
      </c>
      <c r="L1003" s="270">
        <f t="shared" si="69"/>
        <v>577</v>
      </c>
      <c r="M1003" s="134">
        <f t="shared" si="72"/>
        <v>2019.5</v>
      </c>
    </row>
    <row r="1004" spans="1:13" s="118" customFormat="1" ht="10.199999999999999" outlineLevel="4">
      <c r="A1004" s="118" t="s">
        <v>1767</v>
      </c>
      <c r="B1004" s="116" t="s">
        <v>929</v>
      </c>
      <c r="C1004" s="129"/>
      <c r="D1004" s="180" t="s">
        <v>1836</v>
      </c>
      <c r="E1004" s="129" t="s">
        <v>500</v>
      </c>
      <c r="F1004" s="130"/>
      <c r="G1004" s="131">
        <v>3.5</v>
      </c>
      <c r="I1004" s="120"/>
      <c r="J1004" s="120"/>
      <c r="K1004" s="120">
        <v>577</v>
      </c>
      <c r="L1004" s="270">
        <f t="shared" si="69"/>
        <v>577</v>
      </c>
      <c r="M1004" s="134">
        <f t="shared" si="72"/>
        <v>2019.5</v>
      </c>
    </row>
    <row r="1005" spans="1:13" s="118" customFormat="1" ht="10.199999999999999" outlineLevel="4">
      <c r="B1005" s="116"/>
      <c r="C1005" s="129"/>
      <c r="D1005" s="427" t="s">
        <v>1837</v>
      </c>
      <c r="E1005" s="129"/>
      <c r="F1005" s="130"/>
      <c r="G1005" s="131"/>
      <c r="I1005" s="120"/>
      <c r="J1005" s="120"/>
      <c r="K1005" s="120"/>
      <c r="L1005" s="270">
        <f t="shared" si="69"/>
        <v>0</v>
      </c>
      <c r="M1005" s="134">
        <f t="shared" si="72"/>
        <v>0</v>
      </c>
    </row>
    <row r="1006" spans="1:13" s="118" customFormat="1" ht="20.399999999999999" outlineLevel="4">
      <c r="A1006" s="118" t="s">
        <v>1838</v>
      </c>
      <c r="B1006" s="116" t="s">
        <v>929</v>
      </c>
      <c r="C1006" s="129"/>
      <c r="D1006" s="180" t="s">
        <v>1839</v>
      </c>
      <c r="E1006" s="129" t="s">
        <v>346</v>
      </c>
      <c r="F1006" s="130"/>
      <c r="G1006" s="131">
        <v>73</v>
      </c>
      <c r="I1006" s="120"/>
      <c r="J1006" s="120"/>
      <c r="K1006" s="120">
        <v>110</v>
      </c>
      <c r="L1006" s="270">
        <f t="shared" si="69"/>
        <v>110</v>
      </c>
      <c r="M1006" s="134">
        <f t="shared" si="72"/>
        <v>8030</v>
      </c>
    </row>
    <row r="1007" spans="1:13" s="118" customFormat="1" ht="10.199999999999999" outlineLevel="4">
      <c r="B1007" s="116"/>
      <c r="C1007" s="129"/>
      <c r="D1007" s="427" t="s">
        <v>1840</v>
      </c>
      <c r="E1007" s="129"/>
      <c r="F1007" s="130"/>
      <c r="G1007" s="131"/>
      <c r="I1007" s="120"/>
      <c r="J1007" s="120"/>
      <c r="K1007" s="120"/>
      <c r="L1007" s="270">
        <f t="shared" si="69"/>
        <v>0</v>
      </c>
      <c r="M1007" s="134">
        <f t="shared" si="72"/>
        <v>0</v>
      </c>
    </row>
    <row r="1008" spans="1:13" s="255" customFormat="1" ht="20.399999999999999" outlineLevel="4">
      <c r="A1008" s="255" t="s">
        <v>1841</v>
      </c>
      <c r="B1008" s="269" t="s">
        <v>929</v>
      </c>
      <c r="C1008" s="244"/>
      <c r="D1008" s="429" t="s">
        <v>1227</v>
      </c>
      <c r="E1008" s="244" t="s">
        <v>346</v>
      </c>
      <c r="F1008" s="271"/>
      <c r="G1008" s="254">
        <v>90</v>
      </c>
      <c r="I1008" s="256">
        <f>+((25*3.8)+8+1)*1.15</f>
        <v>119.6</v>
      </c>
      <c r="J1008" s="256"/>
      <c r="K1008" s="256">
        <v>30</v>
      </c>
      <c r="L1008" s="272">
        <f t="shared" si="69"/>
        <v>149.6</v>
      </c>
      <c r="M1008" s="258">
        <f t="shared" si="72"/>
        <v>13464</v>
      </c>
    </row>
    <row r="1009" spans="1:13" s="118" customFormat="1" ht="10.199999999999999" outlineLevel="4">
      <c r="A1009" s="118" t="s">
        <v>1841</v>
      </c>
      <c r="B1009" s="116" t="s">
        <v>929</v>
      </c>
      <c r="C1009" s="129"/>
      <c r="D1009" s="180" t="s">
        <v>1842</v>
      </c>
      <c r="E1009" s="129" t="s">
        <v>346</v>
      </c>
      <c r="F1009" s="130"/>
      <c r="G1009" s="131">
        <v>47.480000000000011</v>
      </c>
      <c r="I1009" s="120"/>
      <c r="J1009" s="120"/>
      <c r="K1009" s="120">
        <v>191</v>
      </c>
      <c r="L1009" s="270">
        <f t="shared" si="69"/>
        <v>191</v>
      </c>
      <c r="M1009" s="134">
        <f t="shared" si="72"/>
        <v>9068.6800000000021</v>
      </c>
    </row>
    <row r="1010" spans="1:13" s="118" customFormat="1" ht="10.199999999999999" outlineLevel="4">
      <c r="A1010" s="118" t="s">
        <v>1841</v>
      </c>
      <c r="B1010" s="116" t="s">
        <v>929</v>
      </c>
      <c r="C1010" s="129"/>
      <c r="D1010" s="180" t="s">
        <v>1843</v>
      </c>
      <c r="E1010" s="129" t="s">
        <v>346</v>
      </c>
      <c r="F1010" s="130"/>
      <c r="G1010" s="131"/>
      <c r="I1010" s="120"/>
      <c r="J1010" s="120"/>
      <c r="K1010" s="120"/>
      <c r="L1010" s="270">
        <f t="shared" si="69"/>
        <v>0</v>
      </c>
      <c r="M1010" s="134">
        <f t="shared" si="72"/>
        <v>0</v>
      </c>
    </row>
    <row r="1011" spans="1:13" s="118" customFormat="1" ht="10.199999999999999" outlineLevel="4">
      <c r="A1011" s="118" t="s">
        <v>1767</v>
      </c>
      <c r="B1011" s="116" t="s">
        <v>929</v>
      </c>
      <c r="C1011" s="129"/>
      <c r="D1011" s="180" t="s">
        <v>1844</v>
      </c>
      <c r="E1011" s="129" t="s">
        <v>500</v>
      </c>
      <c r="F1011" s="130"/>
      <c r="G1011" s="131">
        <v>1</v>
      </c>
      <c r="I1011" s="120"/>
      <c r="J1011" s="120"/>
      <c r="K1011" s="120">
        <v>45</v>
      </c>
      <c r="L1011" s="270">
        <f t="shared" si="69"/>
        <v>45</v>
      </c>
      <c r="M1011" s="134">
        <f t="shared" si="72"/>
        <v>45</v>
      </c>
    </row>
    <row r="1012" spans="1:13" s="118" customFormat="1" ht="10.199999999999999" outlineLevel="4">
      <c r="B1012" s="116"/>
      <c r="C1012" s="129"/>
      <c r="D1012" s="427" t="s">
        <v>1845</v>
      </c>
      <c r="E1012" s="129"/>
      <c r="F1012" s="130"/>
      <c r="G1012" s="131"/>
      <c r="I1012" s="120"/>
      <c r="J1012" s="120"/>
      <c r="K1012" s="120"/>
      <c r="L1012" s="270">
        <f t="shared" si="69"/>
        <v>0</v>
      </c>
      <c r="M1012" s="134">
        <f t="shared" si="72"/>
        <v>0</v>
      </c>
    </row>
    <row r="1013" spans="1:13" s="118" customFormat="1" ht="20.399999999999999" outlineLevel="4">
      <c r="A1013" s="118" t="s">
        <v>1767</v>
      </c>
      <c r="B1013" s="116" t="s">
        <v>929</v>
      </c>
      <c r="C1013" s="129"/>
      <c r="D1013" s="180" t="s">
        <v>1846</v>
      </c>
      <c r="E1013" s="129" t="s">
        <v>362</v>
      </c>
      <c r="F1013" s="130"/>
      <c r="G1013" s="131">
        <v>1</v>
      </c>
      <c r="I1013" s="120"/>
      <c r="J1013" s="120"/>
      <c r="K1013" s="120">
        <v>15000</v>
      </c>
      <c r="L1013" s="270">
        <f t="shared" si="69"/>
        <v>15000</v>
      </c>
      <c r="M1013" s="134">
        <f t="shared" si="72"/>
        <v>15000</v>
      </c>
    </row>
    <row r="1014" spans="1:13" s="118" customFormat="1" ht="10.199999999999999" outlineLevel="4">
      <c r="A1014" s="118" t="s">
        <v>1847</v>
      </c>
      <c r="B1014" s="116" t="s">
        <v>929</v>
      </c>
      <c r="C1014" s="129"/>
      <c r="D1014" s="429" t="s">
        <v>1848</v>
      </c>
      <c r="E1014" s="129" t="s">
        <v>500</v>
      </c>
      <c r="F1014" s="130"/>
      <c r="G1014" s="131">
        <v>2</v>
      </c>
      <c r="I1014" s="120"/>
      <c r="J1014" s="120"/>
      <c r="K1014" s="120">
        <v>1000</v>
      </c>
      <c r="L1014" s="270">
        <f t="shared" si="69"/>
        <v>1000</v>
      </c>
      <c r="M1014" s="134">
        <f t="shared" si="72"/>
        <v>2000</v>
      </c>
    </row>
    <row r="1015" spans="1:13" s="118" customFormat="1" ht="10.199999999999999" outlineLevel="4">
      <c r="A1015" s="118" t="s">
        <v>1815</v>
      </c>
      <c r="B1015" s="116" t="s">
        <v>929</v>
      </c>
      <c r="C1015" s="129"/>
      <c r="D1015" s="429" t="s">
        <v>1849</v>
      </c>
      <c r="E1015" s="129" t="s">
        <v>500</v>
      </c>
      <c r="F1015" s="130"/>
      <c r="G1015" s="131">
        <v>3.75</v>
      </c>
      <c r="I1015" s="120"/>
      <c r="J1015" s="120"/>
      <c r="K1015" s="120">
        <v>3000</v>
      </c>
      <c r="L1015" s="270">
        <f t="shared" si="69"/>
        <v>3000</v>
      </c>
      <c r="M1015" s="134">
        <f t="shared" si="72"/>
        <v>11250</v>
      </c>
    </row>
    <row r="1016" spans="1:13" s="118" customFormat="1" ht="10.199999999999999" outlineLevel="4">
      <c r="A1016" s="118" t="s">
        <v>1847</v>
      </c>
      <c r="B1016" s="116" t="s">
        <v>929</v>
      </c>
      <c r="C1016" s="129"/>
      <c r="D1016" s="429" t="s">
        <v>1850</v>
      </c>
      <c r="E1016" s="129" t="s">
        <v>251</v>
      </c>
      <c r="F1016" s="130"/>
      <c r="G1016" s="131">
        <v>2</v>
      </c>
      <c r="I1016" s="120"/>
      <c r="J1016" s="120"/>
      <c r="K1016" s="120">
        <v>1350</v>
      </c>
      <c r="L1016" s="270">
        <f t="shared" si="69"/>
        <v>1350</v>
      </c>
      <c r="M1016" s="134">
        <f t="shared" si="72"/>
        <v>2700</v>
      </c>
    </row>
    <row r="1017" spans="1:13" s="118" customFormat="1" ht="20.399999999999999" outlineLevel="4">
      <c r="A1017" s="118" t="s">
        <v>1847</v>
      </c>
      <c r="B1017" s="116" t="s">
        <v>929</v>
      </c>
      <c r="C1017" s="129"/>
      <c r="D1017" s="429" t="s">
        <v>1851</v>
      </c>
      <c r="E1017" s="129" t="s">
        <v>251</v>
      </c>
      <c r="F1017" s="130"/>
      <c r="G1017" s="131">
        <v>2</v>
      </c>
      <c r="I1017" s="120"/>
      <c r="J1017" s="120"/>
      <c r="K1017" s="120">
        <v>820</v>
      </c>
      <c r="L1017" s="270">
        <f t="shared" si="69"/>
        <v>820</v>
      </c>
      <c r="M1017" s="134">
        <f t="shared" si="72"/>
        <v>1640</v>
      </c>
    </row>
    <row r="1018" spans="1:13" s="118" customFormat="1" ht="10.199999999999999" outlineLevel="4">
      <c r="A1018" s="118" t="s">
        <v>1847</v>
      </c>
      <c r="B1018" s="116" t="s">
        <v>929</v>
      </c>
      <c r="C1018" s="129"/>
      <c r="D1018" s="429" t="s">
        <v>1852</v>
      </c>
      <c r="E1018" s="129" t="s">
        <v>251</v>
      </c>
      <c r="F1018" s="130"/>
      <c r="G1018" s="131">
        <v>2</v>
      </c>
      <c r="I1018" s="120"/>
      <c r="J1018" s="120"/>
      <c r="K1018" s="120">
        <v>1550</v>
      </c>
      <c r="L1018" s="270">
        <f t="shared" si="69"/>
        <v>1550</v>
      </c>
      <c r="M1018" s="134">
        <f t="shared" si="72"/>
        <v>3100</v>
      </c>
    </row>
    <row r="1019" spans="1:13" s="118" customFormat="1" ht="10.199999999999999" outlineLevel="4">
      <c r="A1019" s="118" t="s">
        <v>1847</v>
      </c>
      <c r="B1019" s="116" t="s">
        <v>929</v>
      </c>
      <c r="C1019" s="129"/>
      <c r="D1019" s="429" t="s">
        <v>1853</v>
      </c>
      <c r="E1019" s="129" t="s">
        <v>251</v>
      </c>
      <c r="F1019" s="130"/>
      <c r="G1019" s="131">
        <v>1</v>
      </c>
      <c r="I1019" s="120"/>
      <c r="J1019" s="120"/>
      <c r="K1019" s="120">
        <v>3600</v>
      </c>
      <c r="L1019" s="270">
        <f t="shared" si="69"/>
        <v>3600</v>
      </c>
      <c r="M1019" s="134">
        <f t="shared" si="72"/>
        <v>3600</v>
      </c>
    </row>
    <row r="1020" spans="1:13" s="118" customFormat="1" ht="10.199999999999999" outlineLevel="4">
      <c r="A1020" s="118" t="s">
        <v>1847</v>
      </c>
      <c r="B1020" s="116" t="s">
        <v>929</v>
      </c>
      <c r="C1020" s="129"/>
      <c r="D1020" s="429" t="s">
        <v>1854</v>
      </c>
      <c r="E1020" s="129" t="s">
        <v>251</v>
      </c>
      <c r="F1020" s="130"/>
      <c r="G1020" s="131">
        <v>1</v>
      </c>
      <c r="I1020" s="120"/>
      <c r="J1020" s="120"/>
      <c r="K1020" s="120">
        <v>1800</v>
      </c>
      <c r="L1020" s="270">
        <f t="shared" si="69"/>
        <v>1800</v>
      </c>
      <c r="M1020" s="134">
        <f t="shared" si="72"/>
        <v>1800</v>
      </c>
    </row>
    <row r="1021" spans="1:13" s="118" customFormat="1" ht="10.199999999999999" outlineLevel="4">
      <c r="A1021" s="118" t="s">
        <v>1847</v>
      </c>
      <c r="B1021" s="116" t="s">
        <v>929</v>
      </c>
      <c r="C1021" s="129"/>
      <c r="D1021" s="429" t="s">
        <v>1855</v>
      </c>
      <c r="E1021" s="129" t="s">
        <v>251</v>
      </c>
      <c r="F1021" s="130"/>
      <c r="G1021" s="131">
        <v>1</v>
      </c>
      <c r="I1021" s="120"/>
      <c r="J1021" s="120"/>
      <c r="K1021" s="120">
        <v>1100</v>
      </c>
      <c r="L1021" s="270">
        <f t="shared" si="69"/>
        <v>1100</v>
      </c>
      <c r="M1021" s="134">
        <f t="shared" si="72"/>
        <v>1100</v>
      </c>
    </row>
    <row r="1022" spans="1:13" s="118" customFormat="1" ht="10.199999999999999" outlineLevel="4">
      <c r="A1022" s="118" t="s">
        <v>1847</v>
      </c>
      <c r="B1022" s="116" t="s">
        <v>929</v>
      </c>
      <c r="C1022" s="129"/>
      <c r="D1022" s="429" t="s">
        <v>1856</v>
      </c>
      <c r="E1022" s="129" t="s">
        <v>251</v>
      </c>
      <c r="F1022" s="130"/>
      <c r="G1022" s="131">
        <v>1</v>
      </c>
      <c r="I1022" s="120"/>
      <c r="J1022" s="120"/>
      <c r="K1022" s="120">
        <v>980</v>
      </c>
      <c r="L1022" s="270">
        <f t="shared" si="69"/>
        <v>980</v>
      </c>
      <c r="M1022" s="134">
        <f t="shared" si="72"/>
        <v>980</v>
      </c>
    </row>
    <row r="1023" spans="1:13" s="118" customFormat="1" ht="10.199999999999999" outlineLevel="4">
      <c r="A1023" s="118" t="s">
        <v>1847</v>
      </c>
      <c r="B1023" s="116" t="s">
        <v>929</v>
      </c>
      <c r="C1023" s="129"/>
      <c r="D1023" s="429" t="s">
        <v>1857</v>
      </c>
      <c r="E1023" s="129" t="s">
        <v>251</v>
      </c>
      <c r="F1023" s="130"/>
      <c r="G1023" s="131">
        <v>1</v>
      </c>
      <c r="I1023" s="120"/>
      <c r="J1023" s="120"/>
      <c r="K1023" s="120">
        <v>820</v>
      </c>
      <c r="L1023" s="270">
        <f t="shared" si="69"/>
        <v>820</v>
      </c>
      <c r="M1023" s="134">
        <f t="shared" si="72"/>
        <v>820</v>
      </c>
    </row>
    <row r="1024" spans="1:13" s="118" customFormat="1" ht="10.199999999999999" outlineLevel="4">
      <c r="A1024" s="118" t="s">
        <v>1815</v>
      </c>
      <c r="B1024" s="116" t="s">
        <v>929</v>
      </c>
      <c r="C1024" s="129"/>
      <c r="D1024" s="180" t="s">
        <v>1858</v>
      </c>
      <c r="E1024" s="129" t="s">
        <v>251</v>
      </c>
      <c r="F1024" s="130"/>
      <c r="G1024" s="131">
        <v>1</v>
      </c>
      <c r="I1024" s="120"/>
      <c r="J1024" s="120"/>
      <c r="K1024" s="120">
        <v>1200</v>
      </c>
      <c r="L1024" s="270">
        <f t="shared" si="69"/>
        <v>1200</v>
      </c>
      <c r="M1024" s="134">
        <f t="shared" si="72"/>
        <v>1200</v>
      </c>
    </row>
    <row r="1025" spans="1:13" s="118" customFormat="1" ht="10.199999999999999" outlineLevel="4">
      <c r="B1025" s="116"/>
      <c r="C1025" s="129"/>
      <c r="D1025" s="427" t="s">
        <v>1859</v>
      </c>
      <c r="E1025" s="129"/>
      <c r="F1025" s="130"/>
      <c r="G1025" s="131"/>
      <c r="I1025" s="120"/>
      <c r="J1025" s="120"/>
      <c r="K1025" s="120"/>
      <c r="L1025" s="270">
        <f t="shared" si="69"/>
        <v>0</v>
      </c>
      <c r="M1025" s="134">
        <f t="shared" si="72"/>
        <v>0</v>
      </c>
    </row>
    <row r="1026" spans="1:13" s="118" customFormat="1" ht="10.199999999999999" outlineLevel="4">
      <c r="A1026" s="118" t="s">
        <v>1860</v>
      </c>
      <c r="B1026" s="116" t="s">
        <v>929</v>
      </c>
      <c r="C1026" s="129"/>
      <c r="D1026" s="430" t="s">
        <v>1861</v>
      </c>
      <c r="E1026" s="129" t="s">
        <v>346</v>
      </c>
      <c r="F1026" s="130"/>
      <c r="G1026" s="131">
        <v>2.1</v>
      </c>
      <c r="I1026" s="120"/>
      <c r="J1026" s="120"/>
      <c r="K1026" s="120">
        <v>250</v>
      </c>
      <c r="L1026" s="270">
        <f t="shared" si="69"/>
        <v>250</v>
      </c>
      <c r="M1026" s="134">
        <f t="shared" si="72"/>
        <v>525</v>
      </c>
    </row>
    <row r="1027" spans="1:13" s="118" customFormat="1" ht="10.199999999999999" outlineLevel="4">
      <c r="A1027" s="118" t="s">
        <v>1860</v>
      </c>
      <c r="B1027" s="116" t="s">
        <v>929</v>
      </c>
      <c r="C1027" s="129"/>
      <c r="D1027" s="430" t="s">
        <v>1862</v>
      </c>
      <c r="E1027" s="129" t="s">
        <v>251</v>
      </c>
      <c r="F1027" s="130"/>
      <c r="G1027" s="131">
        <v>9</v>
      </c>
      <c r="I1027" s="120"/>
      <c r="J1027" s="120"/>
      <c r="K1027" s="120">
        <v>250</v>
      </c>
      <c r="L1027" s="270">
        <f t="shared" si="69"/>
        <v>250</v>
      </c>
      <c r="M1027" s="134">
        <f t="shared" si="72"/>
        <v>2250</v>
      </c>
    </row>
    <row r="1028" spans="1:13" s="118" customFormat="1" ht="10.199999999999999" outlineLevel="4">
      <c r="A1028" s="118" t="s">
        <v>928</v>
      </c>
      <c r="B1028" s="116" t="s">
        <v>929</v>
      </c>
      <c r="C1028" s="129"/>
      <c r="D1028" s="180" t="s">
        <v>1863</v>
      </c>
      <c r="E1028" s="129" t="s">
        <v>228</v>
      </c>
      <c r="F1028" s="130"/>
      <c r="G1028" s="131">
        <v>1</v>
      </c>
      <c r="I1028" s="120"/>
      <c r="J1028" s="120"/>
      <c r="K1028" s="120">
        <v>330</v>
      </c>
      <c r="L1028" s="270">
        <f t="shared" si="69"/>
        <v>330</v>
      </c>
      <c r="M1028" s="134">
        <f t="shared" si="72"/>
        <v>330</v>
      </c>
    </row>
    <row r="1029" spans="1:13" s="328" customFormat="1" ht="10.199999999999999" outlineLevel="4">
      <c r="B1029" s="329"/>
      <c r="C1029" s="330"/>
      <c r="D1029" s="431" t="s">
        <v>1044</v>
      </c>
      <c r="E1029" s="330"/>
      <c r="F1029" s="332"/>
      <c r="G1029" s="333"/>
      <c r="I1029" s="334"/>
      <c r="J1029" s="334"/>
      <c r="K1029" s="334"/>
      <c r="L1029" s="335">
        <f t="shared" si="69"/>
        <v>0</v>
      </c>
      <c r="M1029" s="338">
        <f t="shared" si="72"/>
        <v>0</v>
      </c>
    </row>
    <row r="1030" spans="1:13" s="328" customFormat="1" ht="10.199999999999999" outlineLevel="4">
      <c r="A1030" s="328" t="s">
        <v>1044</v>
      </c>
      <c r="B1030" s="329" t="s">
        <v>929</v>
      </c>
      <c r="C1030" s="330"/>
      <c r="D1030" s="337" t="s">
        <v>1864</v>
      </c>
      <c r="E1030" s="330" t="s">
        <v>1046</v>
      </c>
      <c r="F1030" s="332"/>
      <c r="G1030" s="333">
        <v>9</v>
      </c>
      <c r="I1030" s="334"/>
      <c r="J1030" s="334"/>
      <c r="K1030" s="334">
        <v>50</v>
      </c>
      <c r="L1030" s="335">
        <f t="shared" si="69"/>
        <v>50</v>
      </c>
      <c r="M1030" s="338">
        <f t="shared" si="72"/>
        <v>450</v>
      </c>
    </row>
    <row r="1031" spans="1:13" s="328" customFormat="1" ht="20.399999999999999" outlineLevel="4">
      <c r="A1031" s="328" t="s">
        <v>1044</v>
      </c>
      <c r="B1031" s="329" t="s">
        <v>929</v>
      </c>
      <c r="C1031" s="330"/>
      <c r="D1031" s="337" t="s">
        <v>1865</v>
      </c>
      <c r="E1031" s="330" t="s">
        <v>1046</v>
      </c>
      <c r="F1031" s="332"/>
      <c r="G1031" s="333">
        <v>20</v>
      </c>
      <c r="I1031" s="334"/>
      <c r="J1031" s="334"/>
      <c r="K1031" s="334">
        <v>50</v>
      </c>
      <c r="L1031" s="335">
        <f t="shared" si="69"/>
        <v>50</v>
      </c>
      <c r="M1031" s="338">
        <f t="shared" si="72"/>
        <v>1000</v>
      </c>
    </row>
    <row r="1032" spans="1:13" s="328" customFormat="1" ht="10.199999999999999" outlineLevel="4">
      <c r="A1032" s="328" t="s">
        <v>1044</v>
      </c>
      <c r="B1032" s="329" t="s">
        <v>929</v>
      </c>
      <c r="C1032" s="330"/>
      <c r="D1032" s="337" t="s">
        <v>1866</v>
      </c>
      <c r="E1032" s="330" t="s">
        <v>500</v>
      </c>
      <c r="F1032" s="332"/>
      <c r="G1032" s="333">
        <v>29</v>
      </c>
      <c r="I1032" s="334"/>
      <c r="J1032" s="334"/>
      <c r="K1032" s="334">
        <v>50</v>
      </c>
      <c r="L1032" s="335">
        <f t="shared" si="69"/>
        <v>50</v>
      </c>
      <c r="M1032" s="338">
        <f t="shared" si="72"/>
        <v>1450</v>
      </c>
    </row>
    <row r="1033" spans="1:13" s="328" customFormat="1" ht="10.199999999999999" outlineLevel="4">
      <c r="A1033" s="328" t="s">
        <v>1044</v>
      </c>
      <c r="B1033" s="329" t="s">
        <v>929</v>
      </c>
      <c r="C1033" s="330"/>
      <c r="D1033" s="337" t="s">
        <v>1867</v>
      </c>
      <c r="E1033" s="330" t="s">
        <v>251</v>
      </c>
      <c r="F1033" s="332"/>
      <c r="G1033" s="333">
        <f>+G1032/5</f>
        <v>5.8</v>
      </c>
      <c r="I1033" s="334"/>
      <c r="J1033" s="334"/>
      <c r="K1033" s="334">
        <v>50</v>
      </c>
      <c r="L1033" s="335">
        <f t="shared" si="69"/>
        <v>50</v>
      </c>
      <c r="M1033" s="338">
        <f t="shared" si="72"/>
        <v>290</v>
      </c>
    </row>
    <row r="1034" spans="1:13" s="328" customFormat="1" ht="10.199999999999999" outlineLevel="4">
      <c r="A1034" s="328" t="s">
        <v>1044</v>
      </c>
      <c r="B1034" s="329" t="s">
        <v>929</v>
      </c>
      <c r="C1034" s="330"/>
      <c r="D1034" s="337" t="s">
        <v>1868</v>
      </c>
      <c r="E1034" s="330" t="s">
        <v>500</v>
      </c>
      <c r="F1034" s="332"/>
      <c r="G1034" s="333">
        <v>29</v>
      </c>
      <c r="I1034" s="334"/>
      <c r="J1034" s="334"/>
      <c r="K1034" s="334">
        <v>50</v>
      </c>
      <c r="L1034" s="335">
        <f t="shared" si="69"/>
        <v>50</v>
      </c>
      <c r="M1034" s="338">
        <f t="shared" si="72"/>
        <v>1450</v>
      </c>
    </row>
    <row r="1035" spans="1:13" s="328" customFormat="1" ht="10.199999999999999" outlineLevel="4">
      <c r="A1035" s="328" t="s">
        <v>1044</v>
      </c>
      <c r="B1035" s="329" t="s">
        <v>929</v>
      </c>
      <c r="C1035" s="330"/>
      <c r="D1035" s="337" t="s">
        <v>1866</v>
      </c>
      <c r="E1035" s="330" t="s">
        <v>500</v>
      </c>
      <c r="F1035" s="332"/>
      <c r="G1035" s="333">
        <v>2</v>
      </c>
      <c r="I1035" s="334"/>
      <c r="J1035" s="334"/>
      <c r="K1035" s="334">
        <f>235.91/5</f>
        <v>47.182000000000002</v>
      </c>
      <c r="L1035" s="335">
        <f t="shared" si="69"/>
        <v>47.182000000000002</v>
      </c>
      <c r="M1035" s="338">
        <f t="shared" si="72"/>
        <v>94.364000000000004</v>
      </c>
    </row>
    <row r="1036" spans="1:13" s="328" customFormat="1" ht="10.199999999999999" outlineLevel="4">
      <c r="A1036" s="328" t="s">
        <v>1044</v>
      </c>
      <c r="B1036" s="329" t="s">
        <v>929</v>
      </c>
      <c r="C1036" s="330"/>
      <c r="D1036" s="337" t="s">
        <v>1867</v>
      </c>
      <c r="E1036" s="330" t="s">
        <v>251</v>
      </c>
      <c r="F1036" s="332"/>
      <c r="G1036" s="333">
        <v>1</v>
      </c>
      <c r="I1036" s="334"/>
      <c r="J1036" s="334"/>
      <c r="K1036" s="334">
        <v>78.75</v>
      </c>
      <c r="L1036" s="335">
        <f t="shared" si="69"/>
        <v>78.75</v>
      </c>
      <c r="M1036" s="338">
        <f t="shared" si="72"/>
        <v>78.75</v>
      </c>
    </row>
    <row r="1037" spans="1:13" s="328" customFormat="1" ht="10.199999999999999" outlineLevel="4">
      <c r="A1037" s="328" t="s">
        <v>1044</v>
      </c>
      <c r="B1037" s="329" t="s">
        <v>929</v>
      </c>
      <c r="C1037" s="330"/>
      <c r="D1037" s="337" t="s">
        <v>1868</v>
      </c>
      <c r="E1037" s="330" t="s">
        <v>500</v>
      </c>
      <c r="F1037" s="332"/>
      <c r="G1037" s="333">
        <v>2</v>
      </c>
      <c r="I1037" s="334"/>
      <c r="J1037" s="334"/>
      <c r="K1037" s="334">
        <f>101.25/4</f>
        <v>25.3125</v>
      </c>
      <c r="L1037" s="335">
        <f t="shared" si="69"/>
        <v>25.3125</v>
      </c>
      <c r="M1037" s="338">
        <f t="shared" si="72"/>
        <v>50.625</v>
      </c>
    </row>
    <row r="1038" spans="1:13" s="118" customFormat="1" ht="10.199999999999999" outlineLevel="4">
      <c r="B1038" s="116"/>
      <c r="C1038" s="129"/>
      <c r="D1038" s="432" t="s">
        <v>1869</v>
      </c>
      <c r="E1038" s="129"/>
      <c r="F1038" s="130"/>
      <c r="G1038" s="131"/>
      <c r="I1038" s="120"/>
      <c r="J1038" s="120"/>
      <c r="K1038" s="120"/>
      <c r="L1038" s="270">
        <f t="shared" si="69"/>
        <v>0</v>
      </c>
      <c r="M1038" s="134">
        <f t="shared" si="72"/>
        <v>0</v>
      </c>
    </row>
    <row r="1039" spans="1:13" s="118" customFormat="1" ht="10.199999999999999" outlineLevel="4">
      <c r="A1039" s="118" t="s">
        <v>1815</v>
      </c>
      <c r="B1039" s="116" t="s">
        <v>929</v>
      </c>
      <c r="C1039" s="129"/>
      <c r="D1039" s="180" t="s">
        <v>1870</v>
      </c>
      <c r="E1039" s="129" t="s">
        <v>500</v>
      </c>
      <c r="F1039" s="130"/>
      <c r="G1039" s="131">
        <v>1.6</v>
      </c>
      <c r="I1039" s="120"/>
      <c r="J1039" s="120"/>
      <c r="K1039" s="120">
        <v>850</v>
      </c>
      <c r="L1039" s="270">
        <f t="shared" si="69"/>
        <v>850</v>
      </c>
      <c r="M1039" s="134">
        <f t="shared" si="72"/>
        <v>1360</v>
      </c>
    </row>
    <row r="1040" spans="1:13" s="118" customFormat="1" ht="10.199999999999999" outlineLevel="4">
      <c r="A1040" s="118" t="s">
        <v>1767</v>
      </c>
      <c r="B1040" s="116" t="s">
        <v>929</v>
      </c>
      <c r="C1040" s="129"/>
      <c r="D1040" s="180" t="s">
        <v>1871</v>
      </c>
      <c r="E1040" s="129" t="s">
        <v>500</v>
      </c>
      <c r="F1040" s="130"/>
      <c r="G1040" s="131">
        <v>2</v>
      </c>
      <c r="I1040" s="120"/>
      <c r="J1040" s="120"/>
      <c r="K1040" s="120">
        <v>577</v>
      </c>
      <c r="L1040" s="270">
        <f t="shared" si="69"/>
        <v>577</v>
      </c>
      <c r="M1040" s="134">
        <f t="shared" si="72"/>
        <v>1154</v>
      </c>
    </row>
    <row r="1041" spans="1:13" s="118" customFormat="1" ht="10.199999999999999" outlineLevel="4">
      <c r="A1041" s="118" t="s">
        <v>1767</v>
      </c>
      <c r="B1041" s="116" t="s">
        <v>929</v>
      </c>
      <c r="C1041" s="129"/>
      <c r="D1041" s="180" t="s">
        <v>1872</v>
      </c>
      <c r="E1041" s="129" t="s">
        <v>500</v>
      </c>
      <c r="F1041" s="130"/>
      <c r="G1041" s="131">
        <v>9</v>
      </c>
      <c r="I1041" s="120"/>
      <c r="J1041" s="120"/>
      <c r="K1041" s="120">
        <v>60</v>
      </c>
      <c r="L1041" s="270">
        <f t="shared" si="69"/>
        <v>60</v>
      </c>
      <c r="M1041" s="134">
        <f t="shared" si="72"/>
        <v>540</v>
      </c>
    </row>
    <row r="1042" spans="1:13" s="118" customFormat="1" ht="10.199999999999999" outlineLevel="4">
      <c r="A1042" s="118" t="s">
        <v>1815</v>
      </c>
      <c r="B1042" s="116" t="s">
        <v>929</v>
      </c>
      <c r="C1042" s="129"/>
      <c r="D1042" s="180" t="s">
        <v>1873</v>
      </c>
      <c r="E1042" s="129" t="s">
        <v>251</v>
      </c>
      <c r="F1042" s="130"/>
      <c r="G1042" s="131">
        <v>1</v>
      </c>
      <c r="I1042" s="120"/>
      <c r="J1042" s="120"/>
      <c r="K1042" s="120">
        <v>950</v>
      </c>
      <c r="L1042" s="270">
        <f t="shared" si="69"/>
        <v>950</v>
      </c>
      <c r="M1042" s="134">
        <f t="shared" si="72"/>
        <v>950</v>
      </c>
    </row>
    <row r="1043" spans="1:13" s="118" customFormat="1" ht="10.199999999999999" outlineLevel="4">
      <c r="B1043" s="116"/>
      <c r="C1043" s="129"/>
      <c r="D1043" s="432" t="s">
        <v>1874</v>
      </c>
      <c r="E1043" s="129"/>
      <c r="F1043" s="130"/>
      <c r="G1043" s="131"/>
      <c r="I1043" s="120"/>
      <c r="J1043" s="120"/>
      <c r="K1043" s="120"/>
      <c r="L1043" s="270">
        <f t="shared" si="69"/>
        <v>0</v>
      </c>
      <c r="M1043" s="134">
        <f t="shared" si="72"/>
        <v>0</v>
      </c>
    </row>
    <row r="1044" spans="1:13" s="280" customFormat="1" ht="20.399999999999999" outlineLevel="4">
      <c r="A1044" s="280" t="s">
        <v>1841</v>
      </c>
      <c r="B1044" s="367" t="s">
        <v>929</v>
      </c>
      <c r="C1044" s="368"/>
      <c r="D1044" s="433" t="s">
        <v>1875</v>
      </c>
      <c r="E1044" s="368" t="s">
        <v>346</v>
      </c>
      <c r="F1044" s="370"/>
      <c r="G1044" s="279">
        <v>5</v>
      </c>
      <c r="I1044" s="281">
        <v>180</v>
      </c>
      <c r="J1044" s="281"/>
      <c r="K1044" s="281">
        <v>30</v>
      </c>
      <c r="L1044" s="282">
        <f t="shared" si="69"/>
        <v>210</v>
      </c>
      <c r="M1044" s="283">
        <f t="shared" si="72"/>
        <v>1050</v>
      </c>
    </row>
    <row r="1045" spans="1:13" s="280" customFormat="1" ht="10.199999999999999" outlineLevel="4">
      <c r="A1045" s="280" t="s">
        <v>1841</v>
      </c>
      <c r="B1045" s="367" t="s">
        <v>929</v>
      </c>
      <c r="C1045" s="368"/>
      <c r="D1045" s="433" t="s">
        <v>1876</v>
      </c>
      <c r="E1045" s="368" t="s">
        <v>346</v>
      </c>
      <c r="F1045" s="370"/>
      <c r="G1045" s="279">
        <v>10.17</v>
      </c>
      <c r="I1045" s="281">
        <v>180</v>
      </c>
      <c r="J1045" s="281"/>
      <c r="K1045" s="281">
        <v>30</v>
      </c>
      <c r="L1045" s="282">
        <f t="shared" si="69"/>
        <v>210</v>
      </c>
      <c r="M1045" s="283">
        <f t="shared" si="72"/>
        <v>2135.6999999999998</v>
      </c>
    </row>
    <row r="1046" spans="1:13" s="280" customFormat="1" ht="20.399999999999999" outlineLevel="4">
      <c r="A1046" s="280" t="s">
        <v>1841</v>
      </c>
      <c r="B1046" s="367" t="s">
        <v>929</v>
      </c>
      <c r="C1046" s="368"/>
      <c r="D1046" s="433" t="s">
        <v>1877</v>
      </c>
      <c r="E1046" s="368" t="s">
        <v>500</v>
      </c>
      <c r="F1046" s="370"/>
      <c r="G1046" s="279">
        <v>8</v>
      </c>
      <c r="I1046" s="281">
        <v>50</v>
      </c>
      <c r="J1046" s="281"/>
      <c r="K1046" s="281">
        <v>15</v>
      </c>
      <c r="L1046" s="282">
        <f t="shared" si="69"/>
        <v>65</v>
      </c>
      <c r="M1046" s="283">
        <f t="shared" si="72"/>
        <v>520</v>
      </c>
    </row>
    <row r="1047" spans="1:13" s="118" customFormat="1" ht="10.199999999999999" outlineLevel="4">
      <c r="A1047" s="118" t="s">
        <v>1841</v>
      </c>
      <c r="B1047" s="116" t="s">
        <v>929</v>
      </c>
      <c r="C1047" s="129"/>
      <c r="D1047" s="180" t="s">
        <v>1878</v>
      </c>
      <c r="E1047" s="129" t="s">
        <v>346</v>
      </c>
      <c r="F1047" s="130"/>
      <c r="G1047" s="131">
        <v>7.5</v>
      </c>
      <c r="I1047" s="120"/>
      <c r="J1047" s="120"/>
      <c r="K1047" s="120">
        <v>210</v>
      </c>
      <c r="L1047" s="270">
        <f t="shared" ref="L1047:L1059" si="73">SUM(H1047:K1047)</f>
        <v>210</v>
      </c>
      <c r="M1047" s="134">
        <f t="shared" si="72"/>
        <v>1575</v>
      </c>
    </row>
    <row r="1048" spans="1:13" s="118" customFormat="1" ht="10.199999999999999" outlineLevel="4">
      <c r="A1048" s="118" t="s">
        <v>1831</v>
      </c>
      <c r="B1048" s="116" t="s">
        <v>929</v>
      </c>
      <c r="C1048" s="129"/>
      <c r="D1048" s="180" t="s">
        <v>1879</v>
      </c>
      <c r="E1048" s="129" t="s">
        <v>346</v>
      </c>
      <c r="F1048" s="130"/>
      <c r="G1048" s="131">
        <v>16</v>
      </c>
      <c r="I1048" s="120"/>
      <c r="J1048" s="120"/>
      <c r="K1048" s="120">
        <v>85</v>
      </c>
      <c r="L1048" s="270">
        <f t="shared" si="73"/>
        <v>85</v>
      </c>
      <c r="M1048" s="134">
        <f t="shared" si="72"/>
        <v>1360</v>
      </c>
    </row>
    <row r="1049" spans="1:13" s="118" customFormat="1" ht="10.199999999999999" outlineLevel="4">
      <c r="A1049" s="118" t="s">
        <v>1044</v>
      </c>
      <c r="B1049" s="116" t="s">
        <v>929</v>
      </c>
      <c r="C1049" s="129"/>
      <c r="D1049" s="180" t="s">
        <v>1880</v>
      </c>
      <c r="E1049" s="129" t="s">
        <v>251</v>
      </c>
      <c r="F1049" s="130"/>
      <c r="G1049" s="131">
        <v>1</v>
      </c>
      <c r="I1049" s="120"/>
      <c r="J1049" s="120"/>
      <c r="K1049" s="120">
        <v>500</v>
      </c>
      <c r="L1049" s="270">
        <f t="shared" si="73"/>
        <v>500</v>
      </c>
      <c r="M1049" s="134">
        <f t="shared" si="72"/>
        <v>500</v>
      </c>
    </row>
    <row r="1050" spans="1:13" s="118" customFormat="1" ht="10.199999999999999" outlineLevel="4">
      <c r="A1050" s="118" t="s">
        <v>1881</v>
      </c>
      <c r="B1050" s="116" t="s">
        <v>929</v>
      </c>
      <c r="C1050" s="129"/>
      <c r="D1050" s="180" t="s">
        <v>1882</v>
      </c>
      <c r="E1050" s="129" t="s">
        <v>251</v>
      </c>
      <c r="F1050" s="130"/>
      <c r="G1050" s="131">
        <v>1</v>
      </c>
      <c r="I1050" s="120"/>
      <c r="J1050" s="120"/>
      <c r="K1050" s="120">
        <v>200</v>
      </c>
      <c r="L1050" s="270">
        <f t="shared" si="73"/>
        <v>200</v>
      </c>
      <c r="M1050" s="134">
        <f t="shared" si="72"/>
        <v>200</v>
      </c>
    </row>
    <row r="1051" spans="1:13" s="118" customFormat="1" ht="10.199999999999999" outlineLevel="4">
      <c r="A1051" s="118" t="s">
        <v>1881</v>
      </c>
      <c r="B1051" s="116" t="s">
        <v>929</v>
      </c>
      <c r="C1051" s="129"/>
      <c r="D1051" s="180" t="s">
        <v>1883</v>
      </c>
      <c r="E1051" s="129" t="s">
        <v>251</v>
      </c>
      <c r="F1051" s="130"/>
      <c r="G1051" s="131">
        <v>1</v>
      </c>
      <c r="I1051" s="120"/>
      <c r="J1051" s="120"/>
      <c r="K1051" s="120">
        <v>500</v>
      </c>
      <c r="L1051" s="270">
        <f t="shared" si="73"/>
        <v>500</v>
      </c>
      <c r="M1051" s="134">
        <f t="shared" si="72"/>
        <v>500</v>
      </c>
    </row>
    <row r="1052" spans="1:13" s="118" customFormat="1" ht="10.199999999999999" outlineLevel="4">
      <c r="A1052" s="118" t="s">
        <v>1847</v>
      </c>
      <c r="B1052" s="116" t="s">
        <v>929</v>
      </c>
      <c r="C1052" s="129"/>
      <c r="D1052" s="433" t="s">
        <v>1884</v>
      </c>
      <c r="E1052" s="129" t="s">
        <v>251</v>
      </c>
      <c r="F1052" s="130"/>
      <c r="G1052" s="131">
        <v>1</v>
      </c>
      <c r="I1052" s="120"/>
      <c r="J1052" s="120"/>
      <c r="K1052" s="120">
        <v>620</v>
      </c>
      <c r="L1052" s="270">
        <f t="shared" si="73"/>
        <v>620</v>
      </c>
      <c r="M1052" s="134">
        <f t="shared" si="72"/>
        <v>620</v>
      </c>
    </row>
    <row r="1053" spans="1:13" s="118" customFormat="1" ht="10.199999999999999" outlineLevel="4">
      <c r="A1053" s="118" t="s">
        <v>1847</v>
      </c>
      <c r="B1053" s="116" t="s">
        <v>929</v>
      </c>
      <c r="C1053" s="129"/>
      <c r="D1053" s="180" t="s">
        <v>1885</v>
      </c>
      <c r="E1053" s="129" t="s">
        <v>251</v>
      </c>
      <c r="F1053" s="130"/>
      <c r="G1053" s="131">
        <v>1</v>
      </c>
      <c r="I1053" s="120"/>
      <c r="J1053" s="120"/>
      <c r="K1053" s="120">
        <v>270</v>
      </c>
      <c r="L1053" s="270">
        <f t="shared" si="73"/>
        <v>270</v>
      </c>
      <c r="M1053" s="134">
        <f t="shared" si="72"/>
        <v>270</v>
      </c>
    </row>
    <row r="1054" spans="1:13" s="118" customFormat="1" ht="10.199999999999999" outlineLevel="4">
      <c r="A1054" s="118" t="s">
        <v>1881</v>
      </c>
      <c r="B1054" s="116" t="s">
        <v>929</v>
      </c>
      <c r="C1054" s="129"/>
      <c r="D1054" s="180" t="s">
        <v>1886</v>
      </c>
      <c r="E1054" s="129" t="s">
        <v>251</v>
      </c>
      <c r="F1054" s="130"/>
      <c r="G1054" s="131">
        <v>1</v>
      </c>
      <c r="I1054" s="120"/>
      <c r="J1054" s="120"/>
      <c r="K1054" s="120">
        <v>770</v>
      </c>
      <c r="L1054" s="270">
        <f t="shared" si="73"/>
        <v>770</v>
      </c>
      <c r="M1054" s="134">
        <f t="shared" si="72"/>
        <v>770</v>
      </c>
    </row>
    <row r="1055" spans="1:13" s="118" customFormat="1" ht="10.199999999999999" outlineLevel="4">
      <c r="A1055" s="118" t="s">
        <v>1881</v>
      </c>
      <c r="B1055" s="116" t="s">
        <v>929</v>
      </c>
      <c r="C1055" s="129"/>
      <c r="D1055" s="180" t="s">
        <v>1887</v>
      </c>
      <c r="E1055" s="129" t="s">
        <v>251</v>
      </c>
      <c r="F1055" s="130"/>
      <c r="G1055" s="131">
        <v>1</v>
      </c>
      <c r="I1055" s="120"/>
      <c r="J1055" s="120"/>
      <c r="K1055" s="120">
        <v>640</v>
      </c>
      <c r="L1055" s="270">
        <f t="shared" si="73"/>
        <v>640</v>
      </c>
      <c r="M1055" s="134">
        <f t="shared" si="72"/>
        <v>640</v>
      </c>
    </row>
    <row r="1056" spans="1:13" s="118" customFormat="1" ht="10.199999999999999" outlineLevel="4">
      <c r="A1056" s="118" t="s">
        <v>1888</v>
      </c>
      <c r="B1056" s="116" t="s">
        <v>929</v>
      </c>
      <c r="C1056" s="129"/>
      <c r="D1056" s="180" t="s">
        <v>1889</v>
      </c>
      <c r="E1056" s="129" t="s">
        <v>346</v>
      </c>
      <c r="F1056" s="130"/>
      <c r="G1056" s="131">
        <v>1.2</v>
      </c>
      <c r="I1056" s="120"/>
      <c r="J1056" s="120"/>
      <c r="K1056" s="120">
        <v>487.5</v>
      </c>
      <c r="L1056" s="270">
        <f t="shared" si="73"/>
        <v>487.5</v>
      </c>
      <c r="M1056" s="134">
        <f t="shared" si="72"/>
        <v>585</v>
      </c>
    </row>
    <row r="1057" spans="1:13" s="118" customFormat="1" ht="20.399999999999999" outlineLevel="4">
      <c r="A1057" s="118" t="s">
        <v>1044</v>
      </c>
      <c r="B1057" s="329" t="s">
        <v>929</v>
      </c>
      <c r="C1057" s="330"/>
      <c r="D1057" s="337" t="s">
        <v>1890</v>
      </c>
      <c r="E1057" s="330" t="s">
        <v>1046</v>
      </c>
      <c r="F1057" s="332"/>
      <c r="G1057" s="333">
        <v>2</v>
      </c>
      <c r="H1057" s="328"/>
      <c r="I1057" s="334"/>
      <c r="J1057" s="334"/>
      <c r="K1057" s="334">
        <v>50</v>
      </c>
      <c r="L1057" s="335">
        <f t="shared" si="73"/>
        <v>50</v>
      </c>
      <c r="M1057" s="338">
        <f t="shared" si="72"/>
        <v>100</v>
      </c>
    </row>
    <row r="1058" spans="1:13" s="118" customFormat="1" ht="10.199999999999999" outlineLevel="4">
      <c r="A1058" s="118" t="s">
        <v>1767</v>
      </c>
      <c r="B1058" s="116" t="s">
        <v>929</v>
      </c>
      <c r="C1058" s="129"/>
      <c r="D1058" s="180" t="s">
        <v>1891</v>
      </c>
      <c r="E1058" s="129" t="s">
        <v>251</v>
      </c>
      <c r="F1058" s="130"/>
      <c r="G1058" s="131">
        <v>2</v>
      </c>
      <c r="I1058" s="120"/>
      <c r="J1058" s="120"/>
      <c r="K1058" s="120">
        <v>190</v>
      </c>
      <c r="L1058" s="270">
        <f t="shared" si="73"/>
        <v>190</v>
      </c>
      <c r="M1058" s="134">
        <f t="shared" si="72"/>
        <v>380</v>
      </c>
    </row>
    <row r="1059" spans="1:13" s="118" customFormat="1" ht="10.199999999999999" outlineLevel="4">
      <c r="A1059" s="118" t="s">
        <v>1860</v>
      </c>
      <c r="B1059" s="116" t="s">
        <v>929</v>
      </c>
      <c r="C1059" s="129"/>
      <c r="D1059" s="180" t="s">
        <v>1892</v>
      </c>
      <c r="E1059" s="129" t="s">
        <v>251</v>
      </c>
      <c r="F1059" s="130"/>
      <c r="G1059" s="131">
        <v>2</v>
      </c>
      <c r="I1059" s="120"/>
      <c r="J1059" s="120"/>
      <c r="K1059" s="120">
        <v>155</v>
      </c>
      <c r="L1059" s="270">
        <f t="shared" si="73"/>
        <v>155</v>
      </c>
      <c r="M1059" s="134">
        <f t="shared" si="72"/>
        <v>310</v>
      </c>
    </row>
    <row r="1060" spans="1:13" s="118" customFormat="1" ht="10.199999999999999" outlineLevel="3">
      <c r="B1060" s="116"/>
      <c r="C1060" s="158" t="s">
        <v>1893</v>
      </c>
      <c r="D1060" s="158" t="s">
        <v>1894</v>
      </c>
      <c r="F1060" s="266"/>
      <c r="G1060" s="116"/>
      <c r="I1060" s="120"/>
      <c r="J1060" s="120"/>
      <c r="K1060" s="120"/>
      <c r="L1060" s="133"/>
      <c r="M1060" s="416">
        <f>SUM(M1061:M1096)</f>
        <v>58909.697699152544</v>
      </c>
    </row>
    <row r="1061" spans="1:13" s="168" customFormat="1" ht="10.199999999999999" outlineLevel="4">
      <c r="A1061" s="168" t="s">
        <v>928</v>
      </c>
      <c r="B1061" s="166" t="s">
        <v>929</v>
      </c>
      <c r="C1061" s="117" t="s">
        <v>1895</v>
      </c>
      <c r="D1061" s="379" t="s">
        <v>1896</v>
      </c>
      <c r="E1061" s="117" t="s">
        <v>550</v>
      </c>
      <c r="F1061" s="142"/>
      <c r="G1061" s="167">
        <v>3.22</v>
      </c>
      <c r="H1061" s="118"/>
      <c r="I1061" s="120"/>
      <c r="J1061" s="120"/>
      <c r="K1061" s="120">
        <f>150*0</f>
        <v>0</v>
      </c>
      <c r="L1061" s="273">
        <f>SUM(H1061:K1061)</f>
        <v>0</v>
      </c>
      <c r="M1061" s="143">
        <f t="shared" ref="M1061:M1085" si="74">+L1061*G1061</f>
        <v>0</v>
      </c>
    </row>
    <row r="1062" spans="1:13" s="168" customFormat="1" ht="20.399999999999999" outlineLevel="4">
      <c r="B1062" s="166" t="s">
        <v>948</v>
      </c>
      <c r="C1062" s="117" t="s">
        <v>1897</v>
      </c>
      <c r="D1062" s="379" t="s">
        <v>1898</v>
      </c>
      <c r="E1062" s="117" t="s">
        <v>550</v>
      </c>
      <c r="F1062" s="142"/>
      <c r="G1062" s="167">
        <v>3.22</v>
      </c>
      <c r="I1062" s="169"/>
      <c r="J1062" s="169"/>
      <c r="K1062" s="169">
        <f>120*0</f>
        <v>0</v>
      </c>
      <c r="L1062" s="273">
        <f t="shared" ref="L1062:L1085" si="75">SUM(H1062:K1062)</f>
        <v>0</v>
      </c>
      <c r="M1062" s="143">
        <f t="shared" si="74"/>
        <v>0</v>
      </c>
    </row>
    <row r="1063" spans="1:13" s="118" customFormat="1" ht="10.199999999999999" outlineLevel="4">
      <c r="A1063" s="118" t="s">
        <v>1847</v>
      </c>
      <c r="B1063" s="116" t="s">
        <v>929</v>
      </c>
      <c r="C1063" s="129" t="s">
        <v>1899</v>
      </c>
      <c r="D1063" s="180" t="s">
        <v>1900</v>
      </c>
      <c r="E1063" s="129" t="s">
        <v>890</v>
      </c>
      <c r="F1063" s="130"/>
      <c r="G1063" s="131">
        <v>4</v>
      </c>
      <c r="I1063" s="120">
        <v>694.83050847457628</v>
      </c>
      <c r="J1063" s="120"/>
      <c r="K1063" s="120"/>
      <c r="L1063" s="270">
        <f t="shared" si="75"/>
        <v>694.83050847457628</v>
      </c>
      <c r="M1063" s="134">
        <f t="shared" si="74"/>
        <v>2779.3220338983051</v>
      </c>
    </row>
    <row r="1064" spans="1:13" s="118" customFormat="1" ht="10.199999999999999" outlineLevel="4">
      <c r="A1064" s="118" t="s">
        <v>1847</v>
      </c>
      <c r="B1064" s="116" t="s">
        <v>929</v>
      </c>
      <c r="C1064" s="129" t="s">
        <v>1901</v>
      </c>
      <c r="D1064" s="180" t="s">
        <v>1902</v>
      </c>
      <c r="E1064" s="129" t="s">
        <v>890</v>
      </c>
      <c r="F1064" s="130"/>
      <c r="G1064" s="131">
        <v>2</v>
      </c>
      <c r="I1064" s="120">
        <v>1482.2033898305085</v>
      </c>
      <c r="J1064" s="120"/>
      <c r="K1064" s="120"/>
      <c r="L1064" s="270">
        <f t="shared" si="75"/>
        <v>1482.2033898305085</v>
      </c>
      <c r="M1064" s="134">
        <f t="shared" si="74"/>
        <v>2964.406779661017</v>
      </c>
    </row>
    <row r="1065" spans="1:13" s="118" customFormat="1" ht="10.199999999999999" outlineLevel="4">
      <c r="A1065" s="118" t="s">
        <v>1847</v>
      </c>
      <c r="B1065" s="116" t="s">
        <v>929</v>
      </c>
      <c r="C1065" s="129" t="s">
        <v>1903</v>
      </c>
      <c r="D1065" s="180" t="s">
        <v>1904</v>
      </c>
      <c r="E1065" s="129" t="s">
        <v>890</v>
      </c>
      <c r="F1065" s="130"/>
      <c r="G1065" s="131">
        <v>6</v>
      </c>
      <c r="I1065" s="120">
        <v>524.74576271186447</v>
      </c>
      <c r="J1065" s="120"/>
      <c r="K1065" s="120"/>
      <c r="L1065" s="270">
        <f t="shared" si="75"/>
        <v>524.74576271186447</v>
      </c>
      <c r="M1065" s="134">
        <f t="shared" si="74"/>
        <v>3148.4745762711868</v>
      </c>
    </row>
    <row r="1066" spans="1:13" s="118" customFormat="1" ht="10.199999999999999" outlineLevel="4">
      <c r="A1066" s="118" t="s">
        <v>1847</v>
      </c>
      <c r="B1066" s="116" t="s">
        <v>929</v>
      </c>
      <c r="C1066" s="129" t="s">
        <v>1905</v>
      </c>
      <c r="D1066" s="180" t="s">
        <v>1906</v>
      </c>
      <c r="E1066" s="129" t="s">
        <v>890</v>
      </c>
      <c r="F1066" s="130"/>
      <c r="G1066" s="131">
        <v>5</v>
      </c>
      <c r="I1066" s="120">
        <v>185.76271186440678</v>
      </c>
      <c r="J1066" s="120"/>
      <c r="K1066" s="120"/>
      <c r="L1066" s="270">
        <f t="shared" si="75"/>
        <v>185.76271186440678</v>
      </c>
      <c r="M1066" s="134">
        <f t="shared" si="74"/>
        <v>928.81355932203394</v>
      </c>
    </row>
    <row r="1067" spans="1:13" s="118" customFormat="1" ht="10.199999999999999" outlineLevel="4">
      <c r="B1067" s="116"/>
      <c r="C1067" s="129"/>
      <c r="D1067" s="434" t="s">
        <v>1907</v>
      </c>
      <c r="E1067" s="129"/>
      <c r="F1067" s="130"/>
      <c r="G1067" s="131"/>
      <c r="I1067" s="120"/>
      <c r="J1067" s="120"/>
      <c r="K1067" s="120"/>
      <c r="L1067" s="270">
        <f t="shared" si="75"/>
        <v>0</v>
      </c>
      <c r="M1067" s="134">
        <f t="shared" si="74"/>
        <v>0</v>
      </c>
    </row>
    <row r="1068" spans="1:13" s="118" customFormat="1" ht="10.199999999999999" outlineLevel="4">
      <c r="A1068" s="118" t="s">
        <v>1841</v>
      </c>
      <c r="B1068" s="116" t="s">
        <v>929</v>
      </c>
      <c r="C1068" s="129"/>
      <c r="D1068" s="180" t="s">
        <v>1908</v>
      </c>
      <c r="E1068" s="129" t="s">
        <v>346</v>
      </c>
      <c r="F1068" s="130"/>
      <c r="G1068" s="131">
        <v>8</v>
      </c>
      <c r="I1068" s="120"/>
      <c r="J1068" s="120"/>
      <c r="K1068" s="120">
        <v>130</v>
      </c>
      <c r="L1068" s="270">
        <f t="shared" si="75"/>
        <v>130</v>
      </c>
      <c r="M1068" s="134">
        <f t="shared" si="74"/>
        <v>1040</v>
      </c>
    </row>
    <row r="1069" spans="1:13" s="118" customFormat="1" ht="10.199999999999999" outlineLevel="4">
      <c r="A1069" s="118" t="s">
        <v>1841</v>
      </c>
      <c r="B1069" s="116" t="s">
        <v>929</v>
      </c>
      <c r="C1069" s="129"/>
      <c r="D1069" s="180" t="s">
        <v>1909</v>
      </c>
      <c r="E1069" s="129" t="s">
        <v>500</v>
      </c>
      <c r="F1069" s="130"/>
      <c r="G1069" s="131">
        <v>7</v>
      </c>
      <c r="I1069" s="120"/>
      <c r="J1069" s="120"/>
      <c r="K1069" s="120">
        <v>191</v>
      </c>
      <c r="L1069" s="270">
        <f t="shared" si="75"/>
        <v>191</v>
      </c>
      <c r="M1069" s="134">
        <f t="shared" si="74"/>
        <v>1337</v>
      </c>
    </row>
    <row r="1070" spans="1:13" s="118" customFormat="1" ht="10.199999999999999" outlineLevel="4">
      <c r="A1070" s="118" t="s">
        <v>1831</v>
      </c>
      <c r="B1070" s="116" t="s">
        <v>929</v>
      </c>
      <c r="C1070" s="129"/>
      <c r="D1070" s="180" t="s">
        <v>1910</v>
      </c>
      <c r="E1070" s="129" t="s">
        <v>346</v>
      </c>
      <c r="F1070" s="130"/>
      <c r="G1070" s="131">
        <v>12</v>
      </c>
      <c r="I1070" s="120"/>
      <c r="J1070" s="120"/>
      <c r="K1070" s="120">
        <v>100</v>
      </c>
      <c r="L1070" s="270">
        <f t="shared" si="75"/>
        <v>100</v>
      </c>
      <c r="M1070" s="134">
        <f t="shared" si="74"/>
        <v>1200</v>
      </c>
    </row>
    <row r="1071" spans="1:13" s="118" customFormat="1" ht="10.199999999999999" outlineLevel="4">
      <c r="A1071" s="118" t="s">
        <v>1831</v>
      </c>
      <c r="B1071" s="116" t="s">
        <v>929</v>
      </c>
      <c r="C1071" s="129"/>
      <c r="D1071" s="180" t="s">
        <v>1911</v>
      </c>
      <c r="E1071" s="129" t="s">
        <v>346</v>
      </c>
      <c r="F1071" s="130"/>
      <c r="G1071" s="131">
        <v>7.6319999999999997</v>
      </c>
      <c r="I1071" s="120"/>
      <c r="J1071" s="120"/>
      <c r="K1071" s="120">
        <v>100</v>
      </c>
      <c r="L1071" s="270">
        <f t="shared" si="75"/>
        <v>100</v>
      </c>
      <c r="M1071" s="134">
        <f t="shared" si="74"/>
        <v>763.19999999999993</v>
      </c>
    </row>
    <row r="1072" spans="1:13" s="118" customFormat="1" ht="10.199999999999999" outlineLevel="4">
      <c r="A1072" s="118" t="s">
        <v>928</v>
      </c>
      <c r="B1072" s="116" t="s">
        <v>929</v>
      </c>
      <c r="C1072" s="129"/>
      <c r="D1072" s="180" t="s">
        <v>1912</v>
      </c>
      <c r="E1072" s="129" t="s">
        <v>228</v>
      </c>
      <c r="F1072" s="130"/>
      <c r="G1072" s="131">
        <v>1</v>
      </c>
      <c r="I1072" s="120"/>
      <c r="J1072" s="120"/>
      <c r="K1072" s="120">
        <v>2000</v>
      </c>
      <c r="L1072" s="270">
        <f t="shared" si="75"/>
        <v>2000</v>
      </c>
      <c r="M1072" s="134">
        <f t="shared" si="74"/>
        <v>2000</v>
      </c>
    </row>
    <row r="1073" spans="1:13" s="118" customFormat="1" ht="10.199999999999999" outlineLevel="4">
      <c r="A1073" s="118" t="s">
        <v>1831</v>
      </c>
      <c r="B1073" s="116" t="s">
        <v>929</v>
      </c>
      <c r="C1073" s="129"/>
      <c r="D1073" s="180" t="s">
        <v>1913</v>
      </c>
      <c r="E1073" s="129" t="s">
        <v>251</v>
      </c>
      <c r="F1073" s="130"/>
      <c r="G1073" s="131">
        <v>1</v>
      </c>
      <c r="I1073" s="120"/>
      <c r="J1073" s="120"/>
      <c r="K1073" s="120">
        <v>180</v>
      </c>
      <c r="L1073" s="270">
        <f t="shared" si="75"/>
        <v>180</v>
      </c>
      <c r="M1073" s="134">
        <f t="shared" si="74"/>
        <v>180</v>
      </c>
    </row>
    <row r="1074" spans="1:13" s="118" customFormat="1" ht="20.399999999999999" outlineLevel="4">
      <c r="A1074" s="118" t="s">
        <v>1767</v>
      </c>
      <c r="B1074" s="116" t="s">
        <v>929</v>
      </c>
      <c r="C1074" s="129"/>
      <c r="D1074" s="180" t="s">
        <v>1914</v>
      </c>
      <c r="E1074" s="129" t="s">
        <v>251</v>
      </c>
      <c r="F1074" s="130"/>
      <c r="G1074" s="131">
        <v>3</v>
      </c>
      <c r="I1074" s="120"/>
      <c r="J1074" s="120"/>
      <c r="K1074" s="120">
        <v>240</v>
      </c>
      <c r="L1074" s="270">
        <f t="shared" si="75"/>
        <v>240</v>
      </c>
      <c r="M1074" s="134">
        <f t="shared" si="74"/>
        <v>720</v>
      </c>
    </row>
    <row r="1075" spans="1:13" s="118" customFormat="1" ht="10.199999999999999" outlineLevel="4">
      <c r="A1075" s="118" t="s">
        <v>1767</v>
      </c>
      <c r="B1075" s="116" t="s">
        <v>929</v>
      </c>
      <c r="C1075" s="129"/>
      <c r="D1075" s="180" t="s">
        <v>1915</v>
      </c>
      <c r="E1075" s="129" t="s">
        <v>251</v>
      </c>
      <c r="F1075" s="130"/>
      <c r="G1075" s="131">
        <v>6</v>
      </c>
      <c r="I1075" s="120"/>
      <c r="J1075" s="120"/>
      <c r="K1075" s="120">
        <v>240</v>
      </c>
      <c r="L1075" s="270">
        <f t="shared" si="75"/>
        <v>240</v>
      </c>
      <c r="M1075" s="134">
        <f t="shared" si="74"/>
        <v>1440</v>
      </c>
    </row>
    <row r="1076" spans="1:13" s="118" customFormat="1" ht="10.199999999999999" outlineLevel="4">
      <c r="A1076" s="118" t="s">
        <v>1767</v>
      </c>
      <c r="B1076" s="116" t="s">
        <v>929</v>
      </c>
      <c r="C1076" s="129"/>
      <c r="D1076" s="180" t="s">
        <v>1916</v>
      </c>
      <c r="E1076" s="129" t="s">
        <v>251</v>
      </c>
      <c r="F1076" s="130"/>
      <c r="G1076" s="131">
        <v>1</v>
      </c>
      <c r="I1076" s="120"/>
      <c r="J1076" s="120"/>
      <c r="K1076" s="120">
        <v>240</v>
      </c>
      <c r="L1076" s="270">
        <f t="shared" si="75"/>
        <v>240</v>
      </c>
      <c r="M1076" s="134">
        <f t="shared" si="74"/>
        <v>240</v>
      </c>
    </row>
    <row r="1077" spans="1:13" s="118" customFormat="1" ht="10.199999999999999" outlineLevel="4">
      <c r="A1077" s="118" t="s">
        <v>928</v>
      </c>
      <c r="B1077" s="116" t="s">
        <v>929</v>
      </c>
      <c r="C1077" s="129"/>
      <c r="D1077" s="180" t="s">
        <v>1917</v>
      </c>
      <c r="E1077" s="129" t="s">
        <v>251</v>
      </c>
      <c r="F1077" s="130"/>
      <c r="G1077" s="131">
        <v>24</v>
      </c>
      <c r="I1077" s="120"/>
      <c r="J1077" s="120"/>
      <c r="K1077" s="120">
        <v>65</v>
      </c>
      <c r="L1077" s="270">
        <f t="shared" si="75"/>
        <v>65</v>
      </c>
      <c r="M1077" s="134">
        <f t="shared" si="74"/>
        <v>1560</v>
      </c>
    </row>
    <row r="1078" spans="1:13" s="118" customFormat="1" ht="10.199999999999999" outlineLevel="4">
      <c r="A1078" s="118" t="s">
        <v>1831</v>
      </c>
      <c r="B1078" s="116" t="s">
        <v>929</v>
      </c>
      <c r="C1078" s="129"/>
      <c r="D1078" s="180" t="s">
        <v>1918</v>
      </c>
      <c r="E1078" s="129" t="s">
        <v>346</v>
      </c>
      <c r="F1078" s="130"/>
      <c r="G1078" s="131">
        <v>1.45</v>
      </c>
      <c r="I1078" s="120"/>
      <c r="J1078" s="120"/>
      <c r="K1078" s="120">
        <v>30</v>
      </c>
      <c r="L1078" s="270">
        <f t="shared" si="75"/>
        <v>30</v>
      </c>
      <c r="M1078" s="134">
        <f t="shared" si="74"/>
        <v>43.5</v>
      </c>
    </row>
    <row r="1079" spans="1:13" s="118" customFormat="1" ht="10.199999999999999" outlineLevel="4">
      <c r="A1079" s="118" t="s">
        <v>1860</v>
      </c>
      <c r="B1079" s="116" t="s">
        <v>929</v>
      </c>
      <c r="C1079" s="129"/>
      <c r="D1079" s="180" t="s">
        <v>1919</v>
      </c>
      <c r="E1079" s="129" t="s">
        <v>251</v>
      </c>
      <c r="F1079" s="130"/>
      <c r="G1079" s="131">
        <v>17</v>
      </c>
      <c r="I1079" s="120"/>
      <c r="J1079" s="120"/>
      <c r="K1079" s="120">
        <v>30</v>
      </c>
      <c r="L1079" s="270">
        <f t="shared" si="75"/>
        <v>30</v>
      </c>
      <c r="M1079" s="134">
        <f t="shared" si="74"/>
        <v>510</v>
      </c>
    </row>
    <row r="1080" spans="1:13" s="118" customFormat="1" ht="10.199999999999999" outlineLevel="4">
      <c r="A1080" s="118" t="s">
        <v>1860</v>
      </c>
      <c r="B1080" s="116" t="s">
        <v>929</v>
      </c>
      <c r="C1080" s="129"/>
      <c r="D1080" s="180" t="s">
        <v>1920</v>
      </c>
      <c r="E1080" s="129" t="s">
        <v>251</v>
      </c>
      <c r="F1080" s="130"/>
      <c r="G1080" s="131">
        <v>10</v>
      </c>
      <c r="I1080" s="120"/>
      <c r="J1080" s="120"/>
      <c r="K1080" s="120">
        <v>65</v>
      </c>
      <c r="L1080" s="270">
        <f t="shared" si="75"/>
        <v>65</v>
      </c>
      <c r="M1080" s="134">
        <f t="shared" si="74"/>
        <v>650</v>
      </c>
    </row>
    <row r="1081" spans="1:13" s="118" customFormat="1" ht="10.199999999999999" outlineLevel="4">
      <c r="A1081" s="118" t="s">
        <v>1860</v>
      </c>
      <c r="B1081" s="116" t="s">
        <v>929</v>
      </c>
      <c r="C1081" s="129"/>
      <c r="D1081" s="180" t="s">
        <v>1921</v>
      </c>
      <c r="E1081" s="129" t="s">
        <v>251</v>
      </c>
      <c r="F1081" s="130"/>
      <c r="G1081" s="131">
        <v>4</v>
      </c>
      <c r="I1081" s="120"/>
      <c r="J1081" s="120"/>
      <c r="K1081" s="120">
        <v>30</v>
      </c>
      <c r="L1081" s="270">
        <f t="shared" si="75"/>
        <v>30</v>
      </c>
      <c r="M1081" s="134">
        <f t="shared" si="74"/>
        <v>120</v>
      </c>
    </row>
    <row r="1082" spans="1:13" s="118" customFormat="1" ht="10.199999999999999" outlineLevel="4">
      <c r="A1082" s="118" t="s">
        <v>1860</v>
      </c>
      <c r="B1082" s="116" t="s">
        <v>929</v>
      </c>
      <c r="C1082" s="129"/>
      <c r="D1082" s="180" t="s">
        <v>1922</v>
      </c>
      <c r="E1082" s="129" t="s">
        <v>251</v>
      </c>
      <c r="F1082" s="130"/>
      <c r="G1082" s="131">
        <v>2</v>
      </c>
      <c r="I1082" s="120"/>
      <c r="J1082" s="120"/>
      <c r="K1082" s="120">
        <v>30</v>
      </c>
      <c r="L1082" s="270">
        <f t="shared" si="75"/>
        <v>30</v>
      </c>
      <c r="M1082" s="134">
        <f t="shared" si="74"/>
        <v>60</v>
      </c>
    </row>
    <row r="1083" spans="1:13" s="118" customFormat="1" ht="10.199999999999999" outlineLevel="4">
      <c r="A1083" s="118" t="s">
        <v>1860</v>
      </c>
      <c r="B1083" s="116" t="s">
        <v>929</v>
      </c>
      <c r="C1083" s="129"/>
      <c r="D1083" s="180" t="s">
        <v>1923</v>
      </c>
      <c r="E1083" s="129" t="s">
        <v>346</v>
      </c>
      <c r="F1083" s="130"/>
      <c r="G1083" s="131">
        <v>11.5</v>
      </c>
      <c r="I1083" s="120"/>
      <c r="J1083" s="120"/>
      <c r="K1083" s="120">
        <v>85</v>
      </c>
      <c r="L1083" s="270">
        <f t="shared" si="75"/>
        <v>85</v>
      </c>
      <c r="M1083" s="134">
        <f t="shared" si="74"/>
        <v>977.5</v>
      </c>
    </row>
    <row r="1084" spans="1:13" s="118" customFormat="1" ht="10.199999999999999" outlineLevel="4">
      <c r="A1084" s="118" t="s">
        <v>1860</v>
      </c>
      <c r="B1084" s="116" t="s">
        <v>929</v>
      </c>
      <c r="C1084" s="129"/>
      <c r="D1084" s="180" t="s">
        <v>1746</v>
      </c>
      <c r="E1084" s="129" t="s">
        <v>346</v>
      </c>
      <c r="F1084" s="130"/>
      <c r="G1084" s="131">
        <v>3</v>
      </c>
      <c r="I1084" s="120"/>
      <c r="J1084" s="120"/>
      <c r="K1084" s="120">
        <v>80</v>
      </c>
      <c r="L1084" s="270">
        <f t="shared" si="75"/>
        <v>80</v>
      </c>
      <c r="M1084" s="134">
        <f t="shared" si="74"/>
        <v>240</v>
      </c>
    </row>
    <row r="1085" spans="1:13" s="118" customFormat="1" ht="10.199999999999999" outlineLevel="4">
      <c r="A1085" s="118" t="s">
        <v>1860</v>
      </c>
      <c r="B1085" s="116" t="s">
        <v>929</v>
      </c>
      <c r="C1085" s="129"/>
      <c r="D1085" s="180" t="s">
        <v>1924</v>
      </c>
      <c r="E1085" s="129" t="s">
        <v>234</v>
      </c>
      <c r="F1085" s="130"/>
      <c r="G1085" s="131">
        <v>3</v>
      </c>
      <c r="I1085" s="120"/>
      <c r="J1085" s="120"/>
      <c r="K1085" s="120">
        <v>300</v>
      </c>
      <c r="L1085" s="270">
        <f t="shared" si="75"/>
        <v>300</v>
      </c>
      <c r="M1085" s="134">
        <f t="shared" si="74"/>
        <v>900</v>
      </c>
    </row>
    <row r="1086" spans="1:13" s="118" customFormat="1" ht="10.199999999999999" outlineLevel="4">
      <c r="B1086" s="116"/>
      <c r="C1086" s="129"/>
      <c r="D1086" s="434" t="s">
        <v>1925</v>
      </c>
      <c r="E1086" s="129"/>
      <c r="F1086" s="130"/>
      <c r="G1086" s="131"/>
      <c r="I1086" s="120"/>
      <c r="J1086" s="120"/>
      <c r="K1086" s="120"/>
      <c r="L1086" s="270"/>
      <c r="M1086" s="134"/>
    </row>
    <row r="1087" spans="1:13" s="118" customFormat="1" ht="10.199999999999999" outlineLevel="4">
      <c r="A1087" s="118" t="s">
        <v>1815</v>
      </c>
      <c r="B1087" s="116" t="s">
        <v>929</v>
      </c>
      <c r="C1087" s="129"/>
      <c r="D1087" s="180" t="s">
        <v>1926</v>
      </c>
      <c r="E1087" s="129" t="s">
        <v>251</v>
      </c>
      <c r="F1087" s="130"/>
      <c r="G1087" s="131">
        <v>15</v>
      </c>
      <c r="I1087" s="120"/>
      <c r="J1087" s="120"/>
      <c r="K1087" s="120">
        <v>800</v>
      </c>
      <c r="L1087" s="270">
        <f>SUM(H1087:K1087)</f>
        <v>800</v>
      </c>
      <c r="M1087" s="134">
        <f>+L1087*G1087</f>
        <v>12000</v>
      </c>
    </row>
    <row r="1088" spans="1:13" s="118" customFormat="1" ht="10.199999999999999" outlineLevel="4">
      <c r="A1088" s="118" t="s">
        <v>1767</v>
      </c>
      <c r="B1088" s="116" t="s">
        <v>929</v>
      </c>
      <c r="C1088" s="129"/>
      <c r="D1088" s="180" t="s">
        <v>1927</v>
      </c>
      <c r="E1088" s="129" t="s">
        <v>251</v>
      </c>
      <c r="F1088" s="130"/>
      <c r="G1088" s="131">
        <v>4</v>
      </c>
      <c r="I1088" s="120"/>
      <c r="J1088" s="120"/>
      <c r="K1088" s="120">
        <v>240</v>
      </c>
      <c r="L1088" s="270">
        <f>SUM(H1088:K1088)</f>
        <v>240</v>
      </c>
      <c r="M1088" s="134">
        <f>+L1088*G1088</f>
        <v>960</v>
      </c>
    </row>
    <row r="1089" spans="1:13" s="118" customFormat="1" ht="10.199999999999999" outlineLevel="4">
      <c r="A1089" s="118" t="s">
        <v>1815</v>
      </c>
      <c r="B1089" s="116" t="s">
        <v>929</v>
      </c>
      <c r="C1089" s="129"/>
      <c r="D1089" s="180" t="s">
        <v>1928</v>
      </c>
      <c r="E1089" s="129" t="s">
        <v>251</v>
      </c>
      <c r="F1089" s="130"/>
      <c r="G1089" s="131">
        <v>125</v>
      </c>
      <c r="I1089" s="120"/>
      <c r="J1089" s="120"/>
      <c r="K1089" s="120">
        <v>35</v>
      </c>
      <c r="L1089" s="270">
        <f>SUM(H1089:K1089)</f>
        <v>35</v>
      </c>
      <c r="M1089" s="134">
        <f>+L1089*G1089</f>
        <v>4375</v>
      </c>
    </row>
    <row r="1090" spans="1:13" s="328" customFormat="1" ht="10.199999999999999" outlineLevel="4">
      <c r="B1090" s="329"/>
      <c r="C1090" s="330"/>
      <c r="D1090" s="435" t="s">
        <v>1929</v>
      </c>
      <c r="E1090" s="330"/>
      <c r="F1090" s="332"/>
      <c r="G1090" s="333"/>
      <c r="I1090" s="334"/>
      <c r="J1090" s="334"/>
      <c r="K1090" s="334"/>
      <c r="L1090" s="335"/>
      <c r="M1090" s="338"/>
    </row>
    <row r="1091" spans="1:13" s="328" customFormat="1" ht="21.75" customHeight="1" outlineLevel="4">
      <c r="A1091" s="328" t="s">
        <v>1044</v>
      </c>
      <c r="B1091" s="329" t="s">
        <v>929</v>
      </c>
      <c r="C1091" s="330"/>
      <c r="D1091" s="337" t="s">
        <v>1930</v>
      </c>
      <c r="E1091" s="330" t="s">
        <v>1046</v>
      </c>
      <c r="F1091" s="332"/>
      <c r="G1091" s="333">
        <v>280</v>
      </c>
      <c r="I1091" s="334"/>
      <c r="J1091" s="334"/>
      <c r="K1091" s="334">
        <v>50</v>
      </c>
      <c r="L1091" s="335">
        <f t="shared" ref="L1091:L1096" si="76">SUM(H1091:K1091)</f>
        <v>50</v>
      </c>
      <c r="M1091" s="338">
        <f t="shared" ref="M1091:M1096" si="77">+L1091*G1091</f>
        <v>14000</v>
      </c>
    </row>
    <row r="1092" spans="1:13" s="328" customFormat="1" ht="10.199999999999999" outlineLevel="4">
      <c r="A1092" s="328" t="s">
        <v>1044</v>
      </c>
      <c r="B1092" s="329" t="s">
        <v>929</v>
      </c>
      <c r="C1092" s="330"/>
      <c r="D1092" s="337" t="s">
        <v>1931</v>
      </c>
      <c r="E1092" s="330" t="s">
        <v>1046</v>
      </c>
      <c r="F1092" s="332"/>
      <c r="G1092" s="333">
        <v>83</v>
      </c>
      <c r="I1092" s="334"/>
      <c r="J1092" s="334"/>
      <c r="K1092" s="334">
        <v>40</v>
      </c>
      <c r="L1092" s="335">
        <f t="shared" si="76"/>
        <v>40</v>
      </c>
      <c r="M1092" s="338">
        <f t="shared" si="77"/>
        <v>3320</v>
      </c>
    </row>
    <row r="1093" spans="1:13" s="328" customFormat="1" ht="20.399999999999999" outlineLevel="4">
      <c r="A1093" s="328" t="s">
        <v>1044</v>
      </c>
      <c r="B1093" s="329" t="s">
        <v>929</v>
      </c>
      <c r="C1093" s="330"/>
      <c r="D1093" s="337" t="s">
        <v>1932</v>
      </c>
      <c r="E1093" s="330" t="s">
        <v>1046</v>
      </c>
      <c r="F1093" s="332"/>
      <c r="G1093" s="333">
        <v>2</v>
      </c>
      <c r="I1093" s="334"/>
      <c r="J1093" s="334"/>
      <c r="K1093" s="334">
        <v>60</v>
      </c>
      <c r="L1093" s="335">
        <f t="shared" si="76"/>
        <v>60</v>
      </c>
      <c r="M1093" s="338">
        <f t="shared" si="77"/>
        <v>120</v>
      </c>
    </row>
    <row r="1094" spans="1:13" s="328" customFormat="1" ht="10.199999999999999" outlineLevel="4">
      <c r="A1094" s="328" t="s">
        <v>1044</v>
      </c>
      <c r="B1094" s="329" t="s">
        <v>929</v>
      </c>
      <c r="C1094" s="330"/>
      <c r="D1094" s="436" t="s">
        <v>1933</v>
      </c>
      <c r="E1094" s="330" t="s">
        <v>500</v>
      </c>
      <c r="F1094" s="332"/>
      <c r="G1094" s="333">
        <v>3.5</v>
      </c>
      <c r="I1094" s="334"/>
      <c r="J1094" s="334"/>
      <c r="K1094" s="334">
        <f>235.91/5</f>
        <v>47.182000000000002</v>
      </c>
      <c r="L1094" s="335">
        <f t="shared" si="76"/>
        <v>47.182000000000002</v>
      </c>
      <c r="M1094" s="338">
        <f t="shared" si="77"/>
        <v>165.137</v>
      </c>
    </row>
    <row r="1095" spans="1:13" s="328" customFormat="1" ht="10.199999999999999" outlineLevel="4">
      <c r="A1095" s="328" t="s">
        <v>1044</v>
      </c>
      <c r="B1095" s="329" t="s">
        <v>929</v>
      </c>
      <c r="C1095" s="330"/>
      <c r="D1095" s="337" t="s">
        <v>1934</v>
      </c>
      <c r="E1095" s="330" t="s">
        <v>251</v>
      </c>
      <c r="F1095" s="332"/>
      <c r="G1095" s="333">
        <v>1</v>
      </c>
      <c r="I1095" s="334"/>
      <c r="J1095" s="334"/>
      <c r="K1095" s="334">
        <v>78.75</v>
      </c>
      <c r="L1095" s="335">
        <f t="shared" si="76"/>
        <v>78.75</v>
      </c>
      <c r="M1095" s="338">
        <f t="shared" si="77"/>
        <v>78.75</v>
      </c>
    </row>
    <row r="1096" spans="1:13" s="328" customFormat="1" ht="10.199999999999999" outlineLevel="4">
      <c r="A1096" s="328" t="s">
        <v>1044</v>
      </c>
      <c r="B1096" s="329" t="s">
        <v>929</v>
      </c>
      <c r="C1096" s="330"/>
      <c r="D1096" s="337" t="s">
        <v>1935</v>
      </c>
      <c r="E1096" s="330" t="s">
        <v>500</v>
      </c>
      <c r="F1096" s="332"/>
      <c r="G1096" s="333">
        <v>3.5</v>
      </c>
      <c r="I1096" s="334"/>
      <c r="J1096" s="334"/>
      <c r="K1096" s="334">
        <f>101.25/4</f>
        <v>25.3125</v>
      </c>
      <c r="L1096" s="335">
        <f t="shared" si="76"/>
        <v>25.3125</v>
      </c>
      <c r="M1096" s="338">
        <f t="shared" si="77"/>
        <v>88.59375</v>
      </c>
    </row>
    <row r="1097" spans="1:13" s="118" customFormat="1" ht="10.199999999999999" outlineLevel="4">
      <c r="B1097" s="116"/>
      <c r="C1097" s="129"/>
      <c r="D1097" s="218"/>
      <c r="E1097" s="129"/>
      <c r="F1097" s="130"/>
      <c r="G1097" s="131"/>
      <c r="I1097" s="120"/>
      <c r="J1097" s="120"/>
      <c r="K1097" s="120"/>
      <c r="L1097" s="270"/>
      <c r="M1097" s="134"/>
    </row>
    <row r="1098" spans="1:13" s="118" customFormat="1" ht="10.199999999999999" outlineLevel="4">
      <c r="B1098" s="116"/>
      <c r="C1098" s="158" t="s">
        <v>1936</v>
      </c>
      <c r="D1098" s="158" t="s">
        <v>1937</v>
      </c>
      <c r="E1098" s="129"/>
      <c r="F1098" s="130"/>
      <c r="G1098" s="131"/>
      <c r="I1098" s="120"/>
      <c r="J1098" s="120"/>
      <c r="K1098" s="120"/>
      <c r="L1098" s="270"/>
      <c r="M1098" s="416">
        <f>+SUM(M1099)</f>
        <v>94805</v>
      </c>
    </row>
    <row r="1099" spans="1:13" s="118" customFormat="1" ht="10.199999999999999" outlineLevel="4">
      <c r="B1099" s="116" t="s">
        <v>1938</v>
      </c>
      <c r="C1099" s="129"/>
      <c r="D1099" s="218" t="s">
        <v>1939</v>
      </c>
      <c r="E1099" s="129" t="s">
        <v>362</v>
      </c>
      <c r="F1099" s="130"/>
      <c r="G1099" s="131">
        <v>1</v>
      </c>
      <c r="I1099" s="120"/>
      <c r="J1099" s="120"/>
      <c r="K1099" s="120">
        <v>94805</v>
      </c>
      <c r="L1099" s="270">
        <f>SUM(H1099:K1099)</f>
        <v>94805</v>
      </c>
      <c r="M1099" s="134">
        <f>+L1099*G1099</f>
        <v>94805</v>
      </c>
    </row>
    <row r="1100" spans="1:13" s="118" customFormat="1" ht="10.199999999999999" outlineLevel="4">
      <c r="B1100" s="116"/>
      <c r="C1100" s="129"/>
      <c r="D1100" s="218"/>
      <c r="E1100" s="129"/>
      <c r="F1100" s="130"/>
      <c r="G1100" s="131"/>
      <c r="I1100" s="120"/>
      <c r="J1100" s="120"/>
      <c r="K1100" s="120"/>
      <c r="L1100" s="270"/>
      <c r="M1100" s="134"/>
    </row>
    <row r="1101" spans="1:13" s="118" customFormat="1" ht="10.199999999999999" outlineLevel="3">
      <c r="B1101" s="116"/>
      <c r="C1101" s="129"/>
      <c r="D1101" s="218"/>
      <c r="E1101" s="129"/>
      <c r="F1101" s="130"/>
      <c r="G1101" s="131"/>
      <c r="I1101" s="120"/>
      <c r="J1101" s="120"/>
      <c r="K1101" s="120"/>
      <c r="L1101" s="270"/>
      <c r="M1101" s="134"/>
    </row>
    <row r="1102" spans="1:13" s="118" customFormat="1" ht="10.199999999999999" outlineLevel="2">
      <c r="B1102" s="116"/>
      <c r="C1102" s="126" t="s">
        <v>1940</v>
      </c>
      <c r="D1102" s="437" t="s">
        <v>1941</v>
      </c>
      <c r="F1102" s="161"/>
      <c r="G1102" s="116"/>
      <c r="I1102" s="120"/>
      <c r="J1102" s="120"/>
      <c r="K1102" s="120"/>
      <c r="L1102" s="133">
        <v>1044000</v>
      </c>
      <c r="M1102" s="264">
        <f>+M1103+M1118+M1135+M1157+M1184+M1226+M1257+M1278+M1312+M1349+M1365</f>
        <v>1152958.8110099998</v>
      </c>
    </row>
    <row r="1103" spans="1:13" s="118" customFormat="1" ht="10.199999999999999" outlineLevel="3">
      <c r="B1103" s="116"/>
      <c r="C1103" s="158" t="s">
        <v>1942</v>
      </c>
      <c r="D1103" s="426" t="s">
        <v>1943</v>
      </c>
      <c r="F1103" s="266"/>
      <c r="G1103" s="116"/>
      <c r="I1103" s="120"/>
      <c r="J1103" s="120"/>
      <c r="K1103" s="120"/>
      <c r="L1103" s="438">
        <v>163957.19899999999</v>
      </c>
      <c r="M1103" s="416">
        <f>SUM(M1104:M1117)</f>
        <v>120719.4</v>
      </c>
    </row>
    <row r="1104" spans="1:13" s="422" customFormat="1" ht="10.199999999999999" outlineLevel="4">
      <c r="A1104" s="422" t="s">
        <v>1944</v>
      </c>
      <c r="B1104" s="417" t="s">
        <v>929</v>
      </c>
      <c r="C1104" s="418" t="s">
        <v>1945</v>
      </c>
      <c r="D1104" s="439" t="s">
        <v>1946</v>
      </c>
      <c r="E1104" s="418" t="s">
        <v>346</v>
      </c>
      <c r="F1104" s="420"/>
      <c r="G1104" s="421">
        <v>273.60000000000002</v>
      </c>
      <c r="I1104" s="423"/>
      <c r="J1104" s="423"/>
      <c r="K1104" s="423">
        <v>85</v>
      </c>
      <c r="L1104" s="424">
        <f t="shared" ref="L1104:L1117" si="78">SUM(H1104:K1104)</f>
        <v>85</v>
      </c>
      <c r="M1104" s="134">
        <f t="shared" ref="M1104:M1117" si="79">+L1104*G1104</f>
        <v>23256.000000000004</v>
      </c>
    </row>
    <row r="1105" spans="1:13" s="168" customFormat="1" ht="10.199999999999999" outlineLevel="4">
      <c r="A1105" s="168" t="s">
        <v>1944</v>
      </c>
      <c r="B1105" s="166" t="s">
        <v>929</v>
      </c>
      <c r="C1105" s="117" t="s">
        <v>1947</v>
      </c>
      <c r="D1105" s="379" t="s">
        <v>1948</v>
      </c>
      <c r="E1105" s="117" t="s">
        <v>346</v>
      </c>
      <c r="F1105" s="142"/>
      <c r="G1105" s="167">
        <v>113.88699999999999</v>
      </c>
      <c r="I1105" s="169"/>
      <c r="J1105" s="169"/>
      <c r="K1105" s="169">
        <f>12*0</f>
        <v>0</v>
      </c>
      <c r="L1105" s="273">
        <f t="shared" si="78"/>
        <v>0</v>
      </c>
      <c r="M1105" s="143">
        <f t="shared" si="79"/>
        <v>0</v>
      </c>
    </row>
    <row r="1106" spans="1:13" s="168" customFormat="1" ht="10.199999999999999" outlineLevel="4">
      <c r="A1106" s="168" t="s">
        <v>1944</v>
      </c>
      <c r="B1106" s="166" t="s">
        <v>929</v>
      </c>
      <c r="C1106" s="117" t="s">
        <v>1949</v>
      </c>
      <c r="D1106" s="379" t="s">
        <v>1950</v>
      </c>
      <c r="E1106" s="117" t="s">
        <v>346</v>
      </c>
      <c r="F1106" s="142"/>
      <c r="G1106" s="167">
        <v>161.63</v>
      </c>
      <c r="I1106" s="169"/>
      <c r="J1106" s="169"/>
      <c r="K1106" s="169">
        <f>18.5*0</f>
        <v>0</v>
      </c>
      <c r="L1106" s="273">
        <f t="shared" si="78"/>
        <v>0</v>
      </c>
      <c r="M1106" s="143">
        <f t="shared" si="79"/>
        <v>0</v>
      </c>
    </row>
    <row r="1107" spans="1:13" s="422" customFormat="1" ht="30.6" outlineLevel="4">
      <c r="A1107" s="422" t="s">
        <v>1767</v>
      </c>
      <c r="B1107" s="417" t="s">
        <v>929</v>
      </c>
      <c r="C1107" s="418" t="s">
        <v>1951</v>
      </c>
      <c r="D1107" s="439" t="s">
        <v>1952</v>
      </c>
      <c r="E1107" s="418" t="s">
        <v>1025</v>
      </c>
      <c r="F1107" s="420"/>
      <c r="G1107" s="421">
        <v>6.85</v>
      </c>
      <c r="H1107" s="422">
        <v>244</v>
      </c>
      <c r="I1107" s="423">
        <v>140</v>
      </c>
      <c r="J1107" s="423"/>
      <c r="K1107" s="423">
        <v>0</v>
      </c>
      <c r="L1107" s="424">
        <f t="shared" si="78"/>
        <v>384</v>
      </c>
      <c r="M1107" s="134">
        <f t="shared" si="79"/>
        <v>2630.3999999999996</v>
      </c>
    </row>
    <row r="1108" spans="1:13" s="168" customFormat="1" ht="10.199999999999999" outlineLevel="4">
      <c r="A1108" s="168" t="s">
        <v>1944</v>
      </c>
      <c r="B1108" s="166" t="s">
        <v>929</v>
      </c>
      <c r="C1108" s="117" t="s">
        <v>1953</v>
      </c>
      <c r="D1108" s="379" t="s">
        <v>1954</v>
      </c>
      <c r="E1108" s="117" t="s">
        <v>251</v>
      </c>
      <c r="F1108" s="142"/>
      <c r="G1108" s="167">
        <v>87</v>
      </c>
      <c r="I1108" s="169"/>
      <c r="J1108" s="169"/>
      <c r="K1108" s="169">
        <f>40*0</f>
        <v>0</v>
      </c>
      <c r="L1108" s="273">
        <f t="shared" si="78"/>
        <v>0</v>
      </c>
      <c r="M1108" s="143">
        <f t="shared" si="79"/>
        <v>0</v>
      </c>
    </row>
    <row r="1109" spans="1:13" s="422" customFormat="1" ht="20.399999999999999" outlineLevel="4">
      <c r="A1109" s="422" t="s">
        <v>1815</v>
      </c>
      <c r="B1109" s="417" t="s">
        <v>929</v>
      </c>
      <c r="C1109" s="418" t="s">
        <v>1955</v>
      </c>
      <c r="D1109" s="439" t="s">
        <v>1956</v>
      </c>
      <c r="E1109" s="418" t="s">
        <v>890</v>
      </c>
      <c r="F1109" s="420"/>
      <c r="G1109" s="421">
        <v>6</v>
      </c>
      <c r="I1109" s="423"/>
      <c r="J1109" s="423"/>
      <c r="K1109" s="423">
        <v>850</v>
      </c>
      <c r="L1109" s="424">
        <f t="shared" si="78"/>
        <v>850</v>
      </c>
      <c r="M1109" s="134">
        <f t="shared" si="79"/>
        <v>5100</v>
      </c>
    </row>
    <row r="1110" spans="1:13" s="422" customFormat="1" ht="10.199999999999999" outlineLevel="4">
      <c r="A1110" s="422" t="s">
        <v>1767</v>
      </c>
      <c r="B1110" s="417" t="s">
        <v>929</v>
      </c>
      <c r="C1110" s="418" t="s">
        <v>1957</v>
      </c>
      <c r="D1110" s="439" t="s">
        <v>1958</v>
      </c>
      <c r="E1110" s="418" t="s">
        <v>890</v>
      </c>
      <c r="F1110" s="420"/>
      <c r="G1110" s="421">
        <v>38</v>
      </c>
      <c r="I1110" s="423"/>
      <c r="J1110" s="423"/>
      <c r="K1110" s="423">
        <v>350</v>
      </c>
      <c r="L1110" s="424">
        <f t="shared" si="78"/>
        <v>350</v>
      </c>
      <c r="M1110" s="134">
        <f t="shared" si="79"/>
        <v>13300</v>
      </c>
    </row>
    <row r="1111" spans="1:13" s="422" customFormat="1" ht="10.199999999999999" outlineLevel="4">
      <c r="A1111" s="422" t="s">
        <v>1767</v>
      </c>
      <c r="B1111" s="417" t="s">
        <v>929</v>
      </c>
      <c r="C1111" s="418" t="s">
        <v>1959</v>
      </c>
      <c r="D1111" s="439" t="s">
        <v>1960</v>
      </c>
      <c r="E1111" s="418" t="s">
        <v>890</v>
      </c>
      <c r="F1111" s="420"/>
      <c r="G1111" s="421">
        <v>46</v>
      </c>
      <c r="I1111" s="423"/>
      <c r="J1111" s="423"/>
      <c r="K1111" s="423">
        <v>1500</v>
      </c>
      <c r="L1111" s="424">
        <f t="shared" si="78"/>
        <v>1500</v>
      </c>
      <c r="M1111" s="134">
        <f t="shared" si="79"/>
        <v>69000</v>
      </c>
    </row>
    <row r="1112" spans="1:13" s="422" customFormat="1" ht="10.199999999999999" outlineLevel="4">
      <c r="A1112" s="422" t="s">
        <v>1815</v>
      </c>
      <c r="B1112" s="417" t="s">
        <v>929</v>
      </c>
      <c r="C1112" s="418" t="s">
        <v>1961</v>
      </c>
      <c r="D1112" s="439" t="s">
        <v>1353</v>
      </c>
      <c r="E1112" s="418" t="s">
        <v>500</v>
      </c>
      <c r="F1112" s="420"/>
      <c r="G1112" s="421">
        <v>0.98</v>
      </c>
      <c r="I1112" s="423"/>
      <c r="J1112" s="423"/>
      <c r="K1112" s="423">
        <v>850</v>
      </c>
      <c r="L1112" s="424">
        <f t="shared" si="78"/>
        <v>850</v>
      </c>
      <c r="M1112" s="134">
        <f t="shared" si="79"/>
        <v>833</v>
      </c>
    </row>
    <row r="1113" spans="1:13" s="422" customFormat="1" ht="10.199999999999999" outlineLevel="4">
      <c r="A1113" s="422" t="s">
        <v>1847</v>
      </c>
      <c r="B1113" s="417" t="s">
        <v>929</v>
      </c>
      <c r="C1113" s="418" t="s">
        <v>1962</v>
      </c>
      <c r="D1113" s="439" t="s">
        <v>1963</v>
      </c>
      <c r="E1113" s="418" t="s">
        <v>251</v>
      </c>
      <c r="F1113" s="420"/>
      <c r="G1113" s="421">
        <v>1</v>
      </c>
      <c r="I1113" s="423"/>
      <c r="J1113" s="423"/>
      <c r="K1113" s="423">
        <v>4600</v>
      </c>
      <c r="L1113" s="424">
        <f t="shared" si="78"/>
        <v>4600</v>
      </c>
      <c r="M1113" s="134">
        <f t="shared" si="79"/>
        <v>4600</v>
      </c>
    </row>
    <row r="1114" spans="1:13" s="422" customFormat="1" ht="10.199999999999999" outlineLevel="4">
      <c r="A1114" s="422" t="s">
        <v>928</v>
      </c>
      <c r="B1114" s="417" t="s">
        <v>929</v>
      </c>
      <c r="C1114" s="418" t="s">
        <v>1964</v>
      </c>
      <c r="D1114" s="439" t="s">
        <v>1965</v>
      </c>
      <c r="E1114" s="418" t="s">
        <v>251</v>
      </c>
      <c r="F1114" s="420"/>
      <c r="G1114" s="421">
        <v>1</v>
      </c>
      <c r="I1114" s="423"/>
      <c r="J1114" s="423"/>
      <c r="K1114" s="423">
        <v>300</v>
      </c>
      <c r="L1114" s="424">
        <f t="shared" si="78"/>
        <v>300</v>
      </c>
      <c r="M1114" s="134">
        <f t="shared" si="79"/>
        <v>300</v>
      </c>
    </row>
    <row r="1115" spans="1:13" s="328" customFormat="1" ht="10.199999999999999" outlineLevel="4">
      <c r="A1115" s="328" t="s">
        <v>1044</v>
      </c>
      <c r="B1115" s="329" t="s">
        <v>929</v>
      </c>
      <c r="C1115" s="330" t="s">
        <v>1966</v>
      </c>
      <c r="D1115" s="337" t="s">
        <v>1967</v>
      </c>
      <c r="E1115" s="330" t="s">
        <v>251</v>
      </c>
      <c r="F1115" s="332"/>
      <c r="G1115" s="333">
        <v>17</v>
      </c>
      <c r="I1115" s="334"/>
      <c r="J1115" s="334"/>
      <c r="K1115" s="334">
        <v>50</v>
      </c>
      <c r="L1115" s="335">
        <f t="shared" si="78"/>
        <v>50</v>
      </c>
      <c r="M1115" s="338">
        <f t="shared" si="79"/>
        <v>850</v>
      </c>
    </row>
    <row r="1116" spans="1:13" s="328" customFormat="1" ht="10.199999999999999" outlineLevel="4">
      <c r="A1116" s="328" t="s">
        <v>1044</v>
      </c>
      <c r="B1116" s="329" t="s">
        <v>929</v>
      </c>
      <c r="C1116" s="330"/>
      <c r="D1116" s="337" t="s">
        <v>1968</v>
      </c>
      <c r="E1116" s="330" t="s">
        <v>251</v>
      </c>
      <c r="F1116" s="332"/>
      <c r="G1116" s="333">
        <v>17</v>
      </c>
      <c r="I1116" s="334"/>
      <c r="J1116" s="334"/>
      <c r="K1116" s="334">
        <v>50</v>
      </c>
      <c r="L1116" s="335">
        <f t="shared" si="78"/>
        <v>50</v>
      </c>
      <c r="M1116" s="338">
        <f t="shared" si="79"/>
        <v>850</v>
      </c>
    </row>
    <row r="1117" spans="1:13" s="168" customFormat="1" ht="10.199999999999999" outlineLevel="4">
      <c r="A1117" s="168" t="s">
        <v>1944</v>
      </c>
      <c r="B1117" s="166" t="s">
        <v>929</v>
      </c>
      <c r="C1117" s="117" t="s">
        <v>1969</v>
      </c>
      <c r="D1117" s="379" t="s">
        <v>1970</v>
      </c>
      <c r="E1117" s="117" t="s">
        <v>550</v>
      </c>
      <c r="F1117" s="142"/>
      <c r="G1117" s="167">
        <v>78.8</v>
      </c>
      <c r="I1117" s="169"/>
      <c r="J1117" s="169"/>
      <c r="K1117" s="169">
        <f>35*0</f>
        <v>0</v>
      </c>
      <c r="L1117" s="273">
        <f t="shared" si="78"/>
        <v>0</v>
      </c>
      <c r="M1117" s="143">
        <f t="shared" si="79"/>
        <v>0</v>
      </c>
    </row>
    <row r="1118" spans="1:13" s="118" customFormat="1" ht="10.199999999999999" outlineLevel="3">
      <c r="B1118" s="116"/>
      <c r="C1118" s="158" t="s">
        <v>1971</v>
      </c>
      <c r="D1118" s="426" t="s">
        <v>1605</v>
      </c>
      <c r="F1118" s="266"/>
      <c r="G1118" s="116"/>
      <c r="I1118" s="120"/>
      <c r="J1118" s="120"/>
      <c r="K1118" s="120"/>
      <c r="L1118" s="438">
        <v>8216.389038342857</v>
      </c>
      <c r="M1118" s="416">
        <f>SUM(M1119:M1134)</f>
        <v>11359.59</v>
      </c>
    </row>
    <row r="1119" spans="1:13" s="280" customFormat="1" ht="20.399999999999999" outlineLevel="4">
      <c r="A1119" s="280" t="s">
        <v>1841</v>
      </c>
      <c r="B1119" s="367" t="s">
        <v>929</v>
      </c>
      <c r="C1119" s="368" t="s">
        <v>1972</v>
      </c>
      <c r="D1119" s="433" t="s">
        <v>1973</v>
      </c>
      <c r="E1119" s="368" t="s">
        <v>346</v>
      </c>
      <c r="F1119" s="370"/>
      <c r="G1119" s="279">
        <v>7.98</v>
      </c>
      <c r="I1119" s="281">
        <v>100</v>
      </c>
      <c r="J1119" s="281"/>
      <c r="K1119" s="281">
        <v>30</v>
      </c>
      <c r="L1119" s="282">
        <f t="shared" ref="L1119:L1125" si="80">SUM(H1119:K1119)</f>
        <v>130</v>
      </c>
      <c r="M1119" s="283">
        <f t="shared" ref="M1119:M1134" si="81">+L1119*G1119</f>
        <v>1037.4000000000001</v>
      </c>
    </row>
    <row r="1120" spans="1:13" s="280" customFormat="1" ht="20.399999999999999" outlineLevel="4">
      <c r="A1120" s="280" t="s">
        <v>1841</v>
      </c>
      <c r="B1120" s="367" t="s">
        <v>929</v>
      </c>
      <c r="C1120" s="368" t="s">
        <v>1974</v>
      </c>
      <c r="D1120" s="433" t="s">
        <v>1975</v>
      </c>
      <c r="E1120" s="368" t="s">
        <v>346</v>
      </c>
      <c r="F1120" s="370"/>
      <c r="G1120" s="279">
        <v>25.85</v>
      </c>
      <c r="I1120" s="281">
        <v>100</v>
      </c>
      <c r="J1120" s="281"/>
      <c r="K1120" s="281">
        <v>30</v>
      </c>
      <c r="L1120" s="282">
        <f t="shared" si="80"/>
        <v>130</v>
      </c>
      <c r="M1120" s="283">
        <f t="shared" si="81"/>
        <v>3360.5</v>
      </c>
    </row>
    <row r="1121" spans="1:13" s="280" customFormat="1" ht="20.399999999999999" outlineLevel="4">
      <c r="A1121" s="280" t="s">
        <v>1841</v>
      </c>
      <c r="B1121" s="367" t="s">
        <v>929</v>
      </c>
      <c r="C1121" s="368" t="s">
        <v>1974</v>
      </c>
      <c r="D1121" s="433" t="s">
        <v>1976</v>
      </c>
      <c r="E1121" s="368" t="s">
        <v>500</v>
      </c>
      <c r="F1121" s="370"/>
      <c r="G1121" s="279">
        <v>2.98</v>
      </c>
      <c r="I1121" s="281">
        <v>20</v>
      </c>
      <c r="J1121" s="281"/>
      <c r="K1121" s="281">
        <v>15</v>
      </c>
      <c r="L1121" s="282">
        <f t="shared" si="80"/>
        <v>35</v>
      </c>
      <c r="M1121" s="283">
        <f t="shared" si="81"/>
        <v>104.3</v>
      </c>
    </row>
    <row r="1122" spans="1:13" s="422" customFormat="1" ht="10.199999999999999" outlineLevel="4">
      <c r="A1122" s="422" t="s">
        <v>1831</v>
      </c>
      <c r="B1122" s="417" t="s">
        <v>929</v>
      </c>
      <c r="C1122" s="418" t="s">
        <v>1977</v>
      </c>
      <c r="D1122" s="439" t="s">
        <v>1978</v>
      </c>
      <c r="E1122" s="418" t="s">
        <v>346</v>
      </c>
      <c r="F1122" s="420"/>
      <c r="G1122" s="421">
        <f>8.74+7.5</f>
        <v>16.240000000000002</v>
      </c>
      <c r="I1122" s="423"/>
      <c r="J1122" s="423"/>
      <c r="K1122" s="423">
        <v>85</v>
      </c>
      <c r="L1122" s="424">
        <f t="shared" si="80"/>
        <v>85</v>
      </c>
      <c r="M1122" s="134">
        <f t="shared" si="81"/>
        <v>1380.4</v>
      </c>
    </row>
    <row r="1123" spans="1:13" s="422" customFormat="1" ht="10.199999999999999" outlineLevel="4">
      <c r="A1123" s="422" t="s">
        <v>1831</v>
      </c>
      <c r="B1123" s="417" t="s">
        <v>929</v>
      </c>
      <c r="C1123" s="418" t="s">
        <v>1979</v>
      </c>
      <c r="D1123" s="439" t="s">
        <v>1980</v>
      </c>
      <c r="E1123" s="418" t="s">
        <v>346</v>
      </c>
      <c r="F1123" s="420"/>
      <c r="G1123" s="421">
        <f>7.99*2</f>
        <v>15.98</v>
      </c>
      <c r="I1123" s="423"/>
      <c r="J1123" s="423"/>
      <c r="K1123" s="423">
        <v>18.5</v>
      </c>
      <c r="L1123" s="424">
        <f t="shared" si="80"/>
        <v>18.5</v>
      </c>
      <c r="M1123" s="134">
        <f t="shared" si="81"/>
        <v>295.63</v>
      </c>
    </row>
    <row r="1124" spans="1:13" s="422" customFormat="1" ht="10.199999999999999" outlineLevel="4">
      <c r="A1124" s="422" t="s">
        <v>1981</v>
      </c>
      <c r="B1124" s="417" t="s">
        <v>929</v>
      </c>
      <c r="C1124" s="418" t="s">
        <v>1982</v>
      </c>
      <c r="D1124" s="439" t="s">
        <v>1983</v>
      </c>
      <c r="E1124" s="418" t="s">
        <v>251</v>
      </c>
      <c r="F1124" s="420"/>
      <c r="G1124" s="421">
        <v>2</v>
      </c>
      <c r="I1124" s="423"/>
      <c r="J1124" s="423"/>
      <c r="K1124" s="423">
        <v>600</v>
      </c>
      <c r="L1124" s="424">
        <f t="shared" si="80"/>
        <v>600</v>
      </c>
      <c r="M1124" s="134">
        <f t="shared" si="81"/>
        <v>1200</v>
      </c>
    </row>
    <row r="1125" spans="1:13" s="422" customFormat="1" ht="10.199999999999999" outlineLevel="4">
      <c r="A1125" s="422" t="s">
        <v>1981</v>
      </c>
      <c r="B1125" s="417" t="s">
        <v>929</v>
      </c>
      <c r="C1125" s="418" t="s">
        <v>1984</v>
      </c>
      <c r="D1125" s="440" t="s">
        <v>1985</v>
      </c>
      <c r="E1125" s="418" t="s">
        <v>251</v>
      </c>
      <c r="F1125" s="420"/>
      <c r="G1125" s="421">
        <v>2</v>
      </c>
      <c r="I1125" s="423"/>
      <c r="J1125" s="423"/>
      <c r="K1125" s="423">
        <v>160.68</v>
      </c>
      <c r="L1125" s="424">
        <f t="shared" si="80"/>
        <v>160.68</v>
      </c>
      <c r="M1125" s="134">
        <f t="shared" si="81"/>
        <v>321.36</v>
      </c>
    </row>
    <row r="1126" spans="1:13" s="422" customFormat="1" ht="20.399999999999999" outlineLevel="4">
      <c r="A1126" s="422" t="s">
        <v>1986</v>
      </c>
      <c r="B1126" s="417" t="s">
        <v>929</v>
      </c>
      <c r="C1126" s="418" t="s">
        <v>1987</v>
      </c>
      <c r="D1126" s="433" t="s">
        <v>1606</v>
      </c>
      <c r="E1126" s="418" t="s">
        <v>251</v>
      </c>
      <c r="F1126" s="420"/>
      <c r="G1126" s="421">
        <v>2</v>
      </c>
      <c r="I1126" s="423"/>
      <c r="J1126" s="423"/>
      <c r="K1126" s="423">
        <v>400</v>
      </c>
      <c r="L1126" s="424">
        <f t="shared" ref="L1126:L1134" si="82">SUM(H1126:K1126)</f>
        <v>400</v>
      </c>
      <c r="M1126" s="134">
        <f t="shared" si="81"/>
        <v>800</v>
      </c>
    </row>
    <row r="1127" spans="1:13" s="422" customFormat="1" ht="10.199999999999999" outlineLevel="4">
      <c r="A1127" s="422" t="s">
        <v>928</v>
      </c>
      <c r="B1127" s="417" t="s">
        <v>929</v>
      </c>
      <c r="C1127" s="418" t="s">
        <v>1988</v>
      </c>
      <c r="D1127" s="439" t="s">
        <v>1989</v>
      </c>
      <c r="E1127" s="418" t="s">
        <v>550</v>
      </c>
      <c r="F1127" s="420"/>
      <c r="G1127" s="421">
        <v>2</v>
      </c>
      <c r="I1127" s="423"/>
      <c r="J1127" s="423"/>
      <c r="K1127" s="423">
        <v>600</v>
      </c>
      <c r="L1127" s="424">
        <f t="shared" si="82"/>
        <v>600</v>
      </c>
      <c r="M1127" s="134">
        <f t="shared" si="81"/>
        <v>1200</v>
      </c>
    </row>
    <row r="1128" spans="1:13" s="422" customFormat="1" ht="10.199999999999999" outlineLevel="4">
      <c r="A1128" s="422" t="s">
        <v>1881</v>
      </c>
      <c r="B1128" s="417" t="s">
        <v>929</v>
      </c>
      <c r="C1128" s="418" t="s">
        <v>1990</v>
      </c>
      <c r="D1128" s="439" t="s">
        <v>1991</v>
      </c>
      <c r="E1128" s="418" t="s">
        <v>890</v>
      </c>
      <c r="F1128" s="420"/>
      <c r="G1128" s="421">
        <v>2</v>
      </c>
      <c r="I1128" s="423">
        <v>270</v>
      </c>
      <c r="J1128" s="423"/>
      <c r="K1128" s="423"/>
      <c r="L1128" s="424">
        <f t="shared" si="82"/>
        <v>270</v>
      </c>
      <c r="M1128" s="134">
        <f t="shared" si="81"/>
        <v>540</v>
      </c>
    </row>
    <row r="1129" spans="1:13" s="422" customFormat="1" ht="10.199999999999999" outlineLevel="4">
      <c r="A1129" s="422" t="s">
        <v>1881</v>
      </c>
      <c r="B1129" s="417" t="s">
        <v>929</v>
      </c>
      <c r="C1129" s="418" t="s">
        <v>1992</v>
      </c>
      <c r="D1129" s="439" t="s">
        <v>1993</v>
      </c>
      <c r="E1129" s="418" t="s">
        <v>890</v>
      </c>
      <c r="F1129" s="420"/>
      <c r="G1129" s="421">
        <v>2</v>
      </c>
      <c r="I1129" s="423">
        <v>220</v>
      </c>
      <c r="J1129" s="423"/>
      <c r="K1129" s="423"/>
      <c r="L1129" s="424">
        <f t="shared" si="82"/>
        <v>220</v>
      </c>
      <c r="M1129" s="134">
        <f t="shared" si="81"/>
        <v>440</v>
      </c>
    </row>
    <row r="1130" spans="1:13" s="422" customFormat="1" ht="10.199999999999999" outlineLevel="4">
      <c r="A1130" s="422" t="s">
        <v>1881</v>
      </c>
      <c r="B1130" s="417" t="s">
        <v>929</v>
      </c>
      <c r="C1130" s="418" t="s">
        <v>1994</v>
      </c>
      <c r="D1130" s="439" t="s">
        <v>1995</v>
      </c>
      <c r="E1130" s="418" t="s">
        <v>890</v>
      </c>
      <c r="F1130" s="420"/>
      <c r="G1130" s="421">
        <v>2</v>
      </c>
      <c r="I1130" s="423">
        <v>220</v>
      </c>
      <c r="J1130" s="423"/>
      <c r="K1130" s="423"/>
      <c r="L1130" s="424">
        <f t="shared" si="82"/>
        <v>220</v>
      </c>
      <c r="M1130" s="134">
        <f t="shared" si="81"/>
        <v>440</v>
      </c>
    </row>
    <row r="1131" spans="1:13" s="422" customFormat="1" ht="10.199999999999999" outlineLevel="4">
      <c r="A1131" s="422" t="s">
        <v>1847</v>
      </c>
      <c r="B1131" s="417" t="s">
        <v>929</v>
      </c>
      <c r="C1131" s="418" t="s">
        <v>1996</v>
      </c>
      <c r="D1131" s="439" t="s">
        <v>1997</v>
      </c>
      <c r="E1131" s="418" t="s">
        <v>251</v>
      </c>
      <c r="F1131" s="420"/>
      <c r="G1131" s="421">
        <v>2</v>
      </c>
      <c r="I1131" s="423"/>
      <c r="J1131" s="423"/>
      <c r="K1131" s="423">
        <v>40</v>
      </c>
      <c r="L1131" s="424">
        <f t="shared" si="82"/>
        <v>40</v>
      </c>
      <c r="M1131" s="134">
        <f t="shared" si="81"/>
        <v>80</v>
      </c>
    </row>
    <row r="1132" spans="1:13" s="328" customFormat="1" ht="20.399999999999999" outlineLevel="4">
      <c r="A1132" s="328" t="s">
        <v>1044</v>
      </c>
      <c r="B1132" s="329" t="s">
        <v>929</v>
      </c>
      <c r="C1132" s="330" t="s">
        <v>1998</v>
      </c>
      <c r="D1132" s="337" t="s">
        <v>1999</v>
      </c>
      <c r="E1132" s="330" t="s">
        <v>251</v>
      </c>
      <c r="F1132" s="332"/>
      <c r="G1132" s="333">
        <v>4</v>
      </c>
      <c r="I1132" s="334"/>
      <c r="J1132" s="334"/>
      <c r="K1132" s="334">
        <f>40</f>
        <v>40</v>
      </c>
      <c r="L1132" s="335">
        <f t="shared" si="82"/>
        <v>40</v>
      </c>
      <c r="M1132" s="338">
        <f t="shared" si="81"/>
        <v>160</v>
      </c>
    </row>
    <row r="1133" spans="1:13" s="168" customFormat="1" ht="10.199999999999999" outlineLevel="4">
      <c r="A1133" s="168" t="s">
        <v>1847</v>
      </c>
      <c r="B1133" s="166" t="s">
        <v>929</v>
      </c>
      <c r="C1133" s="117" t="s">
        <v>2000</v>
      </c>
      <c r="D1133" s="379" t="s">
        <v>2001</v>
      </c>
      <c r="E1133" s="117" t="s">
        <v>251</v>
      </c>
      <c r="F1133" s="142"/>
      <c r="G1133" s="167">
        <v>1</v>
      </c>
      <c r="I1133" s="169"/>
      <c r="J1133" s="169"/>
      <c r="K1133" s="169">
        <f>40*0</f>
        <v>0</v>
      </c>
      <c r="L1133" s="273">
        <f t="shared" si="82"/>
        <v>0</v>
      </c>
      <c r="M1133" s="143">
        <f t="shared" si="81"/>
        <v>0</v>
      </c>
    </row>
    <row r="1134" spans="1:13" s="168" customFormat="1" ht="10.199999999999999" outlineLevel="4">
      <c r="A1134" s="168" t="s">
        <v>1044</v>
      </c>
      <c r="B1134" s="166" t="s">
        <v>929</v>
      </c>
      <c r="C1134" s="117" t="s">
        <v>2002</v>
      </c>
      <c r="D1134" s="379" t="s">
        <v>2003</v>
      </c>
      <c r="E1134" s="117" t="s">
        <v>251</v>
      </c>
      <c r="F1134" s="142"/>
      <c r="G1134" s="167">
        <v>2</v>
      </c>
      <c r="I1134" s="169"/>
      <c r="J1134" s="169"/>
      <c r="K1134" s="169">
        <f>40*0</f>
        <v>0</v>
      </c>
      <c r="L1134" s="273">
        <f t="shared" si="82"/>
        <v>0</v>
      </c>
      <c r="M1134" s="143">
        <f t="shared" si="81"/>
        <v>0</v>
      </c>
    </row>
    <row r="1135" spans="1:13" s="118" customFormat="1" ht="10.199999999999999" outlineLevel="3">
      <c r="B1135" s="116"/>
      <c r="C1135" s="158" t="s">
        <v>2004</v>
      </c>
      <c r="D1135" s="426" t="s">
        <v>2005</v>
      </c>
      <c r="E1135" s="118" t="s">
        <v>1025</v>
      </c>
      <c r="F1135" s="266"/>
      <c r="G1135" s="116"/>
      <c r="I1135" s="120"/>
      <c r="J1135" s="120"/>
      <c r="K1135" s="120"/>
      <c r="L1135" s="438">
        <v>14597.311810000001</v>
      </c>
      <c r="M1135" s="416">
        <f>SUM(M1136:M1156)</f>
        <v>21181.408750000002</v>
      </c>
    </row>
    <row r="1136" spans="1:13" s="280" customFormat="1" ht="10.199999999999999" outlineLevel="4">
      <c r="A1136" s="280" t="s">
        <v>1841</v>
      </c>
      <c r="B1136" s="367" t="s">
        <v>929</v>
      </c>
      <c r="C1136" s="368" t="s">
        <v>2006</v>
      </c>
      <c r="D1136" s="433" t="s">
        <v>2007</v>
      </c>
      <c r="E1136" s="368" t="s">
        <v>346</v>
      </c>
      <c r="F1136" s="370"/>
      <c r="G1136" s="279">
        <v>7</v>
      </c>
      <c r="I1136" s="281">
        <v>100</v>
      </c>
      <c r="J1136" s="281"/>
      <c r="K1136" s="281">
        <v>30</v>
      </c>
      <c r="L1136" s="282">
        <f t="shared" ref="L1136:L1156" si="83">SUM(H1136:K1136)</f>
        <v>130</v>
      </c>
      <c r="M1136" s="283">
        <f t="shared" ref="M1136:M1156" si="84">+L1136*G1136</f>
        <v>910</v>
      </c>
    </row>
    <row r="1137" spans="1:13" s="280" customFormat="1" ht="10.199999999999999" outlineLevel="4">
      <c r="A1137" s="280" t="s">
        <v>1841</v>
      </c>
      <c r="B1137" s="367" t="s">
        <v>929</v>
      </c>
      <c r="C1137" s="368" t="s">
        <v>2008</v>
      </c>
      <c r="D1137" s="433" t="s">
        <v>2009</v>
      </c>
      <c r="E1137" s="368" t="s">
        <v>500</v>
      </c>
      <c r="F1137" s="370"/>
      <c r="G1137" s="279">
        <v>6.5</v>
      </c>
      <c r="I1137" s="281">
        <v>20</v>
      </c>
      <c r="J1137" s="281"/>
      <c r="K1137" s="281">
        <v>15</v>
      </c>
      <c r="L1137" s="282">
        <f t="shared" si="83"/>
        <v>35</v>
      </c>
      <c r="M1137" s="283">
        <f t="shared" si="84"/>
        <v>227.5</v>
      </c>
    </row>
    <row r="1138" spans="1:13" s="280" customFormat="1" ht="10.199999999999999" outlineLevel="4">
      <c r="A1138" s="280" t="s">
        <v>1841</v>
      </c>
      <c r="B1138" s="367" t="s">
        <v>929</v>
      </c>
      <c r="C1138" s="368" t="s">
        <v>2010</v>
      </c>
      <c r="D1138" s="433" t="s">
        <v>2011</v>
      </c>
      <c r="E1138" s="368" t="s">
        <v>346</v>
      </c>
      <c r="F1138" s="370"/>
      <c r="G1138" s="279">
        <v>5.62</v>
      </c>
      <c r="I1138" s="281">
        <v>100</v>
      </c>
      <c r="J1138" s="281"/>
      <c r="K1138" s="281">
        <v>35</v>
      </c>
      <c r="L1138" s="282">
        <f t="shared" si="83"/>
        <v>135</v>
      </c>
      <c r="M1138" s="283">
        <f t="shared" si="84"/>
        <v>758.7</v>
      </c>
    </row>
    <row r="1139" spans="1:13" s="422" customFormat="1" ht="10.199999999999999" outlineLevel="4">
      <c r="A1139" s="422" t="s">
        <v>1831</v>
      </c>
      <c r="B1139" s="417" t="s">
        <v>929</v>
      </c>
      <c r="C1139" s="418" t="s">
        <v>2012</v>
      </c>
      <c r="D1139" s="439" t="s">
        <v>2013</v>
      </c>
      <c r="E1139" s="418" t="s">
        <v>346</v>
      </c>
      <c r="F1139" s="420"/>
      <c r="G1139" s="421">
        <v>36.4</v>
      </c>
      <c r="I1139" s="423"/>
      <c r="J1139" s="423"/>
      <c r="K1139" s="423">
        <v>85</v>
      </c>
      <c r="L1139" s="424">
        <f t="shared" si="83"/>
        <v>85</v>
      </c>
      <c r="M1139" s="134">
        <f t="shared" si="84"/>
        <v>3094</v>
      </c>
    </row>
    <row r="1140" spans="1:13" s="422" customFormat="1" ht="20.399999999999999" outlineLevel="4">
      <c r="A1140" s="422" t="s">
        <v>1767</v>
      </c>
      <c r="B1140" s="417" t="s">
        <v>929</v>
      </c>
      <c r="C1140" s="418" t="s">
        <v>2014</v>
      </c>
      <c r="D1140" s="439" t="s">
        <v>2015</v>
      </c>
      <c r="E1140" s="418" t="s">
        <v>890</v>
      </c>
      <c r="F1140" s="420"/>
      <c r="G1140" s="421">
        <v>1</v>
      </c>
      <c r="I1140" s="423"/>
      <c r="J1140" s="423"/>
      <c r="K1140" s="423">
        <v>680</v>
      </c>
      <c r="L1140" s="424">
        <f t="shared" si="83"/>
        <v>680</v>
      </c>
      <c r="M1140" s="134">
        <f t="shared" si="84"/>
        <v>680</v>
      </c>
    </row>
    <row r="1141" spans="1:13" s="422" customFormat="1" ht="10.199999999999999" outlineLevel="4">
      <c r="A1141" s="422" t="s">
        <v>928</v>
      </c>
      <c r="B1141" s="417" t="s">
        <v>929</v>
      </c>
      <c r="C1141" s="418" t="s">
        <v>2016</v>
      </c>
      <c r="D1141" s="439" t="s">
        <v>2017</v>
      </c>
      <c r="E1141" s="418" t="s">
        <v>550</v>
      </c>
      <c r="F1141" s="420"/>
      <c r="G1141" s="421">
        <v>4.53</v>
      </c>
      <c r="I1141" s="423"/>
      <c r="J1141" s="423"/>
      <c r="K1141" s="423">
        <v>900</v>
      </c>
      <c r="L1141" s="424">
        <f t="shared" si="83"/>
        <v>900</v>
      </c>
      <c r="M1141" s="134">
        <f t="shared" si="84"/>
        <v>4077</v>
      </c>
    </row>
    <row r="1142" spans="1:13" s="280" customFormat="1" ht="20.399999999999999" outlineLevel="4">
      <c r="A1142" s="280" t="s">
        <v>1841</v>
      </c>
      <c r="B1142" s="367" t="s">
        <v>929</v>
      </c>
      <c r="C1142" s="368" t="s">
        <v>2018</v>
      </c>
      <c r="D1142" s="433" t="s">
        <v>2019</v>
      </c>
      <c r="E1142" s="368" t="s">
        <v>1025</v>
      </c>
      <c r="F1142" s="370"/>
      <c r="G1142" s="279">
        <v>7.5</v>
      </c>
      <c r="I1142" s="281">
        <v>100</v>
      </c>
      <c r="J1142" s="281"/>
      <c r="K1142" s="281">
        <v>30</v>
      </c>
      <c r="L1142" s="282">
        <f t="shared" si="83"/>
        <v>130</v>
      </c>
      <c r="M1142" s="283">
        <f t="shared" si="84"/>
        <v>975</v>
      </c>
    </row>
    <row r="1143" spans="1:13" s="422" customFormat="1" ht="20.399999999999999" outlineLevel="4">
      <c r="A1143" s="422" t="s">
        <v>1841</v>
      </c>
      <c r="B1143" s="417" t="s">
        <v>929</v>
      </c>
      <c r="C1143" s="418" t="s">
        <v>2020</v>
      </c>
      <c r="D1143" s="439" t="s">
        <v>2021</v>
      </c>
      <c r="E1143" s="418" t="s">
        <v>1025</v>
      </c>
      <c r="F1143" s="420"/>
      <c r="G1143" s="421">
        <v>6.1</v>
      </c>
      <c r="I1143" s="423">
        <v>100</v>
      </c>
      <c r="J1143" s="423"/>
      <c r="K1143" s="423">
        <v>30</v>
      </c>
      <c r="L1143" s="424">
        <f t="shared" si="83"/>
        <v>130</v>
      </c>
      <c r="M1143" s="134">
        <f t="shared" si="84"/>
        <v>793</v>
      </c>
    </row>
    <row r="1144" spans="1:13" s="422" customFormat="1" ht="20.399999999999999" outlineLevel="4">
      <c r="A1144" s="422" t="s">
        <v>1815</v>
      </c>
      <c r="B1144" s="417" t="s">
        <v>929</v>
      </c>
      <c r="C1144" s="418" t="s">
        <v>2022</v>
      </c>
      <c r="D1144" s="439" t="s">
        <v>2023</v>
      </c>
      <c r="E1144" s="418" t="s">
        <v>890</v>
      </c>
      <c r="F1144" s="420"/>
      <c r="G1144" s="421">
        <v>1</v>
      </c>
      <c r="I1144" s="423"/>
      <c r="J1144" s="423"/>
      <c r="K1144" s="423">
        <v>400</v>
      </c>
      <c r="L1144" s="424">
        <f t="shared" si="83"/>
        <v>400</v>
      </c>
      <c r="M1144" s="134">
        <f t="shared" si="84"/>
        <v>400</v>
      </c>
    </row>
    <row r="1145" spans="1:13" s="422" customFormat="1" ht="10.199999999999999" outlineLevel="4">
      <c r="A1145" s="422" t="s">
        <v>1815</v>
      </c>
      <c r="B1145" s="417" t="s">
        <v>929</v>
      </c>
      <c r="C1145" s="418" t="s">
        <v>2024</v>
      </c>
      <c r="D1145" s="439" t="s">
        <v>2025</v>
      </c>
      <c r="E1145" s="418" t="s">
        <v>346</v>
      </c>
      <c r="F1145" s="420"/>
      <c r="G1145" s="421">
        <v>5</v>
      </c>
      <c r="I1145" s="423"/>
      <c r="J1145" s="423"/>
      <c r="K1145" s="423">
        <v>110</v>
      </c>
      <c r="L1145" s="424">
        <f t="shared" si="83"/>
        <v>110</v>
      </c>
      <c r="M1145" s="134">
        <f t="shared" si="84"/>
        <v>550</v>
      </c>
    </row>
    <row r="1146" spans="1:13" s="422" customFormat="1" ht="10.199999999999999" outlineLevel="4">
      <c r="A1146" s="422" t="s">
        <v>1815</v>
      </c>
      <c r="B1146" s="417" t="s">
        <v>929</v>
      </c>
      <c r="C1146" s="418" t="s">
        <v>2026</v>
      </c>
      <c r="D1146" s="439" t="s">
        <v>2027</v>
      </c>
      <c r="E1146" s="418" t="s">
        <v>251</v>
      </c>
      <c r="F1146" s="420"/>
      <c r="G1146" s="421">
        <v>1</v>
      </c>
      <c r="I1146" s="423"/>
      <c r="J1146" s="423"/>
      <c r="K1146" s="423">
        <v>200</v>
      </c>
      <c r="L1146" s="424">
        <f t="shared" si="83"/>
        <v>200</v>
      </c>
      <c r="M1146" s="134">
        <f t="shared" si="84"/>
        <v>200</v>
      </c>
    </row>
    <row r="1147" spans="1:13" s="422" customFormat="1" ht="10.199999999999999" outlineLevel="4">
      <c r="A1147" s="422" t="s">
        <v>1815</v>
      </c>
      <c r="B1147" s="417" t="s">
        <v>929</v>
      </c>
      <c r="C1147" s="418" t="s">
        <v>2028</v>
      </c>
      <c r="D1147" s="439" t="s">
        <v>2029</v>
      </c>
      <c r="E1147" s="418" t="s">
        <v>251</v>
      </c>
      <c r="F1147" s="420"/>
      <c r="G1147" s="421">
        <v>2</v>
      </c>
      <c r="I1147" s="423"/>
      <c r="J1147" s="423"/>
      <c r="K1147" s="423">
        <v>250</v>
      </c>
      <c r="L1147" s="424">
        <f t="shared" si="83"/>
        <v>250</v>
      </c>
      <c r="M1147" s="134">
        <f t="shared" si="84"/>
        <v>500</v>
      </c>
    </row>
    <row r="1148" spans="1:13" s="328" customFormat="1" ht="20.399999999999999" outlineLevel="4">
      <c r="A1148" s="328" t="s">
        <v>1044</v>
      </c>
      <c r="B1148" s="329" t="s">
        <v>929</v>
      </c>
      <c r="C1148" s="330" t="s">
        <v>2030</v>
      </c>
      <c r="D1148" s="337" t="s">
        <v>2031</v>
      </c>
      <c r="E1148" s="330" t="s">
        <v>251</v>
      </c>
      <c r="F1148" s="332"/>
      <c r="G1148" s="333">
        <v>4</v>
      </c>
      <c r="I1148" s="334"/>
      <c r="J1148" s="334"/>
      <c r="K1148" s="334">
        <v>50</v>
      </c>
      <c r="L1148" s="335">
        <f t="shared" si="83"/>
        <v>50</v>
      </c>
      <c r="M1148" s="338">
        <f t="shared" si="84"/>
        <v>200</v>
      </c>
    </row>
    <row r="1149" spans="1:13" s="328" customFormat="1" ht="10.199999999999999" outlineLevel="4">
      <c r="A1149" s="328" t="s">
        <v>1044</v>
      </c>
      <c r="B1149" s="329" t="s">
        <v>929</v>
      </c>
      <c r="C1149" s="330" t="s">
        <v>2032</v>
      </c>
      <c r="D1149" s="337" t="s">
        <v>1866</v>
      </c>
      <c r="E1149" s="330" t="s">
        <v>500</v>
      </c>
      <c r="F1149" s="332"/>
      <c r="G1149" s="333">
        <v>7.5</v>
      </c>
      <c r="I1149" s="334"/>
      <c r="J1149" s="334"/>
      <c r="K1149" s="334">
        <f>235.91/5</f>
        <v>47.182000000000002</v>
      </c>
      <c r="L1149" s="335">
        <f t="shared" si="83"/>
        <v>47.182000000000002</v>
      </c>
      <c r="M1149" s="338">
        <f t="shared" si="84"/>
        <v>353.86500000000001</v>
      </c>
    </row>
    <row r="1150" spans="1:13" s="328" customFormat="1" ht="10.199999999999999" outlineLevel="4">
      <c r="A1150" s="328" t="s">
        <v>1044</v>
      </c>
      <c r="B1150" s="329" t="s">
        <v>929</v>
      </c>
      <c r="C1150" s="330"/>
      <c r="D1150" s="337" t="s">
        <v>1867</v>
      </c>
      <c r="E1150" s="330" t="s">
        <v>251</v>
      </c>
      <c r="F1150" s="332"/>
      <c r="G1150" s="333">
        <v>2</v>
      </c>
      <c r="I1150" s="334"/>
      <c r="J1150" s="334"/>
      <c r="K1150" s="334">
        <v>78.75</v>
      </c>
      <c r="L1150" s="335">
        <f t="shared" si="83"/>
        <v>78.75</v>
      </c>
      <c r="M1150" s="338">
        <f t="shared" si="84"/>
        <v>157.5</v>
      </c>
    </row>
    <row r="1151" spans="1:13" s="328" customFormat="1" ht="10.199999999999999" outlineLevel="4">
      <c r="A1151" s="328" t="s">
        <v>1044</v>
      </c>
      <c r="B1151" s="329" t="s">
        <v>929</v>
      </c>
      <c r="C1151" s="330"/>
      <c r="D1151" s="337" t="s">
        <v>1868</v>
      </c>
      <c r="E1151" s="330" t="s">
        <v>500</v>
      </c>
      <c r="F1151" s="332"/>
      <c r="G1151" s="333">
        <v>7.5</v>
      </c>
      <c r="I1151" s="334"/>
      <c r="J1151" s="334"/>
      <c r="K1151" s="334">
        <f>101.25/4</f>
        <v>25.3125</v>
      </c>
      <c r="L1151" s="335">
        <f t="shared" si="83"/>
        <v>25.3125</v>
      </c>
      <c r="M1151" s="338">
        <f t="shared" si="84"/>
        <v>189.84375</v>
      </c>
    </row>
    <row r="1152" spans="1:13" s="422" customFormat="1" ht="10.199999999999999" outlineLevel="4">
      <c r="A1152" s="422" t="s">
        <v>1815</v>
      </c>
      <c r="B1152" s="417" t="s">
        <v>929</v>
      </c>
      <c r="C1152" s="418" t="s">
        <v>2033</v>
      </c>
      <c r="D1152" s="439" t="s">
        <v>2034</v>
      </c>
      <c r="E1152" s="418" t="s">
        <v>251</v>
      </c>
      <c r="F1152" s="420"/>
      <c r="G1152" s="421">
        <v>1</v>
      </c>
      <c r="I1152" s="423"/>
      <c r="J1152" s="423"/>
      <c r="K1152" s="423">
        <v>500</v>
      </c>
      <c r="L1152" s="424">
        <f t="shared" si="83"/>
        <v>500</v>
      </c>
      <c r="M1152" s="134">
        <f t="shared" si="84"/>
        <v>500</v>
      </c>
    </row>
    <row r="1153" spans="1:13" s="422" customFormat="1" ht="10.199999999999999" outlineLevel="4">
      <c r="A1153" s="422" t="s">
        <v>1815</v>
      </c>
      <c r="B1153" s="417" t="s">
        <v>929</v>
      </c>
      <c r="C1153" s="418" t="s">
        <v>2035</v>
      </c>
      <c r="D1153" s="439" t="s">
        <v>2036</v>
      </c>
      <c r="E1153" s="418" t="s">
        <v>251</v>
      </c>
      <c r="F1153" s="420"/>
      <c r="G1153" s="421">
        <v>1</v>
      </c>
      <c r="I1153" s="423"/>
      <c r="J1153" s="423"/>
      <c r="K1153" s="423">
        <v>800</v>
      </c>
      <c r="L1153" s="424">
        <f t="shared" si="83"/>
        <v>800</v>
      </c>
      <c r="M1153" s="134">
        <f t="shared" si="84"/>
        <v>800</v>
      </c>
    </row>
    <row r="1154" spans="1:13" s="168" customFormat="1" ht="20.399999999999999" outlineLevel="4">
      <c r="A1154" s="168" t="s">
        <v>1881</v>
      </c>
      <c r="B1154" s="166" t="s">
        <v>929</v>
      </c>
      <c r="C1154" s="117" t="s">
        <v>2037</v>
      </c>
      <c r="D1154" s="379" t="s">
        <v>2038</v>
      </c>
      <c r="E1154" s="117" t="s">
        <v>890</v>
      </c>
      <c r="F1154" s="142"/>
      <c r="G1154" s="167">
        <v>2</v>
      </c>
      <c r="I1154" s="169">
        <f>289.4969*0</f>
        <v>0</v>
      </c>
      <c r="J1154" s="169"/>
      <c r="K1154" s="169"/>
      <c r="L1154" s="273">
        <f t="shared" si="83"/>
        <v>0</v>
      </c>
      <c r="M1154" s="143">
        <f t="shared" si="84"/>
        <v>0</v>
      </c>
    </row>
    <row r="1155" spans="1:13" s="422" customFormat="1" ht="10.199999999999999" outlineLevel="4">
      <c r="A1155" s="422" t="s">
        <v>1881</v>
      </c>
      <c r="B1155" s="417" t="s">
        <v>929</v>
      </c>
      <c r="C1155" s="418" t="s">
        <v>2039</v>
      </c>
      <c r="D1155" s="439" t="s">
        <v>2040</v>
      </c>
      <c r="E1155" s="418" t="s">
        <v>890</v>
      </c>
      <c r="F1155" s="420"/>
      <c r="G1155" s="421">
        <v>2</v>
      </c>
      <c r="H1155" s="422">
        <v>70</v>
      </c>
      <c r="I1155" s="423">
        <v>400</v>
      </c>
      <c r="J1155" s="423"/>
      <c r="K1155" s="423"/>
      <c r="L1155" s="424">
        <f t="shared" si="83"/>
        <v>470</v>
      </c>
      <c r="M1155" s="134">
        <f t="shared" si="84"/>
        <v>940</v>
      </c>
    </row>
    <row r="1156" spans="1:13" s="422" customFormat="1" ht="112.2" outlineLevel="4">
      <c r="A1156" s="422" t="s">
        <v>1986</v>
      </c>
      <c r="B1156" s="417" t="s">
        <v>929</v>
      </c>
      <c r="C1156" s="418" t="s">
        <v>2041</v>
      </c>
      <c r="D1156" s="439" t="s">
        <v>2042</v>
      </c>
      <c r="E1156" s="418" t="s">
        <v>890</v>
      </c>
      <c r="F1156" s="420"/>
      <c r="G1156" s="421">
        <v>1</v>
      </c>
      <c r="I1156" s="423"/>
      <c r="J1156" s="423"/>
      <c r="K1156" s="423">
        <v>4875</v>
      </c>
      <c r="L1156" s="424">
        <f t="shared" si="83"/>
        <v>4875</v>
      </c>
      <c r="M1156" s="134">
        <f t="shared" si="84"/>
        <v>4875</v>
      </c>
    </row>
    <row r="1157" spans="1:13" s="118" customFormat="1" ht="10.199999999999999" outlineLevel="3">
      <c r="B1157" s="116"/>
      <c r="C1157" s="158" t="s">
        <v>2043</v>
      </c>
      <c r="D1157" s="426" t="s">
        <v>815</v>
      </c>
      <c r="E1157" s="118" t="s">
        <v>1025</v>
      </c>
      <c r="F1157" s="266"/>
      <c r="G1157" s="116"/>
      <c r="I1157" s="120"/>
      <c r="J1157" s="120"/>
      <c r="K1157" s="120">
        <v>31600</v>
      </c>
      <c r="L1157" s="438">
        <v>95417.806322742283</v>
      </c>
      <c r="M1157" s="416">
        <f>SUM(M1158:M1183)</f>
        <v>188892.03609999997</v>
      </c>
    </row>
    <row r="1158" spans="1:13" s="422" customFormat="1" ht="10.199999999999999" outlineLevel="4">
      <c r="A1158" s="422" t="s">
        <v>928</v>
      </c>
      <c r="B1158" s="417" t="s">
        <v>929</v>
      </c>
      <c r="C1158" s="418" t="s">
        <v>2044</v>
      </c>
      <c r="D1158" s="439" t="s">
        <v>2045</v>
      </c>
      <c r="E1158" s="418" t="s">
        <v>346</v>
      </c>
      <c r="F1158" s="420"/>
      <c r="G1158" s="421">
        <v>130</v>
      </c>
      <c r="I1158" s="423"/>
      <c r="J1158" s="423"/>
      <c r="K1158" s="423">
        <v>200</v>
      </c>
      <c r="L1158" s="424">
        <f t="shared" ref="L1158:L1183" si="85">SUM(H1158:K1158)</f>
        <v>200</v>
      </c>
      <c r="M1158" s="134">
        <f t="shared" ref="M1158:M1183" si="86">+L1158*G1158</f>
        <v>26000</v>
      </c>
    </row>
    <row r="1159" spans="1:13" s="255" customFormat="1" ht="20.399999999999999" outlineLevel="4">
      <c r="A1159" s="255" t="s">
        <v>1841</v>
      </c>
      <c r="B1159" s="269" t="s">
        <v>929</v>
      </c>
      <c r="C1159" s="244" t="s">
        <v>2046</v>
      </c>
      <c r="D1159" s="429" t="s">
        <v>2047</v>
      </c>
      <c r="E1159" s="244" t="s">
        <v>346</v>
      </c>
      <c r="F1159" s="271"/>
      <c r="G1159" s="254">
        <v>55.37</v>
      </c>
      <c r="H1159" s="256"/>
      <c r="I1159" s="256">
        <f>+((19*3.8)+9+1)*1.15</f>
        <v>94.53</v>
      </c>
      <c r="J1159" s="256"/>
      <c r="K1159" s="256">
        <v>35</v>
      </c>
      <c r="L1159" s="272">
        <f t="shared" si="85"/>
        <v>129.53</v>
      </c>
      <c r="M1159" s="258">
        <f t="shared" si="86"/>
        <v>7172.0760999999993</v>
      </c>
    </row>
    <row r="1160" spans="1:13" s="280" customFormat="1" ht="20.399999999999999" outlineLevel="4">
      <c r="A1160" s="280" t="s">
        <v>1841</v>
      </c>
      <c r="B1160" s="367" t="s">
        <v>929</v>
      </c>
      <c r="C1160" s="368"/>
      <c r="D1160" s="433" t="s">
        <v>2048</v>
      </c>
      <c r="E1160" s="368"/>
      <c r="F1160" s="370"/>
      <c r="G1160" s="279">
        <v>30.58</v>
      </c>
      <c r="H1160" s="281"/>
      <c r="I1160" s="281">
        <v>20</v>
      </c>
      <c r="J1160" s="281"/>
      <c r="K1160" s="281">
        <v>15</v>
      </c>
      <c r="L1160" s="282">
        <f t="shared" si="85"/>
        <v>35</v>
      </c>
      <c r="M1160" s="283">
        <f t="shared" si="86"/>
        <v>1070.3</v>
      </c>
    </row>
    <row r="1161" spans="1:13" s="422" customFormat="1" ht="10.199999999999999" outlineLevel="4">
      <c r="A1161" s="422" t="s">
        <v>1860</v>
      </c>
      <c r="B1161" s="417" t="s">
        <v>929</v>
      </c>
      <c r="C1161" s="418" t="s">
        <v>2049</v>
      </c>
      <c r="D1161" s="439" t="s">
        <v>2050</v>
      </c>
      <c r="E1161" s="418" t="s">
        <v>346</v>
      </c>
      <c r="F1161" s="420"/>
      <c r="G1161" s="421">
        <v>56</v>
      </c>
      <c r="H1161" s="423"/>
      <c r="I1161" s="423"/>
      <c r="J1161" s="423"/>
      <c r="K1161" s="423">
        <v>200</v>
      </c>
      <c r="L1161" s="424">
        <f t="shared" si="85"/>
        <v>200</v>
      </c>
      <c r="M1161" s="134">
        <f t="shared" si="86"/>
        <v>11200</v>
      </c>
    </row>
    <row r="1162" spans="1:13" s="422" customFormat="1" ht="10.199999999999999" outlineLevel="4">
      <c r="A1162" s="422" t="s">
        <v>1860</v>
      </c>
      <c r="B1162" s="417" t="s">
        <v>929</v>
      </c>
      <c r="C1162" s="418" t="s">
        <v>2051</v>
      </c>
      <c r="D1162" s="439" t="s">
        <v>2052</v>
      </c>
      <c r="E1162" s="418" t="s">
        <v>346</v>
      </c>
      <c r="F1162" s="420"/>
      <c r="G1162" s="421">
        <v>130</v>
      </c>
      <c r="H1162" s="423"/>
      <c r="I1162" s="423"/>
      <c r="J1162" s="423"/>
      <c r="K1162" s="423">
        <v>200</v>
      </c>
      <c r="L1162" s="424">
        <f t="shared" si="85"/>
        <v>200</v>
      </c>
      <c r="M1162" s="134">
        <f t="shared" si="86"/>
        <v>26000</v>
      </c>
    </row>
    <row r="1163" spans="1:13" s="168" customFormat="1" ht="20.399999999999999" outlineLevel="4">
      <c r="A1163" s="168" t="s">
        <v>928</v>
      </c>
      <c r="B1163" s="166" t="s">
        <v>929</v>
      </c>
      <c r="C1163" s="117" t="s">
        <v>2053</v>
      </c>
      <c r="D1163" s="379" t="s">
        <v>2054</v>
      </c>
      <c r="E1163" s="117" t="s">
        <v>550</v>
      </c>
      <c r="F1163" s="142"/>
      <c r="G1163" s="167">
        <v>51.52</v>
      </c>
      <c r="I1163" s="169"/>
      <c r="J1163" s="169"/>
      <c r="K1163" s="169">
        <f>24.591*0</f>
        <v>0</v>
      </c>
      <c r="L1163" s="273">
        <f t="shared" si="85"/>
        <v>0</v>
      </c>
      <c r="M1163" s="143">
        <f t="shared" si="86"/>
        <v>0</v>
      </c>
    </row>
    <row r="1164" spans="1:13" s="280" customFormat="1" ht="10.199999999999999" outlineLevel="4">
      <c r="A1164" s="280" t="s">
        <v>1841</v>
      </c>
      <c r="B1164" s="367" t="s">
        <v>929</v>
      </c>
      <c r="C1164" s="368" t="s">
        <v>2055</v>
      </c>
      <c r="D1164" s="433" t="s">
        <v>2056</v>
      </c>
      <c r="E1164" s="368" t="s">
        <v>1025</v>
      </c>
      <c r="F1164" s="370"/>
      <c r="G1164" s="279">
        <v>55.83</v>
      </c>
      <c r="H1164" s="281"/>
      <c r="I1164" s="281">
        <v>200</v>
      </c>
      <c r="J1164" s="281"/>
      <c r="K1164" s="281">
        <v>30</v>
      </c>
      <c r="L1164" s="282">
        <f t="shared" si="85"/>
        <v>230</v>
      </c>
      <c r="M1164" s="283">
        <f t="shared" si="86"/>
        <v>12840.9</v>
      </c>
    </row>
    <row r="1165" spans="1:13" s="280" customFormat="1" ht="10.199999999999999" outlineLevel="4">
      <c r="A1165" s="280" t="s">
        <v>1841</v>
      </c>
      <c r="B1165" s="367" t="s">
        <v>929</v>
      </c>
      <c r="C1165" s="368" t="s">
        <v>2055</v>
      </c>
      <c r="D1165" s="433" t="s">
        <v>2057</v>
      </c>
      <c r="E1165" s="368" t="s">
        <v>1025</v>
      </c>
      <c r="F1165" s="370"/>
      <c r="G1165" s="279">
        <v>73.3</v>
      </c>
      <c r="H1165" s="281"/>
      <c r="I1165" s="281">
        <v>200</v>
      </c>
      <c r="J1165" s="281"/>
      <c r="K1165" s="281">
        <v>30</v>
      </c>
      <c r="L1165" s="282">
        <f t="shared" si="85"/>
        <v>230</v>
      </c>
      <c r="M1165" s="283">
        <f t="shared" si="86"/>
        <v>16859</v>
      </c>
    </row>
    <row r="1166" spans="1:13" s="422" customFormat="1" ht="20.399999999999999" outlineLevel="4">
      <c r="A1166" s="422" t="s">
        <v>1831</v>
      </c>
      <c r="B1166" s="417" t="s">
        <v>929</v>
      </c>
      <c r="C1166" s="418" t="s">
        <v>2058</v>
      </c>
      <c r="D1166" s="439" t="s">
        <v>2059</v>
      </c>
      <c r="E1166" s="418" t="s">
        <v>1025</v>
      </c>
      <c r="F1166" s="420"/>
      <c r="G1166" s="421">
        <v>39.6</v>
      </c>
      <c r="H1166" s="423"/>
      <c r="I1166" s="423"/>
      <c r="J1166" s="423"/>
      <c r="K1166" s="423">
        <v>100</v>
      </c>
      <c r="L1166" s="424">
        <f t="shared" si="85"/>
        <v>100</v>
      </c>
      <c r="M1166" s="134">
        <f t="shared" si="86"/>
        <v>3960</v>
      </c>
    </row>
    <row r="1167" spans="1:13" s="422" customFormat="1" ht="10.199999999999999" outlineLevel="4">
      <c r="A1167" s="422" t="s">
        <v>1767</v>
      </c>
      <c r="B1167" s="417" t="s">
        <v>929</v>
      </c>
      <c r="C1167" s="418" t="s">
        <v>2060</v>
      </c>
      <c r="D1167" s="439" t="s">
        <v>2061</v>
      </c>
      <c r="E1167" s="418" t="s">
        <v>550</v>
      </c>
      <c r="F1167" s="420"/>
      <c r="G1167" s="421">
        <v>4</v>
      </c>
      <c r="H1167" s="422">
        <v>30</v>
      </c>
      <c r="I1167" s="423">
        <v>500</v>
      </c>
      <c r="J1167" s="423"/>
      <c r="K1167" s="441"/>
      <c r="L1167" s="424">
        <f t="shared" si="85"/>
        <v>530</v>
      </c>
      <c r="M1167" s="134">
        <f t="shared" si="86"/>
        <v>2120</v>
      </c>
    </row>
    <row r="1168" spans="1:13" s="168" customFormat="1" ht="20.399999999999999" outlineLevel="4">
      <c r="A1168" s="168" t="s">
        <v>1767</v>
      </c>
      <c r="B1168" s="166" t="s">
        <v>929</v>
      </c>
      <c r="C1168" s="117" t="s">
        <v>2062</v>
      </c>
      <c r="D1168" s="379" t="s">
        <v>2063</v>
      </c>
      <c r="E1168" s="117" t="s">
        <v>550</v>
      </c>
      <c r="F1168" s="142"/>
      <c r="G1168" s="167">
        <v>2.4500000000000002</v>
      </c>
      <c r="I1168" s="169"/>
      <c r="J1168" s="169"/>
      <c r="K1168" s="169">
        <f>320*0</f>
        <v>0</v>
      </c>
      <c r="L1168" s="273">
        <f t="shared" si="85"/>
        <v>0</v>
      </c>
      <c r="M1168" s="143">
        <f t="shared" si="86"/>
        <v>0</v>
      </c>
    </row>
    <row r="1169" spans="1:13" s="168" customFormat="1" ht="10.199999999999999" outlineLevel="4">
      <c r="A1169" s="168" t="s">
        <v>1767</v>
      </c>
      <c r="B1169" s="166" t="s">
        <v>929</v>
      </c>
      <c r="C1169" s="117" t="s">
        <v>2064</v>
      </c>
      <c r="D1169" s="379" t="s">
        <v>2065</v>
      </c>
      <c r="E1169" s="117" t="s">
        <v>251</v>
      </c>
      <c r="F1169" s="142"/>
      <c r="G1169" s="167">
        <v>1</v>
      </c>
      <c r="H1169" s="169"/>
      <c r="I1169" s="169"/>
      <c r="J1169" s="169"/>
      <c r="K1169" s="169">
        <f>3000*0</f>
        <v>0</v>
      </c>
      <c r="L1169" s="273">
        <f t="shared" si="85"/>
        <v>0</v>
      </c>
      <c r="M1169" s="143">
        <f t="shared" si="86"/>
        <v>0</v>
      </c>
    </row>
    <row r="1170" spans="1:13" s="422" customFormat="1" ht="10.199999999999999" outlineLevel="4">
      <c r="A1170" s="422" t="s">
        <v>1881</v>
      </c>
      <c r="B1170" s="417" t="s">
        <v>929</v>
      </c>
      <c r="C1170" s="418" t="s">
        <v>2066</v>
      </c>
      <c r="D1170" s="439" t="s">
        <v>2067</v>
      </c>
      <c r="E1170" s="418" t="s">
        <v>890</v>
      </c>
      <c r="F1170" s="420"/>
      <c r="G1170" s="421">
        <v>1</v>
      </c>
      <c r="I1170" s="423"/>
      <c r="J1170" s="423"/>
      <c r="K1170" s="423">
        <v>470</v>
      </c>
      <c r="L1170" s="424">
        <f t="shared" si="85"/>
        <v>470</v>
      </c>
      <c r="M1170" s="134">
        <f t="shared" si="86"/>
        <v>470</v>
      </c>
    </row>
    <row r="1171" spans="1:13" s="422" customFormat="1" ht="10.199999999999999" outlineLevel="4">
      <c r="A1171" s="422" t="s">
        <v>1881</v>
      </c>
      <c r="B1171" s="417" t="s">
        <v>929</v>
      </c>
      <c r="C1171" s="418" t="s">
        <v>2068</v>
      </c>
      <c r="D1171" s="439" t="s">
        <v>2069</v>
      </c>
      <c r="E1171" s="418" t="s">
        <v>890</v>
      </c>
      <c r="F1171" s="420"/>
      <c r="G1171" s="421">
        <v>1</v>
      </c>
      <c r="I1171" s="423"/>
      <c r="J1171" s="423"/>
      <c r="K1171" s="423">
        <v>470</v>
      </c>
      <c r="L1171" s="424">
        <f t="shared" si="85"/>
        <v>470</v>
      </c>
      <c r="M1171" s="134">
        <f t="shared" si="86"/>
        <v>470</v>
      </c>
    </row>
    <row r="1172" spans="1:13" s="422" customFormat="1" ht="10.199999999999999" outlineLevel="4">
      <c r="A1172" s="422" t="s">
        <v>928</v>
      </c>
      <c r="B1172" s="417" t="s">
        <v>929</v>
      </c>
      <c r="C1172" s="418" t="s">
        <v>2070</v>
      </c>
      <c r="D1172" s="439" t="s">
        <v>2071</v>
      </c>
      <c r="E1172" s="418" t="s">
        <v>550</v>
      </c>
      <c r="F1172" s="420"/>
      <c r="G1172" s="421">
        <v>14</v>
      </c>
      <c r="H1172" s="422">
        <v>30</v>
      </c>
      <c r="I1172" s="423">
        <v>300</v>
      </c>
      <c r="J1172" s="423"/>
      <c r="K1172" s="423"/>
      <c r="L1172" s="424">
        <f t="shared" si="85"/>
        <v>330</v>
      </c>
      <c r="M1172" s="134">
        <f t="shared" si="86"/>
        <v>4620</v>
      </c>
    </row>
    <row r="1173" spans="1:13" s="422" customFormat="1" ht="10.199999999999999" outlineLevel="4">
      <c r="A1173" s="422" t="s">
        <v>928</v>
      </c>
      <c r="B1173" s="417" t="s">
        <v>929</v>
      </c>
      <c r="C1173" s="418" t="s">
        <v>2072</v>
      </c>
      <c r="D1173" s="439" t="s">
        <v>2073</v>
      </c>
      <c r="E1173" s="418" t="s">
        <v>550</v>
      </c>
      <c r="F1173" s="420"/>
      <c r="G1173" s="421">
        <v>38</v>
      </c>
      <c r="I1173" s="423"/>
      <c r="J1173" s="423"/>
      <c r="K1173" s="423">
        <v>191</v>
      </c>
      <c r="L1173" s="424">
        <f t="shared" si="85"/>
        <v>191</v>
      </c>
      <c r="M1173" s="134">
        <f t="shared" si="86"/>
        <v>7258</v>
      </c>
    </row>
    <row r="1174" spans="1:13" s="422" customFormat="1" ht="10.199999999999999" outlineLevel="4">
      <c r="A1174" s="422" t="s">
        <v>2074</v>
      </c>
      <c r="B1174" s="417" t="s">
        <v>929</v>
      </c>
      <c r="C1174" s="418"/>
      <c r="D1174" s="439" t="s">
        <v>2075</v>
      </c>
      <c r="E1174" s="418" t="s">
        <v>362</v>
      </c>
      <c r="F1174" s="420"/>
      <c r="G1174" s="421">
        <v>1</v>
      </c>
      <c r="I1174" s="423"/>
      <c r="J1174" s="423"/>
      <c r="K1174" s="423">
        <v>45000</v>
      </c>
      <c r="L1174" s="424">
        <f t="shared" si="85"/>
        <v>45000</v>
      </c>
      <c r="M1174" s="134">
        <f t="shared" si="86"/>
        <v>45000</v>
      </c>
    </row>
    <row r="1175" spans="1:13" s="328" customFormat="1" ht="10.199999999999999" outlineLevel="4">
      <c r="A1175" s="328" t="s">
        <v>1044</v>
      </c>
      <c r="B1175" s="329" t="s">
        <v>929</v>
      </c>
      <c r="C1175" s="330"/>
      <c r="D1175" s="337" t="s">
        <v>2076</v>
      </c>
      <c r="E1175" s="330" t="s">
        <v>1046</v>
      </c>
      <c r="F1175" s="332"/>
      <c r="G1175" s="333">
        <v>9</v>
      </c>
      <c r="I1175" s="334"/>
      <c r="J1175" s="334"/>
      <c r="K1175" s="334">
        <v>50</v>
      </c>
      <c r="L1175" s="335">
        <f t="shared" si="85"/>
        <v>50</v>
      </c>
      <c r="M1175" s="338">
        <f t="shared" si="86"/>
        <v>450</v>
      </c>
    </row>
    <row r="1176" spans="1:13" s="328" customFormat="1" ht="10.199999999999999" outlineLevel="4">
      <c r="A1176" s="328" t="s">
        <v>1044</v>
      </c>
      <c r="B1176" s="329" t="s">
        <v>929</v>
      </c>
      <c r="C1176" s="330"/>
      <c r="D1176" s="337" t="s">
        <v>2077</v>
      </c>
      <c r="E1176" s="330" t="s">
        <v>1046</v>
      </c>
      <c r="F1176" s="332"/>
      <c r="G1176" s="333">
        <v>12</v>
      </c>
      <c r="I1176" s="334"/>
      <c r="J1176" s="334"/>
      <c r="K1176" s="334">
        <v>100</v>
      </c>
      <c r="L1176" s="335">
        <f t="shared" si="85"/>
        <v>100</v>
      </c>
      <c r="M1176" s="338">
        <f t="shared" si="86"/>
        <v>1200</v>
      </c>
    </row>
    <row r="1177" spans="1:13" s="328" customFormat="1" ht="10.199999999999999" outlineLevel="4">
      <c r="A1177" s="328" t="s">
        <v>1044</v>
      </c>
      <c r="B1177" s="329" t="s">
        <v>929</v>
      </c>
      <c r="C1177" s="330"/>
      <c r="D1177" s="436" t="s">
        <v>1933</v>
      </c>
      <c r="E1177" s="330" t="s">
        <v>500</v>
      </c>
      <c r="F1177" s="332"/>
      <c r="G1177" s="333">
        <v>23.2</v>
      </c>
      <c r="I1177" s="334"/>
      <c r="J1177" s="334"/>
      <c r="K1177" s="334">
        <v>49.275000000000006</v>
      </c>
      <c r="L1177" s="335">
        <f t="shared" si="85"/>
        <v>49.275000000000006</v>
      </c>
      <c r="M1177" s="338">
        <f t="shared" si="86"/>
        <v>1143.18</v>
      </c>
    </row>
    <row r="1178" spans="1:13" s="328" customFormat="1" ht="10.199999999999999" outlineLevel="4">
      <c r="A1178" s="328" t="s">
        <v>1044</v>
      </c>
      <c r="B1178" s="329" t="s">
        <v>929</v>
      </c>
      <c r="C1178" s="330"/>
      <c r="D1178" s="337" t="s">
        <v>1934</v>
      </c>
      <c r="E1178" s="330" t="s">
        <v>251</v>
      </c>
      <c r="F1178" s="332"/>
      <c r="G1178" s="333">
        <f>+G1177/5</f>
        <v>4.6399999999999997</v>
      </c>
      <c r="I1178" s="334"/>
      <c r="J1178" s="334"/>
      <c r="K1178" s="334">
        <v>78.75</v>
      </c>
      <c r="L1178" s="335">
        <f t="shared" si="85"/>
        <v>78.75</v>
      </c>
      <c r="M1178" s="338">
        <f t="shared" si="86"/>
        <v>365.4</v>
      </c>
    </row>
    <row r="1179" spans="1:13" s="328" customFormat="1" ht="10.199999999999999" outlineLevel="4">
      <c r="A1179" s="328" t="s">
        <v>1044</v>
      </c>
      <c r="B1179" s="329" t="s">
        <v>929</v>
      </c>
      <c r="C1179" s="330"/>
      <c r="D1179" s="337" t="s">
        <v>1935</v>
      </c>
      <c r="E1179" s="330" t="s">
        <v>500</v>
      </c>
      <c r="F1179" s="332"/>
      <c r="G1179" s="333">
        <v>23.2</v>
      </c>
      <c r="I1179" s="334"/>
      <c r="J1179" s="334"/>
      <c r="K1179" s="334">
        <v>49.275000000000006</v>
      </c>
      <c r="L1179" s="335">
        <f t="shared" si="85"/>
        <v>49.275000000000006</v>
      </c>
      <c r="M1179" s="338">
        <f t="shared" si="86"/>
        <v>1143.18</v>
      </c>
    </row>
    <row r="1180" spans="1:13" s="422" customFormat="1" ht="10.199999999999999" outlineLevel="4">
      <c r="A1180" s="422" t="s">
        <v>1847</v>
      </c>
      <c r="B1180" s="417" t="s">
        <v>929</v>
      </c>
      <c r="C1180" s="418"/>
      <c r="D1180" s="439" t="s">
        <v>2078</v>
      </c>
      <c r="E1180" s="418" t="s">
        <v>251</v>
      </c>
      <c r="F1180" s="420"/>
      <c r="G1180" s="421">
        <v>6</v>
      </c>
      <c r="I1180" s="423"/>
      <c r="J1180" s="423"/>
      <c r="K1180" s="423">
        <v>1500</v>
      </c>
      <c r="L1180" s="424">
        <f t="shared" si="85"/>
        <v>1500</v>
      </c>
      <c r="M1180" s="134">
        <f t="shared" si="86"/>
        <v>9000</v>
      </c>
    </row>
    <row r="1181" spans="1:13" s="422" customFormat="1" ht="10.199999999999999" outlineLevel="4">
      <c r="A1181" s="422" t="s">
        <v>1847</v>
      </c>
      <c r="B1181" s="417" t="s">
        <v>929</v>
      </c>
      <c r="C1181" s="418"/>
      <c r="D1181" s="439" t="s">
        <v>2079</v>
      </c>
      <c r="E1181" s="418" t="s">
        <v>251</v>
      </c>
      <c r="F1181" s="420"/>
      <c r="G1181" s="421">
        <v>3</v>
      </c>
      <c r="I1181" s="423"/>
      <c r="J1181" s="423"/>
      <c r="K1181" s="423">
        <v>1150</v>
      </c>
      <c r="L1181" s="424">
        <f t="shared" si="85"/>
        <v>1150</v>
      </c>
      <c r="M1181" s="134">
        <f t="shared" si="86"/>
        <v>3450</v>
      </c>
    </row>
    <row r="1182" spans="1:13" s="422" customFormat="1" ht="10.199999999999999" outlineLevel="4">
      <c r="A1182" s="422" t="s">
        <v>1847</v>
      </c>
      <c r="B1182" s="417" t="s">
        <v>929</v>
      </c>
      <c r="C1182" s="418"/>
      <c r="D1182" s="439" t="s">
        <v>2080</v>
      </c>
      <c r="E1182" s="418" t="s">
        <v>251</v>
      </c>
      <c r="F1182" s="420"/>
      <c r="G1182" s="421">
        <v>3</v>
      </c>
      <c r="I1182" s="423"/>
      <c r="J1182" s="423"/>
      <c r="K1182" s="423">
        <v>1800</v>
      </c>
      <c r="L1182" s="424">
        <f t="shared" si="85"/>
        <v>1800</v>
      </c>
      <c r="M1182" s="134">
        <f t="shared" si="86"/>
        <v>5400</v>
      </c>
    </row>
    <row r="1183" spans="1:13" s="422" customFormat="1" ht="10.199999999999999" outlineLevel="4">
      <c r="A1183" s="422" t="s">
        <v>1847</v>
      </c>
      <c r="B1183" s="417" t="s">
        <v>929</v>
      </c>
      <c r="C1183" s="418"/>
      <c r="D1183" s="439" t="s">
        <v>2081</v>
      </c>
      <c r="E1183" s="418" t="s">
        <v>251</v>
      </c>
      <c r="F1183" s="420"/>
      <c r="G1183" s="421">
        <v>1</v>
      </c>
      <c r="I1183" s="423"/>
      <c r="J1183" s="423"/>
      <c r="K1183" s="423">
        <v>1700</v>
      </c>
      <c r="L1183" s="424">
        <f t="shared" si="85"/>
        <v>1700</v>
      </c>
      <c r="M1183" s="134">
        <f t="shared" si="86"/>
        <v>1700</v>
      </c>
    </row>
    <row r="1184" spans="1:13" s="118" customFormat="1" ht="10.199999999999999" outlineLevel="3">
      <c r="B1184" s="116"/>
      <c r="C1184" s="158" t="s">
        <v>2082</v>
      </c>
      <c r="D1184" s="426" t="s">
        <v>1607</v>
      </c>
      <c r="F1184" s="266"/>
      <c r="G1184" s="116"/>
      <c r="I1184" s="120"/>
      <c r="J1184" s="120"/>
      <c r="K1184" s="120"/>
      <c r="L1184" s="438">
        <v>48921.323763920183</v>
      </c>
      <c r="M1184" s="416">
        <f>SUM(M1185:M1225)</f>
        <v>89145.950580000004</v>
      </c>
    </row>
    <row r="1185" spans="1:13" s="168" customFormat="1" ht="10.199999999999999" outlineLevel="4">
      <c r="A1185" s="168" t="s">
        <v>928</v>
      </c>
      <c r="B1185" s="166" t="s">
        <v>929</v>
      </c>
      <c r="C1185" s="117" t="s">
        <v>2083</v>
      </c>
      <c r="D1185" s="379" t="s">
        <v>2084</v>
      </c>
      <c r="E1185" s="117" t="s">
        <v>135</v>
      </c>
      <c r="F1185" s="142"/>
      <c r="G1185" s="167">
        <v>7.6</v>
      </c>
      <c r="H1185" s="212"/>
      <c r="I1185" s="169"/>
      <c r="J1185" s="169"/>
      <c r="K1185" s="169">
        <f>15.85*0</f>
        <v>0</v>
      </c>
      <c r="L1185" s="273">
        <f>SUM(H1185:K1185)</f>
        <v>0</v>
      </c>
      <c r="M1185" s="143">
        <f t="shared" ref="M1185:M1225" si="87">+L1185*G1185</f>
        <v>0</v>
      </c>
    </row>
    <row r="1186" spans="1:13" s="422" customFormat="1" ht="20.399999999999999" outlineLevel="4">
      <c r="A1186" s="422" t="s">
        <v>1838</v>
      </c>
      <c r="B1186" s="417" t="s">
        <v>929</v>
      </c>
      <c r="C1186" s="418" t="s">
        <v>2085</v>
      </c>
      <c r="D1186" s="439" t="s">
        <v>2086</v>
      </c>
      <c r="E1186" s="418" t="s">
        <v>346</v>
      </c>
      <c r="F1186" s="420"/>
      <c r="G1186" s="421">
        <v>35.5</v>
      </c>
      <c r="I1186" s="423"/>
      <c r="J1186" s="423"/>
      <c r="K1186" s="423">
        <v>110</v>
      </c>
      <c r="L1186" s="424">
        <f t="shared" ref="L1186:L1225" si="88">SUM(H1186:K1186)</f>
        <v>110</v>
      </c>
      <c r="M1186" s="134">
        <f t="shared" si="87"/>
        <v>3905</v>
      </c>
    </row>
    <row r="1187" spans="1:13" s="422" customFormat="1" ht="10.199999999999999" outlineLevel="4">
      <c r="A1187" s="422" t="s">
        <v>1838</v>
      </c>
      <c r="B1187" s="417" t="s">
        <v>929</v>
      </c>
      <c r="C1187" s="418"/>
      <c r="D1187" s="439" t="s">
        <v>2087</v>
      </c>
      <c r="E1187" s="418"/>
      <c r="F1187" s="420"/>
      <c r="G1187" s="421">
        <v>10</v>
      </c>
      <c r="I1187" s="423"/>
      <c r="J1187" s="423"/>
      <c r="K1187" s="423">
        <v>110</v>
      </c>
      <c r="L1187" s="424">
        <f t="shared" si="88"/>
        <v>110</v>
      </c>
      <c r="M1187" s="134">
        <f t="shared" si="87"/>
        <v>1100</v>
      </c>
    </row>
    <row r="1188" spans="1:13" s="168" customFormat="1" ht="20.399999999999999" outlineLevel="4">
      <c r="A1188" s="168" t="s">
        <v>1838</v>
      </c>
      <c r="B1188" s="166" t="s">
        <v>929</v>
      </c>
      <c r="C1188" s="117" t="s">
        <v>2088</v>
      </c>
      <c r="D1188" s="379" t="s">
        <v>2089</v>
      </c>
      <c r="E1188" s="117" t="s">
        <v>500</v>
      </c>
      <c r="F1188" s="142"/>
      <c r="G1188" s="167">
        <v>18.82</v>
      </c>
      <c r="I1188" s="169"/>
      <c r="J1188" s="169"/>
      <c r="K1188" s="169">
        <f>180*0</f>
        <v>0</v>
      </c>
      <c r="L1188" s="273">
        <f t="shared" si="88"/>
        <v>0</v>
      </c>
      <c r="M1188" s="143">
        <f t="shared" si="87"/>
        <v>0</v>
      </c>
    </row>
    <row r="1189" spans="1:13" s="255" customFormat="1" ht="20.399999999999999" outlineLevel="4">
      <c r="A1189" s="255" t="s">
        <v>1841</v>
      </c>
      <c r="B1189" s="269" t="s">
        <v>929</v>
      </c>
      <c r="C1189" s="244" t="s">
        <v>2090</v>
      </c>
      <c r="D1189" s="429" t="s">
        <v>2091</v>
      </c>
      <c r="E1189" s="244" t="s">
        <v>346</v>
      </c>
      <c r="F1189" s="271"/>
      <c r="G1189" s="254">
        <v>37.33</v>
      </c>
      <c r="H1189" s="256"/>
      <c r="I1189" s="256">
        <f>+((25*3.8)+8+1)*1.15</f>
        <v>119.6</v>
      </c>
      <c r="J1189" s="256"/>
      <c r="K1189" s="256">
        <v>30</v>
      </c>
      <c r="L1189" s="272">
        <f t="shared" si="88"/>
        <v>149.6</v>
      </c>
      <c r="M1189" s="258">
        <f t="shared" si="87"/>
        <v>5584.5679999999993</v>
      </c>
    </row>
    <row r="1190" spans="1:13" s="280" customFormat="1" ht="20.399999999999999" outlineLevel="4">
      <c r="A1190" s="280" t="s">
        <v>1841</v>
      </c>
      <c r="B1190" s="367" t="s">
        <v>929</v>
      </c>
      <c r="C1190" s="368" t="s">
        <v>2092</v>
      </c>
      <c r="D1190" s="442" t="s">
        <v>2093</v>
      </c>
      <c r="E1190" s="368" t="s">
        <v>550</v>
      </c>
      <c r="F1190" s="370"/>
      <c r="G1190" s="279">
        <v>24.06</v>
      </c>
      <c r="H1190" s="281"/>
      <c r="I1190" s="281">
        <v>30</v>
      </c>
      <c r="J1190" s="281"/>
      <c r="K1190" s="281">
        <v>15</v>
      </c>
      <c r="L1190" s="282">
        <f t="shared" si="88"/>
        <v>45</v>
      </c>
      <c r="M1190" s="283">
        <f t="shared" si="87"/>
        <v>1082.7</v>
      </c>
    </row>
    <row r="1191" spans="1:13" s="422" customFormat="1" ht="10.199999999999999" outlineLevel="4">
      <c r="A1191" s="422" t="s">
        <v>1831</v>
      </c>
      <c r="B1191" s="417" t="s">
        <v>929</v>
      </c>
      <c r="C1191" s="418" t="s">
        <v>2094</v>
      </c>
      <c r="D1191" s="439" t="s">
        <v>2095</v>
      </c>
      <c r="E1191" s="418" t="s">
        <v>1025</v>
      </c>
      <c r="F1191" s="420"/>
      <c r="G1191" s="421">
        <v>25.2</v>
      </c>
      <c r="H1191" s="423"/>
      <c r="I1191" s="423"/>
      <c r="J1191" s="423"/>
      <c r="K1191" s="423">
        <v>100</v>
      </c>
      <c r="L1191" s="424">
        <f t="shared" si="88"/>
        <v>100</v>
      </c>
      <c r="M1191" s="134">
        <f t="shared" si="87"/>
        <v>2520</v>
      </c>
    </row>
    <row r="1192" spans="1:13" s="422" customFormat="1" ht="20.399999999999999" outlineLevel="4">
      <c r="A1192" s="422" t="s">
        <v>1831</v>
      </c>
      <c r="B1192" s="417" t="s">
        <v>929</v>
      </c>
      <c r="C1192" s="418" t="s">
        <v>2096</v>
      </c>
      <c r="D1192" s="439" t="s">
        <v>2097</v>
      </c>
      <c r="E1192" s="418" t="s">
        <v>1025</v>
      </c>
      <c r="F1192" s="420"/>
      <c r="G1192" s="421">
        <v>24.366</v>
      </c>
      <c r="I1192" s="423"/>
      <c r="J1192" s="423"/>
      <c r="K1192" s="423">
        <f>18*0</f>
        <v>0</v>
      </c>
      <c r="L1192" s="424">
        <f t="shared" si="88"/>
        <v>0</v>
      </c>
      <c r="M1192" s="134">
        <f t="shared" si="87"/>
        <v>0</v>
      </c>
    </row>
    <row r="1193" spans="1:13" s="422" customFormat="1" ht="14.1" customHeight="1" outlineLevel="4">
      <c r="A1193" s="422" t="s">
        <v>1986</v>
      </c>
      <c r="B1193" s="417" t="s">
        <v>929</v>
      </c>
      <c r="C1193" s="418" t="s">
        <v>2098</v>
      </c>
      <c r="D1193" s="443" t="s">
        <v>2099</v>
      </c>
      <c r="E1193" s="418" t="s">
        <v>251</v>
      </c>
      <c r="F1193" s="420"/>
      <c r="G1193" s="421">
        <v>1</v>
      </c>
      <c r="I1193" s="423"/>
      <c r="J1193" s="423"/>
      <c r="K1193" s="423">
        <v>3110.0339999999997</v>
      </c>
      <c r="L1193" s="424">
        <f t="shared" si="88"/>
        <v>3110.0339999999997</v>
      </c>
      <c r="M1193" s="134">
        <f t="shared" si="87"/>
        <v>3110.0339999999997</v>
      </c>
    </row>
    <row r="1194" spans="1:13" s="422" customFormat="1" ht="22.5" customHeight="1" outlineLevel="4">
      <c r="A1194" s="422" t="s">
        <v>1986</v>
      </c>
      <c r="B1194" s="417" t="s">
        <v>929</v>
      </c>
      <c r="C1194" s="418" t="s">
        <v>2100</v>
      </c>
      <c r="D1194" s="443" t="s">
        <v>2101</v>
      </c>
      <c r="E1194" s="418" t="s">
        <v>251</v>
      </c>
      <c r="F1194" s="420"/>
      <c r="G1194" s="421">
        <v>1</v>
      </c>
      <c r="I1194" s="423"/>
      <c r="J1194" s="423"/>
      <c r="K1194" s="423">
        <v>15811.001999999999</v>
      </c>
      <c r="L1194" s="424">
        <f t="shared" si="88"/>
        <v>15811.001999999999</v>
      </c>
      <c r="M1194" s="134">
        <f t="shared" si="87"/>
        <v>15811.001999999999</v>
      </c>
    </row>
    <row r="1195" spans="1:13" s="422" customFormat="1" ht="27.9" customHeight="1" outlineLevel="4">
      <c r="A1195" s="422" t="s">
        <v>1986</v>
      </c>
      <c r="B1195" s="417" t="s">
        <v>929</v>
      </c>
      <c r="C1195" s="418" t="s">
        <v>2102</v>
      </c>
      <c r="D1195" s="443" t="s">
        <v>2103</v>
      </c>
      <c r="E1195" s="418" t="s">
        <v>251</v>
      </c>
      <c r="F1195" s="420"/>
      <c r="G1195" s="421">
        <v>1</v>
      </c>
      <c r="I1195" s="423"/>
      <c r="J1195" s="423"/>
      <c r="K1195" s="423">
        <v>8763.8510800000004</v>
      </c>
      <c r="L1195" s="424">
        <f t="shared" si="88"/>
        <v>8763.8510800000004</v>
      </c>
      <c r="M1195" s="134">
        <f t="shared" si="87"/>
        <v>8763.8510800000004</v>
      </c>
    </row>
    <row r="1196" spans="1:13" s="422" customFormat="1" ht="10.199999999999999" outlineLevel="4">
      <c r="A1196" s="422" t="s">
        <v>1888</v>
      </c>
      <c r="B1196" s="417" t="s">
        <v>929</v>
      </c>
      <c r="C1196" s="418" t="s">
        <v>2104</v>
      </c>
      <c r="D1196" s="439" t="s">
        <v>2105</v>
      </c>
      <c r="E1196" s="418" t="s">
        <v>890</v>
      </c>
      <c r="F1196" s="420"/>
      <c r="G1196" s="421">
        <v>1</v>
      </c>
      <c r="I1196" s="423"/>
      <c r="J1196" s="423"/>
      <c r="K1196" s="423">
        <v>5200</v>
      </c>
      <c r="L1196" s="424">
        <f t="shared" si="88"/>
        <v>5200</v>
      </c>
      <c r="M1196" s="134">
        <f t="shared" si="87"/>
        <v>5200</v>
      </c>
    </row>
    <row r="1197" spans="1:13" s="422" customFormat="1" ht="10.199999999999999" outlineLevel="4">
      <c r="A1197" s="422" t="s">
        <v>1881</v>
      </c>
      <c r="B1197" s="417" t="s">
        <v>929</v>
      </c>
      <c r="C1197" s="418" t="s">
        <v>2106</v>
      </c>
      <c r="D1197" s="439" t="s">
        <v>2107</v>
      </c>
      <c r="E1197" s="418" t="s">
        <v>890</v>
      </c>
      <c r="F1197" s="420"/>
      <c r="G1197" s="421">
        <v>1</v>
      </c>
      <c r="I1197" s="423">
        <v>584</v>
      </c>
      <c r="J1197" s="423"/>
      <c r="K1197" s="423"/>
      <c r="L1197" s="424">
        <f t="shared" si="88"/>
        <v>584</v>
      </c>
      <c r="M1197" s="134">
        <f t="shared" si="87"/>
        <v>584</v>
      </c>
    </row>
    <row r="1198" spans="1:13" s="422" customFormat="1" ht="10.199999999999999" outlineLevel="4">
      <c r="A1198" s="422" t="s">
        <v>1881</v>
      </c>
      <c r="B1198" s="417" t="s">
        <v>929</v>
      </c>
      <c r="C1198" s="418" t="s">
        <v>2108</v>
      </c>
      <c r="D1198" s="439" t="s">
        <v>2109</v>
      </c>
      <c r="E1198" s="418" t="s">
        <v>890</v>
      </c>
      <c r="F1198" s="420"/>
      <c r="G1198" s="421">
        <v>1</v>
      </c>
      <c r="I1198" s="423">
        <v>477</v>
      </c>
      <c r="J1198" s="423"/>
      <c r="K1198" s="423"/>
      <c r="L1198" s="424">
        <f t="shared" si="88"/>
        <v>477</v>
      </c>
      <c r="M1198" s="134">
        <f t="shared" si="87"/>
        <v>477</v>
      </c>
    </row>
    <row r="1199" spans="1:13" s="422" customFormat="1" ht="10.199999999999999" outlineLevel="4">
      <c r="A1199" s="422" t="s">
        <v>1986</v>
      </c>
      <c r="B1199" s="417" t="s">
        <v>929</v>
      </c>
      <c r="C1199" s="418" t="s">
        <v>2110</v>
      </c>
      <c r="D1199" s="439" t="s">
        <v>2111</v>
      </c>
      <c r="E1199" s="418" t="s">
        <v>1025</v>
      </c>
      <c r="F1199" s="420"/>
      <c r="G1199" s="421">
        <v>1</v>
      </c>
      <c r="I1199" s="423">
        <v>3500</v>
      </c>
      <c r="J1199" s="423"/>
      <c r="K1199" s="423"/>
      <c r="L1199" s="424">
        <f t="shared" si="88"/>
        <v>3500</v>
      </c>
      <c r="M1199" s="134">
        <f t="shared" si="87"/>
        <v>3500</v>
      </c>
    </row>
    <row r="1200" spans="1:13" s="422" customFormat="1" ht="20.399999999999999" outlineLevel="4">
      <c r="A1200" s="422" t="s">
        <v>1986</v>
      </c>
      <c r="B1200" s="417" t="s">
        <v>929</v>
      </c>
      <c r="C1200" s="418" t="s">
        <v>2112</v>
      </c>
      <c r="D1200" s="439" t="s">
        <v>2113</v>
      </c>
      <c r="E1200" s="418" t="s">
        <v>550</v>
      </c>
      <c r="F1200" s="420"/>
      <c r="G1200" s="421">
        <v>4</v>
      </c>
      <c r="I1200" s="423"/>
      <c r="J1200" s="423"/>
      <c r="K1200" s="423">
        <v>110</v>
      </c>
      <c r="L1200" s="424">
        <f t="shared" si="88"/>
        <v>110</v>
      </c>
      <c r="M1200" s="134">
        <f t="shared" si="87"/>
        <v>440</v>
      </c>
    </row>
    <row r="1201" spans="1:13" s="422" customFormat="1" ht="10.199999999999999" outlineLevel="4">
      <c r="A1201" s="422" t="s">
        <v>1847</v>
      </c>
      <c r="B1201" s="417" t="s">
        <v>929</v>
      </c>
      <c r="C1201" s="418"/>
      <c r="D1201" s="439" t="s">
        <v>2114</v>
      </c>
      <c r="E1201" s="418" t="s">
        <v>251</v>
      </c>
      <c r="F1201" s="420"/>
      <c r="G1201" s="421">
        <v>1</v>
      </c>
      <c r="I1201" s="423"/>
      <c r="J1201" s="423"/>
      <c r="K1201" s="423">
        <v>980</v>
      </c>
      <c r="L1201" s="424">
        <f t="shared" si="88"/>
        <v>980</v>
      </c>
      <c r="M1201" s="134">
        <f t="shared" si="87"/>
        <v>980</v>
      </c>
    </row>
    <row r="1202" spans="1:13" s="422" customFormat="1" ht="30.6" outlineLevel="4">
      <c r="A1202" s="422" t="s">
        <v>1847</v>
      </c>
      <c r="B1202" s="417" t="s">
        <v>929</v>
      </c>
      <c r="C1202" s="418"/>
      <c r="D1202" s="439" t="s">
        <v>2115</v>
      </c>
      <c r="E1202" s="418" t="s">
        <v>228</v>
      </c>
      <c r="F1202" s="420"/>
      <c r="G1202" s="421">
        <v>1</v>
      </c>
      <c r="I1202" s="423"/>
      <c r="J1202" s="423"/>
      <c r="K1202" s="423">
        <v>3800</v>
      </c>
      <c r="L1202" s="424">
        <f t="shared" si="88"/>
        <v>3800</v>
      </c>
      <c r="M1202" s="134">
        <f t="shared" si="87"/>
        <v>3800</v>
      </c>
    </row>
    <row r="1203" spans="1:13" s="422" customFormat="1" ht="30.6" outlineLevel="4">
      <c r="A1203" s="422" t="s">
        <v>1847</v>
      </c>
      <c r="B1203" s="417" t="s">
        <v>929</v>
      </c>
      <c r="C1203" s="418"/>
      <c r="D1203" s="439" t="s">
        <v>2116</v>
      </c>
      <c r="E1203" s="418" t="s">
        <v>228</v>
      </c>
      <c r="F1203" s="420"/>
      <c r="G1203" s="421">
        <v>1</v>
      </c>
      <c r="I1203" s="423"/>
      <c r="J1203" s="423"/>
      <c r="K1203" s="423">
        <v>1500</v>
      </c>
      <c r="L1203" s="424">
        <f t="shared" si="88"/>
        <v>1500</v>
      </c>
      <c r="M1203" s="134">
        <f t="shared" si="87"/>
        <v>1500</v>
      </c>
    </row>
    <row r="1204" spans="1:13" s="422" customFormat="1" ht="20.399999999999999" outlineLevel="4">
      <c r="A1204" s="422" t="s">
        <v>1847</v>
      </c>
      <c r="B1204" s="417" t="s">
        <v>929</v>
      </c>
      <c r="C1204" s="418"/>
      <c r="D1204" s="439" t="s">
        <v>2117</v>
      </c>
      <c r="E1204" s="418" t="s">
        <v>251</v>
      </c>
      <c r="F1204" s="420"/>
      <c r="G1204" s="421">
        <v>2</v>
      </c>
      <c r="I1204" s="423"/>
      <c r="J1204" s="423"/>
      <c r="K1204" s="423">
        <v>550</v>
      </c>
      <c r="L1204" s="424">
        <f t="shared" si="88"/>
        <v>550</v>
      </c>
      <c r="M1204" s="134">
        <f t="shared" si="87"/>
        <v>1100</v>
      </c>
    </row>
    <row r="1205" spans="1:13" s="422" customFormat="1" ht="20.399999999999999" outlineLevel="4">
      <c r="A1205" s="422" t="s">
        <v>1847</v>
      </c>
      <c r="B1205" s="417" t="s">
        <v>929</v>
      </c>
      <c r="C1205" s="418"/>
      <c r="D1205" s="439" t="s">
        <v>2118</v>
      </c>
      <c r="E1205" s="418" t="s">
        <v>251</v>
      </c>
      <c r="F1205" s="420"/>
      <c r="G1205" s="421">
        <v>1</v>
      </c>
      <c r="I1205" s="423"/>
      <c r="J1205" s="423"/>
      <c r="K1205" s="423">
        <v>580</v>
      </c>
      <c r="L1205" s="424">
        <f t="shared" si="88"/>
        <v>580</v>
      </c>
      <c r="M1205" s="134">
        <f t="shared" si="87"/>
        <v>580</v>
      </c>
    </row>
    <row r="1206" spans="1:13" s="422" customFormat="1" ht="10.199999999999999" outlineLevel="4">
      <c r="A1206" s="422" t="s">
        <v>1847</v>
      </c>
      <c r="B1206" s="417" t="s">
        <v>929</v>
      </c>
      <c r="C1206" s="418"/>
      <c r="D1206" s="439" t="s">
        <v>2119</v>
      </c>
      <c r="E1206" s="418" t="s">
        <v>251</v>
      </c>
      <c r="F1206" s="420"/>
      <c r="G1206" s="421">
        <v>1</v>
      </c>
      <c r="I1206" s="423"/>
      <c r="J1206" s="423"/>
      <c r="K1206" s="423">
        <v>1000</v>
      </c>
      <c r="L1206" s="424">
        <f t="shared" si="88"/>
        <v>1000</v>
      </c>
      <c r="M1206" s="134">
        <f t="shared" si="87"/>
        <v>1000</v>
      </c>
    </row>
    <row r="1207" spans="1:13" s="422" customFormat="1" ht="10.199999999999999" outlineLevel="4">
      <c r="A1207" s="422" t="s">
        <v>1847</v>
      </c>
      <c r="B1207" s="417" t="s">
        <v>929</v>
      </c>
      <c r="C1207" s="418"/>
      <c r="D1207" s="439" t="s">
        <v>2120</v>
      </c>
      <c r="E1207" s="418" t="s">
        <v>251</v>
      </c>
      <c r="F1207" s="420"/>
      <c r="G1207" s="421">
        <v>1</v>
      </c>
      <c r="I1207" s="423"/>
      <c r="J1207" s="423"/>
      <c r="K1207" s="423">
        <v>80</v>
      </c>
      <c r="L1207" s="424">
        <f t="shared" si="88"/>
        <v>80</v>
      </c>
      <c r="M1207" s="134">
        <f t="shared" si="87"/>
        <v>80</v>
      </c>
    </row>
    <row r="1208" spans="1:13" s="422" customFormat="1" ht="40.799999999999997" outlineLevel="4">
      <c r="A1208" s="422" t="s">
        <v>1847</v>
      </c>
      <c r="B1208" s="417" t="s">
        <v>929</v>
      </c>
      <c r="C1208" s="418"/>
      <c r="D1208" s="439" t="s">
        <v>2121</v>
      </c>
      <c r="E1208" s="418" t="s">
        <v>228</v>
      </c>
      <c r="F1208" s="420"/>
      <c r="G1208" s="421">
        <v>1</v>
      </c>
      <c r="I1208" s="423"/>
      <c r="J1208" s="423"/>
      <c r="K1208" s="423">
        <v>10200</v>
      </c>
      <c r="L1208" s="424">
        <f t="shared" si="88"/>
        <v>10200</v>
      </c>
      <c r="M1208" s="134">
        <f t="shared" si="87"/>
        <v>10200</v>
      </c>
    </row>
    <row r="1209" spans="1:13" s="422" customFormat="1" ht="10.199999999999999" outlineLevel="4">
      <c r="A1209" s="422" t="s">
        <v>1881</v>
      </c>
      <c r="B1209" s="417" t="s">
        <v>929</v>
      </c>
      <c r="C1209" s="418"/>
      <c r="D1209" s="439" t="s">
        <v>2122</v>
      </c>
      <c r="E1209" s="418" t="s">
        <v>228</v>
      </c>
      <c r="F1209" s="420"/>
      <c r="G1209" s="421">
        <v>1</v>
      </c>
      <c r="I1209" s="423">
        <v>200</v>
      </c>
      <c r="J1209" s="423"/>
      <c r="K1209" s="423"/>
      <c r="L1209" s="424">
        <f t="shared" si="88"/>
        <v>200</v>
      </c>
      <c r="M1209" s="134">
        <f t="shared" si="87"/>
        <v>200</v>
      </c>
    </row>
    <row r="1210" spans="1:13" s="422" customFormat="1" ht="10.199999999999999" outlineLevel="4">
      <c r="A1210" s="422" t="s">
        <v>1847</v>
      </c>
      <c r="B1210" s="417" t="s">
        <v>929</v>
      </c>
      <c r="C1210" s="418"/>
      <c r="D1210" s="439" t="s">
        <v>2123</v>
      </c>
      <c r="E1210" s="418" t="s">
        <v>251</v>
      </c>
      <c r="F1210" s="420"/>
      <c r="G1210" s="421">
        <v>1</v>
      </c>
      <c r="I1210" s="423">
        <v>650</v>
      </c>
      <c r="J1210" s="423"/>
      <c r="K1210" s="423"/>
      <c r="L1210" s="424">
        <f t="shared" si="88"/>
        <v>650</v>
      </c>
      <c r="M1210" s="134">
        <f t="shared" si="87"/>
        <v>650</v>
      </c>
    </row>
    <row r="1211" spans="1:13" s="422" customFormat="1" ht="10.199999999999999" outlineLevel="4">
      <c r="A1211" s="422" t="s">
        <v>1847</v>
      </c>
      <c r="B1211" s="417" t="s">
        <v>929</v>
      </c>
      <c r="C1211" s="418"/>
      <c r="D1211" s="439" t="s">
        <v>2124</v>
      </c>
      <c r="E1211" s="418" t="s">
        <v>251</v>
      </c>
      <c r="F1211" s="420"/>
      <c r="G1211" s="421">
        <v>1</v>
      </c>
      <c r="I1211" s="423">
        <v>310</v>
      </c>
      <c r="J1211" s="423"/>
      <c r="K1211" s="423"/>
      <c r="L1211" s="424">
        <f t="shared" si="88"/>
        <v>310</v>
      </c>
      <c r="M1211" s="134">
        <f t="shared" si="87"/>
        <v>310</v>
      </c>
    </row>
    <row r="1212" spans="1:13" s="422" customFormat="1" ht="10.199999999999999" outlineLevel="4">
      <c r="A1212" s="422" t="s">
        <v>1044</v>
      </c>
      <c r="B1212" s="417" t="s">
        <v>929</v>
      </c>
      <c r="C1212" s="418"/>
      <c r="D1212" s="439" t="s">
        <v>2125</v>
      </c>
      <c r="E1212" s="418" t="s">
        <v>500</v>
      </c>
      <c r="F1212" s="420"/>
      <c r="G1212" s="421">
        <v>19</v>
      </c>
      <c r="I1212" s="423">
        <v>49.275000000000006</v>
      </c>
      <c r="J1212" s="423"/>
      <c r="K1212" s="423"/>
      <c r="L1212" s="424">
        <f t="shared" si="88"/>
        <v>49.275000000000006</v>
      </c>
      <c r="M1212" s="134">
        <f t="shared" si="87"/>
        <v>936.22500000000014</v>
      </c>
    </row>
    <row r="1213" spans="1:13" s="422" customFormat="1" ht="10.199999999999999" outlineLevel="4">
      <c r="A1213" s="422" t="s">
        <v>1044</v>
      </c>
      <c r="B1213" s="417" t="s">
        <v>929</v>
      </c>
      <c r="C1213" s="418"/>
      <c r="D1213" s="439" t="s">
        <v>2126</v>
      </c>
      <c r="E1213" s="418" t="s">
        <v>500</v>
      </c>
      <c r="F1213" s="420"/>
      <c r="G1213" s="421">
        <v>7</v>
      </c>
      <c r="I1213" s="423">
        <v>49.275000000000006</v>
      </c>
      <c r="J1213" s="423"/>
      <c r="K1213" s="423"/>
      <c r="L1213" s="424">
        <f t="shared" si="88"/>
        <v>49.275000000000006</v>
      </c>
      <c r="M1213" s="134">
        <f t="shared" si="87"/>
        <v>344.92500000000007</v>
      </c>
    </row>
    <row r="1214" spans="1:13" s="328" customFormat="1" ht="20.399999999999999" outlineLevel="4">
      <c r="A1214" s="328" t="s">
        <v>1044</v>
      </c>
      <c r="B1214" s="329" t="s">
        <v>929</v>
      </c>
      <c r="C1214" s="330"/>
      <c r="D1214" s="337" t="s">
        <v>2127</v>
      </c>
      <c r="E1214" s="330" t="s">
        <v>251</v>
      </c>
      <c r="F1214" s="332"/>
      <c r="G1214" s="333">
        <v>18</v>
      </c>
      <c r="I1214" s="334">
        <v>40</v>
      </c>
      <c r="J1214" s="334"/>
      <c r="K1214" s="334"/>
      <c r="L1214" s="335">
        <f t="shared" si="88"/>
        <v>40</v>
      </c>
      <c r="M1214" s="338">
        <f t="shared" si="87"/>
        <v>720</v>
      </c>
    </row>
    <row r="1215" spans="1:13" s="328" customFormat="1" ht="10.199999999999999" outlineLevel="4">
      <c r="A1215" s="328" t="s">
        <v>1044</v>
      </c>
      <c r="B1215" s="329" t="s">
        <v>929</v>
      </c>
      <c r="C1215" s="330"/>
      <c r="D1215" s="337" t="s">
        <v>1866</v>
      </c>
      <c r="E1215" s="330" t="s">
        <v>500</v>
      </c>
      <c r="F1215" s="332"/>
      <c r="G1215" s="333">
        <v>19</v>
      </c>
      <c r="I1215" s="334"/>
      <c r="J1215" s="334"/>
      <c r="K1215" s="334">
        <f>235.91/5</f>
        <v>47.182000000000002</v>
      </c>
      <c r="L1215" s="335">
        <f t="shared" si="88"/>
        <v>47.182000000000002</v>
      </c>
      <c r="M1215" s="338">
        <f t="shared" si="87"/>
        <v>896.45800000000008</v>
      </c>
    </row>
    <row r="1216" spans="1:13" s="328" customFormat="1" ht="10.199999999999999" outlineLevel="4">
      <c r="A1216" s="328" t="s">
        <v>1044</v>
      </c>
      <c r="B1216" s="329" t="s">
        <v>929</v>
      </c>
      <c r="C1216" s="330"/>
      <c r="D1216" s="337" t="s">
        <v>1867</v>
      </c>
      <c r="E1216" s="330" t="s">
        <v>251</v>
      </c>
      <c r="F1216" s="332"/>
      <c r="G1216" s="333">
        <f>+G1215/5</f>
        <v>3.8</v>
      </c>
      <c r="I1216" s="334"/>
      <c r="J1216" s="334"/>
      <c r="K1216" s="334">
        <v>78.75</v>
      </c>
      <c r="L1216" s="335">
        <f t="shared" si="88"/>
        <v>78.75</v>
      </c>
      <c r="M1216" s="338">
        <f t="shared" si="87"/>
        <v>299.25</v>
      </c>
    </row>
    <row r="1217" spans="1:13" s="328" customFormat="1" ht="10.199999999999999" outlineLevel="4">
      <c r="A1217" s="328" t="s">
        <v>1044</v>
      </c>
      <c r="B1217" s="329" t="s">
        <v>929</v>
      </c>
      <c r="C1217" s="330"/>
      <c r="D1217" s="337" t="s">
        <v>1868</v>
      </c>
      <c r="E1217" s="330" t="s">
        <v>500</v>
      </c>
      <c r="F1217" s="332"/>
      <c r="G1217" s="333">
        <v>19</v>
      </c>
      <c r="I1217" s="334"/>
      <c r="J1217" s="334"/>
      <c r="K1217" s="334">
        <f>101.25/4</f>
        <v>25.3125</v>
      </c>
      <c r="L1217" s="335">
        <f t="shared" si="88"/>
        <v>25.3125</v>
      </c>
      <c r="M1217" s="338">
        <f t="shared" si="87"/>
        <v>480.9375</v>
      </c>
    </row>
    <row r="1218" spans="1:13" s="422" customFormat="1" ht="10.199999999999999" outlineLevel="4">
      <c r="A1218" s="422" t="s">
        <v>1044</v>
      </c>
      <c r="B1218" s="417" t="s">
        <v>929</v>
      </c>
      <c r="C1218" s="418"/>
      <c r="D1218" s="439" t="s">
        <v>2128</v>
      </c>
      <c r="E1218" s="418" t="s">
        <v>228</v>
      </c>
      <c r="F1218" s="420"/>
      <c r="G1218" s="421">
        <v>1</v>
      </c>
      <c r="I1218" s="423">
        <v>220</v>
      </c>
      <c r="J1218" s="423"/>
      <c r="K1218" s="423"/>
      <c r="L1218" s="424">
        <f t="shared" si="88"/>
        <v>220</v>
      </c>
      <c r="M1218" s="134">
        <f t="shared" si="87"/>
        <v>220</v>
      </c>
    </row>
    <row r="1219" spans="1:13" s="422" customFormat="1" ht="10.199999999999999" outlineLevel="4">
      <c r="A1219" s="422" t="s">
        <v>1847</v>
      </c>
      <c r="B1219" s="417" t="s">
        <v>929</v>
      </c>
      <c r="C1219" s="418"/>
      <c r="D1219" s="439" t="s">
        <v>2129</v>
      </c>
      <c r="E1219" s="418" t="s">
        <v>251</v>
      </c>
      <c r="F1219" s="420"/>
      <c r="G1219" s="421">
        <v>2</v>
      </c>
      <c r="I1219" s="423">
        <v>1500</v>
      </c>
      <c r="J1219" s="423"/>
      <c r="K1219" s="423"/>
      <c r="L1219" s="424">
        <f t="shared" si="88"/>
        <v>1500</v>
      </c>
      <c r="M1219" s="134">
        <f t="shared" si="87"/>
        <v>3000</v>
      </c>
    </row>
    <row r="1220" spans="1:13" s="422" customFormat="1" ht="20.399999999999999" outlineLevel="4">
      <c r="A1220" s="422" t="s">
        <v>1847</v>
      </c>
      <c r="B1220" s="417" t="s">
        <v>929</v>
      </c>
      <c r="C1220" s="418"/>
      <c r="D1220" s="439" t="s">
        <v>2130</v>
      </c>
      <c r="E1220" s="418" t="s">
        <v>251</v>
      </c>
      <c r="F1220" s="420"/>
      <c r="G1220" s="421">
        <v>2</v>
      </c>
      <c r="I1220" s="423">
        <v>780</v>
      </c>
      <c r="J1220" s="423"/>
      <c r="K1220" s="423"/>
      <c r="L1220" s="424">
        <f t="shared" si="88"/>
        <v>780</v>
      </c>
      <c r="M1220" s="134">
        <f t="shared" si="87"/>
        <v>1560</v>
      </c>
    </row>
    <row r="1221" spans="1:13" s="422" customFormat="1" ht="10.199999999999999" outlineLevel="4">
      <c r="A1221" s="422" t="s">
        <v>1847</v>
      </c>
      <c r="B1221" s="417" t="s">
        <v>929</v>
      </c>
      <c r="C1221" s="418"/>
      <c r="D1221" s="439" t="s">
        <v>2131</v>
      </c>
      <c r="E1221" s="418" t="s">
        <v>251</v>
      </c>
      <c r="F1221" s="420"/>
      <c r="G1221" s="421">
        <v>1</v>
      </c>
      <c r="I1221" s="423">
        <v>950</v>
      </c>
      <c r="J1221" s="423"/>
      <c r="K1221" s="423"/>
      <c r="L1221" s="424">
        <f t="shared" si="88"/>
        <v>950</v>
      </c>
      <c r="M1221" s="134">
        <f t="shared" si="87"/>
        <v>950</v>
      </c>
    </row>
    <row r="1222" spans="1:13" s="422" customFormat="1" ht="10.199999999999999" outlineLevel="4">
      <c r="A1222" s="422" t="s">
        <v>1847</v>
      </c>
      <c r="B1222" s="417" t="s">
        <v>929</v>
      </c>
      <c r="C1222" s="418"/>
      <c r="D1222" s="439" t="s">
        <v>2132</v>
      </c>
      <c r="E1222" s="418" t="s">
        <v>251</v>
      </c>
      <c r="F1222" s="420"/>
      <c r="G1222" s="421">
        <v>1</v>
      </c>
      <c r="I1222" s="423">
        <v>980</v>
      </c>
      <c r="J1222" s="423"/>
      <c r="K1222" s="423"/>
      <c r="L1222" s="424">
        <f t="shared" si="88"/>
        <v>980</v>
      </c>
      <c r="M1222" s="134">
        <f t="shared" si="87"/>
        <v>980</v>
      </c>
    </row>
    <row r="1223" spans="1:13" s="422" customFormat="1" ht="10.199999999999999" outlineLevel="4">
      <c r="A1223" s="422" t="s">
        <v>1847</v>
      </c>
      <c r="B1223" s="417" t="s">
        <v>929</v>
      </c>
      <c r="C1223" s="418"/>
      <c r="D1223" s="439" t="s">
        <v>2133</v>
      </c>
      <c r="E1223" s="418" t="s">
        <v>251</v>
      </c>
      <c r="F1223" s="420"/>
      <c r="G1223" s="421">
        <v>5</v>
      </c>
      <c r="I1223" s="423">
        <v>680</v>
      </c>
      <c r="J1223" s="423"/>
      <c r="K1223" s="423"/>
      <c r="L1223" s="424">
        <f t="shared" si="88"/>
        <v>680</v>
      </c>
      <c r="M1223" s="134">
        <f t="shared" si="87"/>
        <v>3400</v>
      </c>
    </row>
    <row r="1224" spans="1:13" s="422" customFormat="1" ht="10.199999999999999" outlineLevel="4">
      <c r="A1224" s="422" t="s">
        <v>1847</v>
      </c>
      <c r="B1224" s="417" t="s">
        <v>929</v>
      </c>
      <c r="C1224" s="418"/>
      <c r="D1224" s="439" t="s">
        <v>2134</v>
      </c>
      <c r="E1224" s="418" t="s">
        <v>251</v>
      </c>
      <c r="F1224" s="420"/>
      <c r="G1224" s="421">
        <v>4</v>
      </c>
      <c r="I1224" s="423">
        <v>720</v>
      </c>
      <c r="J1224" s="423"/>
      <c r="K1224" s="423"/>
      <c r="L1224" s="424">
        <f t="shared" si="88"/>
        <v>720</v>
      </c>
      <c r="M1224" s="134">
        <f t="shared" si="87"/>
        <v>2880</v>
      </c>
    </row>
    <row r="1225" spans="1:13" s="168" customFormat="1" ht="20.399999999999999" outlineLevel="4">
      <c r="A1225" s="168" t="s">
        <v>1767</v>
      </c>
      <c r="B1225" s="166" t="s">
        <v>929</v>
      </c>
      <c r="C1225" s="117" t="s">
        <v>2135</v>
      </c>
      <c r="D1225" s="379" t="s">
        <v>1613</v>
      </c>
      <c r="E1225" s="117" t="s">
        <v>550</v>
      </c>
      <c r="F1225" s="142"/>
      <c r="G1225" s="167">
        <v>1</v>
      </c>
      <c r="I1225" s="169"/>
      <c r="J1225" s="169"/>
      <c r="K1225" s="169">
        <f>65*0</f>
        <v>0</v>
      </c>
      <c r="L1225" s="273">
        <f t="shared" si="88"/>
        <v>0</v>
      </c>
      <c r="M1225" s="143">
        <f t="shared" si="87"/>
        <v>0</v>
      </c>
    </row>
    <row r="1226" spans="1:13" s="118" customFormat="1" ht="10.199999999999999" outlineLevel="3">
      <c r="B1226" s="116"/>
      <c r="C1226" s="158" t="s">
        <v>2136</v>
      </c>
      <c r="D1226" s="426" t="s">
        <v>1614</v>
      </c>
      <c r="E1226" s="118" t="s">
        <v>1025</v>
      </c>
      <c r="F1226" s="266"/>
      <c r="G1226" s="116"/>
      <c r="I1226" s="120"/>
      <c r="J1226" s="120"/>
      <c r="K1226" s="120"/>
      <c r="L1226" s="438">
        <v>82059.432319894855</v>
      </c>
      <c r="M1226" s="416">
        <f>SUM(M1227:M1256)</f>
        <v>76173.253079999995</v>
      </c>
    </row>
    <row r="1227" spans="1:13" s="422" customFormat="1" ht="10.199999999999999" outlineLevel="4">
      <c r="A1227" s="422" t="s">
        <v>1838</v>
      </c>
      <c r="B1227" s="417" t="s">
        <v>929</v>
      </c>
      <c r="C1227" s="418" t="s">
        <v>2137</v>
      </c>
      <c r="D1227" s="439" t="s">
        <v>2138</v>
      </c>
      <c r="E1227" s="418" t="s">
        <v>346</v>
      </c>
      <c r="F1227" s="420"/>
      <c r="G1227" s="421">
        <v>10</v>
      </c>
      <c r="I1227" s="423"/>
      <c r="J1227" s="423"/>
      <c r="K1227" s="423">
        <v>110</v>
      </c>
      <c r="L1227" s="424">
        <f t="shared" ref="L1227:L1256" si="89">SUM(H1227:K1227)</f>
        <v>110</v>
      </c>
      <c r="M1227" s="134">
        <f t="shared" ref="M1227:M1256" si="90">+L1227*G1227</f>
        <v>1100</v>
      </c>
    </row>
    <row r="1228" spans="1:13" s="422" customFormat="1" ht="10.199999999999999" outlineLevel="4">
      <c r="A1228" s="422" t="s">
        <v>1838</v>
      </c>
      <c r="B1228" s="417" t="s">
        <v>929</v>
      </c>
      <c r="C1228" s="418" t="s">
        <v>2139</v>
      </c>
      <c r="D1228" s="439" t="s">
        <v>2140</v>
      </c>
      <c r="E1228" s="418" t="s">
        <v>1025</v>
      </c>
      <c r="F1228" s="420"/>
      <c r="G1228" s="421">
        <v>30</v>
      </c>
      <c r="I1228" s="423"/>
      <c r="J1228" s="423"/>
      <c r="K1228" s="423">
        <v>110</v>
      </c>
      <c r="L1228" s="424">
        <f t="shared" si="89"/>
        <v>110</v>
      </c>
      <c r="M1228" s="134">
        <f t="shared" si="90"/>
        <v>3300</v>
      </c>
    </row>
    <row r="1229" spans="1:13" s="168" customFormat="1" ht="20.399999999999999" outlineLevel="4">
      <c r="A1229" s="168" t="s">
        <v>1838</v>
      </c>
      <c r="B1229" s="166" t="s">
        <v>929</v>
      </c>
      <c r="C1229" s="117" t="s">
        <v>2141</v>
      </c>
      <c r="D1229" s="379" t="s">
        <v>2142</v>
      </c>
      <c r="E1229" s="117" t="s">
        <v>550</v>
      </c>
      <c r="F1229" s="142"/>
      <c r="G1229" s="167">
        <v>19.04</v>
      </c>
      <c r="I1229" s="169"/>
      <c r="J1229" s="169"/>
      <c r="K1229" s="169">
        <f>180*0</f>
        <v>0</v>
      </c>
      <c r="L1229" s="273">
        <f t="shared" si="89"/>
        <v>0</v>
      </c>
      <c r="M1229" s="143">
        <f t="shared" si="90"/>
        <v>0</v>
      </c>
    </row>
    <row r="1230" spans="1:13" s="422" customFormat="1" ht="10.199999999999999" outlineLevel="4">
      <c r="A1230" s="422" t="s">
        <v>1831</v>
      </c>
      <c r="B1230" s="417" t="s">
        <v>929</v>
      </c>
      <c r="C1230" s="418" t="s">
        <v>2143</v>
      </c>
      <c r="D1230" s="439" t="s">
        <v>2144</v>
      </c>
      <c r="E1230" s="418" t="s">
        <v>346</v>
      </c>
      <c r="F1230" s="420"/>
      <c r="G1230" s="444">
        <v>55</v>
      </c>
      <c r="H1230" s="423"/>
      <c r="I1230" s="423"/>
      <c r="J1230" s="423"/>
      <c r="K1230" s="423">
        <v>140</v>
      </c>
      <c r="L1230" s="424">
        <f t="shared" si="89"/>
        <v>140</v>
      </c>
      <c r="M1230" s="134">
        <f t="shared" si="90"/>
        <v>7700</v>
      </c>
    </row>
    <row r="1231" spans="1:13" s="422" customFormat="1" ht="10.199999999999999" outlineLevel="4">
      <c r="A1231" s="422" t="s">
        <v>1831</v>
      </c>
      <c r="B1231" s="417" t="s">
        <v>929</v>
      </c>
      <c r="C1231" s="418" t="s">
        <v>2145</v>
      </c>
      <c r="D1231" s="439" t="s">
        <v>2146</v>
      </c>
      <c r="E1231" s="418" t="s">
        <v>550</v>
      </c>
      <c r="F1231" s="420"/>
      <c r="G1231" s="421">
        <v>31.66</v>
      </c>
      <c r="H1231" s="423"/>
      <c r="I1231" s="423"/>
      <c r="J1231" s="423"/>
      <c r="K1231" s="423">
        <v>45</v>
      </c>
      <c r="L1231" s="424">
        <f t="shared" si="89"/>
        <v>45</v>
      </c>
      <c r="M1231" s="134">
        <f t="shared" si="90"/>
        <v>1424.7</v>
      </c>
    </row>
    <row r="1232" spans="1:13" s="422" customFormat="1" ht="10.199999999999999" outlineLevel="4">
      <c r="A1232" s="422" t="s">
        <v>1831</v>
      </c>
      <c r="B1232" s="417" t="s">
        <v>929</v>
      </c>
      <c r="C1232" s="418" t="s">
        <v>2147</v>
      </c>
      <c r="D1232" s="439" t="s">
        <v>2148</v>
      </c>
      <c r="E1232" s="418" t="s">
        <v>1025</v>
      </c>
      <c r="F1232" s="420"/>
      <c r="G1232" s="421">
        <v>83.591999999999999</v>
      </c>
      <c r="H1232" s="423"/>
      <c r="I1232" s="423"/>
      <c r="J1232" s="423"/>
      <c r="K1232" s="423">
        <v>100</v>
      </c>
      <c r="L1232" s="424">
        <f t="shared" si="89"/>
        <v>100</v>
      </c>
      <c r="M1232" s="134">
        <f t="shared" si="90"/>
        <v>8359.2000000000007</v>
      </c>
    </row>
    <row r="1233" spans="1:13" s="168" customFormat="1" ht="10.199999999999999" outlineLevel="4">
      <c r="A1233" s="168" t="s">
        <v>1831</v>
      </c>
      <c r="B1233" s="166" t="s">
        <v>929</v>
      </c>
      <c r="C1233" s="117" t="s">
        <v>2149</v>
      </c>
      <c r="D1233" s="379" t="s">
        <v>2150</v>
      </c>
      <c r="E1233" s="117" t="s">
        <v>1025</v>
      </c>
      <c r="F1233" s="142"/>
      <c r="G1233" s="167">
        <v>36.572000000000003</v>
      </c>
      <c r="H1233" s="169"/>
      <c r="I1233" s="169"/>
      <c r="J1233" s="169"/>
      <c r="K1233" s="169">
        <f>18*0</f>
        <v>0</v>
      </c>
      <c r="L1233" s="273">
        <f t="shared" si="89"/>
        <v>0</v>
      </c>
      <c r="M1233" s="143">
        <f t="shared" si="90"/>
        <v>0</v>
      </c>
    </row>
    <row r="1234" spans="1:13" s="422" customFormat="1" ht="9.9" customHeight="1" outlineLevel="4">
      <c r="A1234" s="422" t="s">
        <v>1986</v>
      </c>
      <c r="B1234" s="417" t="s">
        <v>929</v>
      </c>
      <c r="C1234" s="418" t="s">
        <v>2151</v>
      </c>
      <c r="D1234" s="443" t="s">
        <v>2152</v>
      </c>
      <c r="E1234" s="418" t="s">
        <v>251</v>
      </c>
      <c r="F1234" s="420"/>
      <c r="G1234" s="421">
        <v>1</v>
      </c>
      <c r="I1234" s="423"/>
      <c r="J1234" s="423"/>
      <c r="K1234" s="423">
        <v>3369.3839999999996</v>
      </c>
      <c r="L1234" s="424">
        <f t="shared" si="89"/>
        <v>3369.3839999999996</v>
      </c>
      <c r="M1234" s="134">
        <f t="shared" si="90"/>
        <v>3369.3839999999996</v>
      </c>
    </row>
    <row r="1235" spans="1:13" s="422" customFormat="1" ht="9.9" customHeight="1" outlineLevel="4">
      <c r="A1235" s="422" t="s">
        <v>1986</v>
      </c>
      <c r="B1235" s="417" t="s">
        <v>929</v>
      </c>
      <c r="C1235" s="418" t="s">
        <v>2153</v>
      </c>
      <c r="D1235" s="443" t="s">
        <v>2154</v>
      </c>
      <c r="E1235" s="418" t="s">
        <v>251</v>
      </c>
      <c r="F1235" s="420"/>
      <c r="G1235" s="421">
        <v>1</v>
      </c>
      <c r="I1235" s="423"/>
      <c r="J1235" s="423"/>
      <c r="K1235" s="423">
        <v>10255.862940000001</v>
      </c>
      <c r="L1235" s="424">
        <f t="shared" si="89"/>
        <v>10255.862940000001</v>
      </c>
      <c r="M1235" s="134">
        <f t="shared" si="90"/>
        <v>10255.862940000001</v>
      </c>
    </row>
    <row r="1236" spans="1:13" s="422" customFormat="1" ht="9.9" customHeight="1" outlineLevel="4">
      <c r="A1236" s="422" t="s">
        <v>1986</v>
      </c>
      <c r="B1236" s="417" t="s">
        <v>929</v>
      </c>
      <c r="C1236" s="418" t="s">
        <v>2155</v>
      </c>
      <c r="D1236" s="443" t="s">
        <v>2156</v>
      </c>
      <c r="E1236" s="418" t="s">
        <v>251</v>
      </c>
      <c r="F1236" s="420"/>
      <c r="G1236" s="421">
        <v>1</v>
      </c>
      <c r="I1236" s="423"/>
      <c r="J1236" s="423"/>
      <c r="K1236" s="423">
        <v>7765.1628199999996</v>
      </c>
      <c r="L1236" s="424">
        <f t="shared" si="89"/>
        <v>7765.1628199999996</v>
      </c>
      <c r="M1236" s="134">
        <f t="shared" si="90"/>
        <v>7765.1628199999996</v>
      </c>
    </row>
    <row r="1237" spans="1:13" s="422" customFormat="1" ht="9.9" customHeight="1" outlineLevel="4">
      <c r="A1237" s="422" t="s">
        <v>1986</v>
      </c>
      <c r="B1237" s="417" t="s">
        <v>929</v>
      </c>
      <c r="C1237" s="418" t="s">
        <v>2157</v>
      </c>
      <c r="D1237" s="443" t="s">
        <v>2158</v>
      </c>
      <c r="E1237" s="418" t="s">
        <v>251</v>
      </c>
      <c r="F1237" s="420"/>
      <c r="G1237" s="421">
        <v>1</v>
      </c>
      <c r="I1237" s="423"/>
      <c r="J1237" s="423"/>
      <c r="K1237" s="423">
        <v>3649.2509599999998</v>
      </c>
      <c r="L1237" s="424">
        <f t="shared" si="89"/>
        <v>3649.2509599999998</v>
      </c>
      <c r="M1237" s="134">
        <f t="shared" si="90"/>
        <v>3649.2509599999998</v>
      </c>
    </row>
    <row r="1238" spans="1:13" s="422" customFormat="1" ht="9.9" customHeight="1" outlineLevel="4">
      <c r="A1238" s="422" t="s">
        <v>1815</v>
      </c>
      <c r="B1238" s="417" t="s">
        <v>929</v>
      </c>
      <c r="C1238" s="418" t="s">
        <v>2159</v>
      </c>
      <c r="D1238" s="439" t="s">
        <v>2160</v>
      </c>
      <c r="E1238" s="418" t="s">
        <v>1025</v>
      </c>
      <c r="F1238" s="420"/>
      <c r="G1238" s="421">
        <v>11.16</v>
      </c>
      <c r="I1238" s="423"/>
      <c r="J1238" s="423"/>
      <c r="K1238" s="423">
        <v>100</v>
      </c>
      <c r="L1238" s="424">
        <f t="shared" si="89"/>
        <v>100</v>
      </c>
      <c r="M1238" s="134">
        <f t="shared" si="90"/>
        <v>1116</v>
      </c>
    </row>
    <row r="1239" spans="1:13" s="422" customFormat="1" ht="10.199999999999999" outlineLevel="4">
      <c r="A1239" s="422" t="s">
        <v>1986</v>
      </c>
      <c r="B1239" s="417" t="s">
        <v>929</v>
      </c>
      <c r="C1239" s="418" t="s">
        <v>2161</v>
      </c>
      <c r="D1239" s="439" t="s">
        <v>2162</v>
      </c>
      <c r="E1239" s="418" t="s">
        <v>1025</v>
      </c>
      <c r="F1239" s="420"/>
      <c r="G1239" s="421">
        <v>1</v>
      </c>
      <c r="I1239" s="423">
        <v>5100</v>
      </c>
      <c r="J1239" s="423"/>
      <c r="K1239" s="423"/>
      <c r="L1239" s="424">
        <f t="shared" si="89"/>
        <v>5100</v>
      </c>
      <c r="M1239" s="134">
        <f t="shared" si="90"/>
        <v>5100</v>
      </c>
    </row>
    <row r="1240" spans="1:13" s="422" customFormat="1" ht="10.5" customHeight="1" outlineLevel="4">
      <c r="A1240" s="422" t="s">
        <v>1815</v>
      </c>
      <c r="B1240" s="417" t="s">
        <v>929</v>
      </c>
      <c r="C1240" s="418" t="s">
        <v>2163</v>
      </c>
      <c r="D1240" s="443" t="s">
        <v>2164</v>
      </c>
      <c r="E1240" s="418" t="s">
        <v>890</v>
      </c>
      <c r="F1240" s="420"/>
      <c r="G1240" s="421">
        <v>6</v>
      </c>
      <c r="I1240" s="423"/>
      <c r="J1240" s="423"/>
      <c r="K1240" s="423">
        <v>200</v>
      </c>
      <c r="L1240" s="424">
        <f t="shared" si="89"/>
        <v>200</v>
      </c>
      <c r="M1240" s="134">
        <f t="shared" si="90"/>
        <v>1200</v>
      </c>
    </row>
    <row r="1241" spans="1:13" s="422" customFormat="1" ht="10.199999999999999" outlineLevel="4">
      <c r="A1241" s="422" t="s">
        <v>1767</v>
      </c>
      <c r="B1241" s="417" t="s">
        <v>929</v>
      </c>
      <c r="C1241" s="418" t="s">
        <v>2165</v>
      </c>
      <c r="D1241" s="439" t="s">
        <v>2166</v>
      </c>
      <c r="E1241" s="418" t="s">
        <v>550</v>
      </c>
      <c r="F1241" s="420"/>
      <c r="G1241" s="421">
        <v>1.05</v>
      </c>
      <c r="I1241" s="423"/>
      <c r="J1241" s="423"/>
      <c r="K1241" s="423">
        <v>20</v>
      </c>
      <c r="L1241" s="424">
        <f t="shared" si="89"/>
        <v>20</v>
      </c>
      <c r="M1241" s="134">
        <f t="shared" si="90"/>
        <v>21</v>
      </c>
    </row>
    <row r="1242" spans="1:13" s="328" customFormat="1" ht="10.199999999999999" outlineLevel="4">
      <c r="A1242" s="328" t="s">
        <v>1044</v>
      </c>
      <c r="B1242" s="329" t="s">
        <v>929</v>
      </c>
      <c r="C1242" s="330"/>
      <c r="D1242" s="337" t="s">
        <v>2167</v>
      </c>
      <c r="E1242" s="330" t="s">
        <v>251</v>
      </c>
      <c r="F1242" s="332"/>
      <c r="G1242" s="333">
        <v>11</v>
      </c>
      <c r="I1242" s="334">
        <v>40</v>
      </c>
      <c r="J1242" s="334"/>
      <c r="K1242" s="334"/>
      <c r="L1242" s="335">
        <f t="shared" si="89"/>
        <v>40</v>
      </c>
      <c r="M1242" s="338">
        <f t="shared" si="90"/>
        <v>440</v>
      </c>
    </row>
    <row r="1243" spans="1:13" s="328" customFormat="1" ht="20.399999999999999" outlineLevel="4">
      <c r="A1243" s="328" t="s">
        <v>1044</v>
      </c>
      <c r="B1243" s="329" t="s">
        <v>929</v>
      </c>
      <c r="C1243" s="330"/>
      <c r="D1243" s="337" t="s">
        <v>2168</v>
      </c>
      <c r="E1243" s="330" t="s">
        <v>251</v>
      </c>
      <c r="F1243" s="332"/>
      <c r="G1243" s="333">
        <v>10</v>
      </c>
      <c r="I1243" s="334">
        <v>40</v>
      </c>
      <c r="J1243" s="334"/>
      <c r="K1243" s="334"/>
      <c r="L1243" s="335">
        <f t="shared" si="89"/>
        <v>40</v>
      </c>
      <c r="M1243" s="338">
        <f t="shared" si="90"/>
        <v>400</v>
      </c>
    </row>
    <row r="1244" spans="1:13" s="328" customFormat="1" ht="10.199999999999999" outlineLevel="4">
      <c r="A1244" s="328" t="s">
        <v>1044</v>
      </c>
      <c r="B1244" s="329" t="s">
        <v>929</v>
      </c>
      <c r="C1244" s="330"/>
      <c r="D1244" s="337" t="s">
        <v>1866</v>
      </c>
      <c r="E1244" s="330" t="s">
        <v>500</v>
      </c>
      <c r="F1244" s="332"/>
      <c r="G1244" s="333">
        <v>30.479999999999997</v>
      </c>
      <c r="I1244" s="334"/>
      <c r="J1244" s="334"/>
      <c r="K1244" s="334">
        <f>235.91/5</f>
        <v>47.182000000000002</v>
      </c>
      <c r="L1244" s="335">
        <f t="shared" si="89"/>
        <v>47.182000000000002</v>
      </c>
      <c r="M1244" s="338">
        <f t="shared" si="90"/>
        <v>1438.10736</v>
      </c>
    </row>
    <row r="1245" spans="1:13" s="328" customFormat="1" ht="10.199999999999999" outlineLevel="4">
      <c r="A1245" s="328" t="s">
        <v>1044</v>
      </c>
      <c r="B1245" s="329" t="s">
        <v>929</v>
      </c>
      <c r="C1245" s="330"/>
      <c r="D1245" s="337" t="s">
        <v>1867</v>
      </c>
      <c r="E1245" s="330" t="s">
        <v>251</v>
      </c>
      <c r="F1245" s="332"/>
      <c r="G1245" s="333">
        <f>+G1244/5</f>
        <v>6.0959999999999992</v>
      </c>
      <c r="I1245" s="334"/>
      <c r="J1245" s="334"/>
      <c r="K1245" s="334">
        <v>78.75</v>
      </c>
      <c r="L1245" s="335">
        <f t="shared" si="89"/>
        <v>78.75</v>
      </c>
      <c r="M1245" s="338">
        <f t="shared" si="90"/>
        <v>480.05999999999995</v>
      </c>
    </row>
    <row r="1246" spans="1:13" s="328" customFormat="1" ht="10.199999999999999" outlineLevel="4">
      <c r="A1246" s="328" t="s">
        <v>1044</v>
      </c>
      <c r="B1246" s="329" t="s">
        <v>929</v>
      </c>
      <c r="C1246" s="330"/>
      <c r="D1246" s="337" t="s">
        <v>1868</v>
      </c>
      <c r="E1246" s="330" t="s">
        <v>500</v>
      </c>
      <c r="F1246" s="332"/>
      <c r="G1246" s="333">
        <v>30.479999999999997</v>
      </c>
      <c r="I1246" s="334"/>
      <c r="J1246" s="334"/>
      <c r="K1246" s="334">
        <f>101.25/4</f>
        <v>25.3125</v>
      </c>
      <c r="L1246" s="335">
        <f t="shared" si="89"/>
        <v>25.3125</v>
      </c>
      <c r="M1246" s="338">
        <f t="shared" si="90"/>
        <v>771.52499999999998</v>
      </c>
    </row>
    <row r="1247" spans="1:13" s="422" customFormat="1" ht="10.199999999999999" outlineLevel="4">
      <c r="A1247" s="422" t="s">
        <v>1847</v>
      </c>
      <c r="B1247" s="417" t="s">
        <v>929</v>
      </c>
      <c r="C1247" s="418"/>
      <c r="D1247" s="439" t="s">
        <v>2169</v>
      </c>
      <c r="E1247" s="418" t="s">
        <v>251</v>
      </c>
      <c r="F1247" s="420"/>
      <c r="G1247" s="421">
        <v>2</v>
      </c>
      <c r="I1247" s="423">
        <v>800</v>
      </c>
      <c r="J1247" s="423"/>
      <c r="K1247" s="423"/>
      <c r="L1247" s="424">
        <f t="shared" si="89"/>
        <v>800</v>
      </c>
      <c r="M1247" s="134">
        <f t="shared" si="90"/>
        <v>1600</v>
      </c>
    </row>
    <row r="1248" spans="1:13" s="422" customFormat="1" ht="10.199999999999999" outlineLevel="4">
      <c r="A1248" s="422" t="s">
        <v>1847</v>
      </c>
      <c r="B1248" s="417" t="s">
        <v>929</v>
      </c>
      <c r="C1248" s="418"/>
      <c r="D1248" s="439" t="s">
        <v>2170</v>
      </c>
      <c r="E1248" s="418" t="s">
        <v>251</v>
      </c>
      <c r="F1248" s="420"/>
      <c r="G1248" s="421">
        <v>1</v>
      </c>
      <c r="I1248" s="423">
        <v>2549</v>
      </c>
      <c r="J1248" s="423"/>
      <c r="K1248" s="423"/>
      <c r="L1248" s="424">
        <f t="shared" si="89"/>
        <v>2549</v>
      </c>
      <c r="M1248" s="134">
        <f t="shared" si="90"/>
        <v>2549</v>
      </c>
    </row>
    <row r="1249" spans="1:13" s="422" customFormat="1" ht="10.199999999999999" outlineLevel="4">
      <c r="A1249" s="422" t="s">
        <v>1847</v>
      </c>
      <c r="B1249" s="417" t="s">
        <v>929</v>
      </c>
      <c r="C1249" s="418"/>
      <c r="D1249" s="439" t="s">
        <v>2171</v>
      </c>
      <c r="E1249" s="418" t="s">
        <v>251</v>
      </c>
      <c r="F1249" s="420"/>
      <c r="G1249" s="421">
        <v>3</v>
      </c>
      <c r="I1249" s="423">
        <v>350</v>
      </c>
      <c r="J1249" s="423"/>
      <c r="K1249" s="423"/>
      <c r="L1249" s="424">
        <f t="shared" si="89"/>
        <v>350</v>
      </c>
      <c r="M1249" s="134">
        <f t="shared" si="90"/>
        <v>1050</v>
      </c>
    </row>
    <row r="1250" spans="1:13" s="422" customFormat="1" ht="10.199999999999999" outlineLevel="4">
      <c r="A1250" s="422" t="s">
        <v>1847</v>
      </c>
      <c r="B1250" s="417" t="s">
        <v>929</v>
      </c>
      <c r="C1250" s="418"/>
      <c r="D1250" s="439" t="s">
        <v>2172</v>
      </c>
      <c r="E1250" s="418" t="s">
        <v>251</v>
      </c>
      <c r="F1250" s="420"/>
      <c r="G1250" s="421">
        <v>3</v>
      </c>
      <c r="I1250" s="423">
        <v>189</v>
      </c>
      <c r="J1250" s="423"/>
      <c r="K1250" s="423"/>
      <c r="L1250" s="424">
        <f t="shared" si="89"/>
        <v>189</v>
      </c>
      <c r="M1250" s="134">
        <f t="shared" si="90"/>
        <v>567</v>
      </c>
    </row>
    <row r="1251" spans="1:13" s="422" customFormat="1" ht="10.199999999999999" outlineLevel="4">
      <c r="A1251" s="422" t="s">
        <v>1847</v>
      </c>
      <c r="B1251" s="417" t="s">
        <v>929</v>
      </c>
      <c r="C1251" s="418"/>
      <c r="D1251" s="439" t="s">
        <v>2173</v>
      </c>
      <c r="E1251" s="418" t="s">
        <v>251</v>
      </c>
      <c r="F1251" s="420"/>
      <c r="G1251" s="421">
        <v>3</v>
      </c>
      <c r="I1251" s="423">
        <v>390</v>
      </c>
      <c r="J1251" s="423"/>
      <c r="K1251" s="423"/>
      <c r="L1251" s="424">
        <f t="shared" si="89"/>
        <v>390</v>
      </c>
      <c r="M1251" s="134">
        <f t="shared" si="90"/>
        <v>1170</v>
      </c>
    </row>
    <row r="1252" spans="1:13" s="422" customFormat="1" ht="10.199999999999999" outlineLevel="4">
      <c r="A1252" s="422" t="s">
        <v>1847</v>
      </c>
      <c r="B1252" s="417" t="s">
        <v>929</v>
      </c>
      <c r="C1252" s="418"/>
      <c r="D1252" s="439" t="s">
        <v>2174</v>
      </c>
      <c r="E1252" s="418" t="s">
        <v>251</v>
      </c>
      <c r="F1252" s="420"/>
      <c r="G1252" s="421">
        <v>3</v>
      </c>
      <c r="I1252" s="423">
        <v>510</v>
      </c>
      <c r="J1252" s="423"/>
      <c r="K1252" s="423"/>
      <c r="L1252" s="424">
        <f t="shared" si="89"/>
        <v>510</v>
      </c>
      <c r="M1252" s="134">
        <f t="shared" si="90"/>
        <v>1530</v>
      </c>
    </row>
    <row r="1253" spans="1:13" s="422" customFormat="1" ht="10.199999999999999" outlineLevel="4">
      <c r="A1253" s="422" t="s">
        <v>1847</v>
      </c>
      <c r="B1253" s="417" t="s">
        <v>929</v>
      </c>
      <c r="C1253" s="418"/>
      <c r="D1253" s="439" t="s">
        <v>2175</v>
      </c>
      <c r="E1253" s="418" t="s">
        <v>251</v>
      </c>
      <c r="F1253" s="420"/>
      <c r="G1253" s="421">
        <v>3</v>
      </c>
      <c r="I1253" s="423">
        <v>239</v>
      </c>
      <c r="J1253" s="423"/>
      <c r="K1253" s="423"/>
      <c r="L1253" s="424">
        <f t="shared" si="89"/>
        <v>239</v>
      </c>
      <c r="M1253" s="134">
        <f t="shared" si="90"/>
        <v>717</v>
      </c>
    </row>
    <row r="1254" spans="1:13" s="422" customFormat="1" ht="40.799999999999997" outlineLevel="4">
      <c r="A1254" s="422" t="s">
        <v>1847</v>
      </c>
      <c r="B1254" s="417" t="s">
        <v>929</v>
      </c>
      <c r="C1254" s="418"/>
      <c r="D1254" s="439" t="s">
        <v>2176</v>
      </c>
      <c r="E1254" s="418" t="s">
        <v>228</v>
      </c>
      <c r="F1254" s="420"/>
      <c r="G1254" s="421">
        <v>1</v>
      </c>
      <c r="I1254" s="423">
        <v>6250</v>
      </c>
      <c r="J1254" s="423"/>
      <c r="K1254" s="423"/>
      <c r="L1254" s="424">
        <f t="shared" si="89"/>
        <v>6250</v>
      </c>
      <c r="M1254" s="134">
        <f t="shared" si="90"/>
        <v>6250</v>
      </c>
    </row>
    <row r="1255" spans="1:13" s="422" customFormat="1" ht="20.399999999999999" outlineLevel="4">
      <c r="A1255" s="422" t="s">
        <v>1815</v>
      </c>
      <c r="B1255" s="417" t="s">
        <v>929</v>
      </c>
      <c r="C1255" s="418"/>
      <c r="D1255" s="439" t="s">
        <v>2177</v>
      </c>
      <c r="E1255" s="418" t="s">
        <v>251</v>
      </c>
      <c r="F1255" s="420"/>
      <c r="G1255" s="421">
        <v>1</v>
      </c>
      <c r="I1255" s="423">
        <v>750</v>
      </c>
      <c r="J1255" s="423"/>
      <c r="K1255" s="423"/>
      <c r="L1255" s="424">
        <f t="shared" si="89"/>
        <v>750</v>
      </c>
      <c r="M1255" s="134">
        <f t="shared" si="90"/>
        <v>750</v>
      </c>
    </row>
    <row r="1256" spans="1:13" s="422" customFormat="1" ht="30.6" outlineLevel="4">
      <c r="A1256" s="422" t="s">
        <v>1815</v>
      </c>
      <c r="B1256" s="417" t="s">
        <v>929</v>
      </c>
      <c r="C1256" s="418"/>
      <c r="D1256" s="439" t="s">
        <v>2178</v>
      </c>
      <c r="E1256" s="418" t="s">
        <v>228</v>
      </c>
      <c r="F1256" s="420"/>
      <c r="G1256" s="421">
        <v>1</v>
      </c>
      <c r="I1256" s="423">
        <v>2100</v>
      </c>
      <c r="J1256" s="423"/>
      <c r="K1256" s="423"/>
      <c r="L1256" s="424">
        <f t="shared" si="89"/>
        <v>2100</v>
      </c>
      <c r="M1256" s="134">
        <f t="shared" si="90"/>
        <v>2100</v>
      </c>
    </row>
    <row r="1257" spans="1:13" s="118" customFormat="1" ht="10.199999999999999" outlineLevel="3">
      <c r="B1257" s="116"/>
      <c r="C1257" s="158" t="s">
        <v>2179</v>
      </c>
      <c r="D1257" s="426" t="s">
        <v>1619</v>
      </c>
      <c r="E1257" s="118" t="s">
        <v>1025</v>
      </c>
      <c r="F1257" s="266"/>
      <c r="G1257" s="116"/>
      <c r="I1257" s="120"/>
      <c r="J1257" s="120"/>
      <c r="K1257" s="120"/>
      <c r="L1257" s="438">
        <v>37669.81133874286</v>
      </c>
      <c r="M1257" s="416">
        <f>SUM(M1258:M1277)</f>
        <v>120830.5</v>
      </c>
    </row>
    <row r="1258" spans="1:13" s="255" customFormat="1" ht="20.399999999999999" outlineLevel="4">
      <c r="A1258" s="255" t="s">
        <v>1841</v>
      </c>
      <c r="B1258" s="269" t="s">
        <v>929</v>
      </c>
      <c r="C1258" s="244" t="s">
        <v>2180</v>
      </c>
      <c r="D1258" s="429" t="s">
        <v>2181</v>
      </c>
      <c r="E1258" s="244" t="s">
        <v>346</v>
      </c>
      <c r="F1258" s="271"/>
      <c r="G1258" s="254">
        <v>130</v>
      </c>
      <c r="H1258" s="256"/>
      <c r="I1258" s="256">
        <f>(61+9+1)*1.15</f>
        <v>81.649999999999991</v>
      </c>
      <c r="J1258" s="256"/>
      <c r="K1258" s="256">
        <v>30</v>
      </c>
      <c r="L1258" s="272">
        <f t="shared" ref="L1258:L1277" si="91">SUM(H1258:K1258)</f>
        <v>111.64999999999999</v>
      </c>
      <c r="M1258" s="258">
        <f t="shared" ref="M1258:M1277" si="92">+L1258*G1258</f>
        <v>14514.499999999998</v>
      </c>
    </row>
    <row r="1259" spans="1:13" s="280" customFormat="1" ht="20.399999999999999" outlineLevel="4">
      <c r="A1259" s="280" t="s">
        <v>1841</v>
      </c>
      <c r="B1259" s="367" t="s">
        <v>929</v>
      </c>
      <c r="C1259" s="368" t="s">
        <v>2182</v>
      </c>
      <c r="D1259" s="433" t="s">
        <v>2183</v>
      </c>
      <c r="E1259" s="368" t="s">
        <v>550</v>
      </c>
      <c r="F1259" s="370"/>
      <c r="G1259" s="279">
        <v>62</v>
      </c>
      <c r="H1259" s="281"/>
      <c r="I1259" s="281">
        <v>20</v>
      </c>
      <c r="J1259" s="281"/>
      <c r="K1259" s="281">
        <v>15</v>
      </c>
      <c r="L1259" s="282">
        <f t="shared" si="91"/>
        <v>35</v>
      </c>
      <c r="M1259" s="283">
        <f t="shared" si="92"/>
        <v>2170</v>
      </c>
    </row>
    <row r="1260" spans="1:13" s="422" customFormat="1" ht="10.199999999999999" outlineLevel="4">
      <c r="A1260" s="422" t="s">
        <v>1831</v>
      </c>
      <c r="B1260" s="417" t="s">
        <v>929</v>
      </c>
      <c r="C1260" s="418" t="s">
        <v>2184</v>
      </c>
      <c r="D1260" s="439" t="s">
        <v>2185</v>
      </c>
      <c r="E1260" s="418" t="s">
        <v>1025</v>
      </c>
      <c r="F1260" s="420"/>
      <c r="G1260" s="421">
        <v>30</v>
      </c>
      <c r="H1260" s="423"/>
      <c r="I1260" s="423"/>
      <c r="J1260" s="423"/>
      <c r="K1260" s="423">
        <v>110</v>
      </c>
      <c r="L1260" s="424">
        <f t="shared" si="91"/>
        <v>110</v>
      </c>
      <c r="M1260" s="134">
        <f t="shared" si="92"/>
        <v>3300</v>
      </c>
    </row>
    <row r="1261" spans="1:13" s="422" customFormat="1" ht="30.6" outlineLevel="4">
      <c r="A1261" s="422" t="s">
        <v>1847</v>
      </c>
      <c r="B1261" s="417" t="s">
        <v>929</v>
      </c>
      <c r="C1261" s="418" t="s">
        <v>2186</v>
      </c>
      <c r="D1261" s="439" t="s">
        <v>2187</v>
      </c>
      <c r="E1261" s="418" t="s">
        <v>890</v>
      </c>
      <c r="F1261" s="420"/>
      <c r="G1261" s="421">
        <v>9</v>
      </c>
      <c r="I1261" s="423"/>
      <c r="J1261" s="423"/>
      <c r="K1261" s="423">
        <v>1020</v>
      </c>
      <c r="L1261" s="424">
        <f t="shared" si="91"/>
        <v>1020</v>
      </c>
      <c r="M1261" s="134">
        <f t="shared" si="92"/>
        <v>9180</v>
      </c>
    </row>
    <row r="1262" spans="1:13" s="168" customFormat="1" ht="10.199999999999999" outlineLevel="4">
      <c r="A1262" s="168" t="s">
        <v>1881</v>
      </c>
      <c r="B1262" s="166" t="s">
        <v>929</v>
      </c>
      <c r="C1262" s="117" t="s">
        <v>2188</v>
      </c>
      <c r="D1262" s="379" t="s">
        <v>2189</v>
      </c>
      <c r="E1262" s="117" t="s">
        <v>890</v>
      </c>
      <c r="F1262" s="142"/>
      <c r="G1262" s="167">
        <v>3</v>
      </c>
      <c r="I1262" s="169">
        <f>327.25*0</f>
        <v>0</v>
      </c>
      <c r="J1262" s="169"/>
      <c r="K1262" s="169"/>
      <c r="L1262" s="273">
        <f t="shared" si="91"/>
        <v>0</v>
      </c>
      <c r="M1262" s="143">
        <f t="shared" si="92"/>
        <v>0</v>
      </c>
    </row>
    <row r="1263" spans="1:13" s="422" customFormat="1" ht="20.399999999999999" outlineLevel="4">
      <c r="A1263" s="422" t="s">
        <v>1881</v>
      </c>
      <c r="B1263" s="417" t="s">
        <v>929</v>
      </c>
      <c r="C1263" s="418" t="s">
        <v>2190</v>
      </c>
      <c r="D1263" s="439" t="s">
        <v>2191</v>
      </c>
      <c r="E1263" s="418" t="s">
        <v>890</v>
      </c>
      <c r="F1263" s="420"/>
      <c r="G1263" s="421">
        <v>3</v>
      </c>
      <c r="I1263" s="423">
        <v>477</v>
      </c>
      <c r="J1263" s="423"/>
      <c r="K1263" s="423"/>
      <c r="L1263" s="424">
        <f t="shared" si="91"/>
        <v>477</v>
      </c>
      <c r="M1263" s="134">
        <f t="shared" si="92"/>
        <v>1431</v>
      </c>
    </row>
    <row r="1264" spans="1:13" s="422" customFormat="1" ht="20.399999999999999" outlineLevel="4">
      <c r="A1264" s="422" t="s">
        <v>1981</v>
      </c>
      <c r="B1264" s="417" t="s">
        <v>929</v>
      </c>
      <c r="C1264" s="418" t="s">
        <v>2192</v>
      </c>
      <c r="D1264" s="439" t="s">
        <v>2193</v>
      </c>
      <c r="E1264" s="418" t="s">
        <v>1025</v>
      </c>
      <c r="F1264" s="420"/>
      <c r="G1264" s="421">
        <v>3</v>
      </c>
      <c r="I1264" s="423"/>
      <c r="J1264" s="423"/>
      <c r="K1264" s="423">
        <v>6535</v>
      </c>
      <c r="L1264" s="424">
        <f t="shared" si="91"/>
        <v>6535</v>
      </c>
      <c r="M1264" s="134">
        <f t="shared" si="92"/>
        <v>19605</v>
      </c>
    </row>
    <row r="1265" spans="1:13" s="422" customFormat="1" ht="10.199999999999999" outlineLevel="4">
      <c r="A1265" s="422" t="s">
        <v>1767</v>
      </c>
      <c r="B1265" s="417" t="s">
        <v>929</v>
      </c>
      <c r="C1265" s="418" t="s">
        <v>2194</v>
      </c>
      <c r="D1265" s="439" t="s">
        <v>2195</v>
      </c>
      <c r="E1265" s="418" t="s">
        <v>890</v>
      </c>
      <c r="F1265" s="420"/>
      <c r="G1265" s="421">
        <v>3</v>
      </c>
      <c r="I1265" s="423">
        <v>3100</v>
      </c>
      <c r="J1265" s="423"/>
      <c r="K1265" s="423"/>
      <c r="L1265" s="424">
        <f t="shared" si="91"/>
        <v>3100</v>
      </c>
      <c r="M1265" s="134">
        <f t="shared" si="92"/>
        <v>9300</v>
      </c>
    </row>
    <row r="1266" spans="1:13" s="328" customFormat="1" ht="20.399999999999999" outlineLevel="4">
      <c r="A1266" s="328" t="s">
        <v>1044</v>
      </c>
      <c r="B1266" s="329" t="s">
        <v>929</v>
      </c>
      <c r="C1266" s="330"/>
      <c r="D1266" s="337" t="s">
        <v>2196</v>
      </c>
      <c r="E1266" s="330" t="s">
        <v>1046</v>
      </c>
      <c r="F1266" s="332"/>
      <c r="G1266" s="333">
        <v>45</v>
      </c>
      <c r="I1266" s="334">
        <v>70</v>
      </c>
      <c r="J1266" s="334"/>
      <c r="K1266" s="334"/>
      <c r="L1266" s="335">
        <f t="shared" si="91"/>
        <v>70</v>
      </c>
      <c r="M1266" s="338">
        <f t="shared" si="92"/>
        <v>3150</v>
      </c>
    </row>
    <row r="1267" spans="1:13" s="328" customFormat="1" ht="10.199999999999999" outlineLevel="4">
      <c r="A1267" s="328" t="s">
        <v>1044</v>
      </c>
      <c r="B1267" s="329" t="s">
        <v>929</v>
      </c>
      <c r="C1267" s="330"/>
      <c r="D1267" s="337" t="s">
        <v>2197</v>
      </c>
      <c r="E1267" s="330" t="s">
        <v>1046</v>
      </c>
      <c r="F1267" s="332"/>
      <c r="G1267" s="333">
        <v>9</v>
      </c>
      <c r="I1267" s="334">
        <v>70</v>
      </c>
      <c r="J1267" s="334"/>
      <c r="K1267" s="334"/>
      <c r="L1267" s="335">
        <f t="shared" si="91"/>
        <v>70</v>
      </c>
      <c r="M1267" s="338">
        <f t="shared" si="92"/>
        <v>630</v>
      </c>
    </row>
    <row r="1268" spans="1:13" s="422" customFormat="1" ht="10.199999999999999" outlineLevel="4">
      <c r="A1268" s="422" t="s">
        <v>1831</v>
      </c>
      <c r="B1268" s="417" t="s">
        <v>929</v>
      </c>
      <c r="C1268" s="418"/>
      <c r="D1268" s="439" t="s">
        <v>2198</v>
      </c>
      <c r="E1268" s="418" t="s">
        <v>346</v>
      </c>
      <c r="F1268" s="420"/>
      <c r="G1268" s="421">
        <v>36</v>
      </c>
      <c r="I1268" s="423"/>
      <c r="J1268" s="423"/>
      <c r="K1268" s="423">
        <v>85</v>
      </c>
      <c r="L1268" s="424">
        <f t="shared" si="91"/>
        <v>85</v>
      </c>
      <c r="M1268" s="134">
        <f t="shared" si="92"/>
        <v>3060</v>
      </c>
    </row>
    <row r="1269" spans="1:13" s="422" customFormat="1" ht="10.199999999999999" outlineLevel="4">
      <c r="A1269" s="422" t="s">
        <v>1831</v>
      </c>
      <c r="B1269" s="417" t="s">
        <v>929</v>
      </c>
      <c r="C1269" s="418"/>
      <c r="D1269" s="439" t="s">
        <v>2199</v>
      </c>
      <c r="E1269" s="418" t="s">
        <v>346</v>
      </c>
      <c r="F1269" s="420"/>
      <c r="G1269" s="421">
        <v>12</v>
      </c>
      <c r="I1269" s="423"/>
      <c r="J1269" s="423"/>
      <c r="K1269" s="423">
        <v>85</v>
      </c>
      <c r="L1269" s="424">
        <f t="shared" si="91"/>
        <v>85</v>
      </c>
      <c r="M1269" s="134">
        <f t="shared" si="92"/>
        <v>1020</v>
      </c>
    </row>
    <row r="1270" spans="1:13" s="422" customFormat="1" ht="20.399999999999999" outlineLevel="4">
      <c r="A1270" s="422" t="s">
        <v>1847</v>
      </c>
      <c r="B1270" s="417" t="s">
        <v>929</v>
      </c>
      <c r="C1270" s="418"/>
      <c r="D1270" s="439" t="s">
        <v>2200</v>
      </c>
      <c r="E1270" s="418" t="s">
        <v>251</v>
      </c>
      <c r="F1270" s="420"/>
      <c r="G1270" s="421">
        <v>3</v>
      </c>
      <c r="I1270" s="423"/>
      <c r="J1270" s="423"/>
      <c r="K1270" s="423">
        <v>3200</v>
      </c>
      <c r="L1270" s="424">
        <f t="shared" si="91"/>
        <v>3200</v>
      </c>
      <c r="M1270" s="134">
        <f t="shared" si="92"/>
        <v>9600</v>
      </c>
    </row>
    <row r="1271" spans="1:13" s="422" customFormat="1" ht="10.199999999999999" outlineLevel="4">
      <c r="A1271" s="422" t="s">
        <v>1847</v>
      </c>
      <c r="B1271" s="417" t="s">
        <v>929</v>
      </c>
      <c r="C1271" s="418"/>
      <c r="D1271" s="439" t="s">
        <v>2201</v>
      </c>
      <c r="E1271" s="418" t="s">
        <v>251</v>
      </c>
      <c r="F1271" s="420"/>
      <c r="G1271" s="421">
        <v>24</v>
      </c>
      <c r="I1271" s="423"/>
      <c r="J1271" s="423"/>
      <c r="K1271" s="423">
        <v>820</v>
      </c>
      <c r="L1271" s="424">
        <f t="shared" si="91"/>
        <v>820</v>
      </c>
      <c r="M1271" s="134">
        <f t="shared" si="92"/>
        <v>19680</v>
      </c>
    </row>
    <row r="1272" spans="1:13" s="422" customFormat="1" ht="20.399999999999999" outlineLevel="4">
      <c r="A1272" s="422" t="s">
        <v>1847</v>
      </c>
      <c r="B1272" s="417" t="s">
        <v>929</v>
      </c>
      <c r="C1272" s="418"/>
      <c r="D1272" s="439" t="s">
        <v>2202</v>
      </c>
      <c r="E1272" s="418" t="s">
        <v>251</v>
      </c>
      <c r="F1272" s="420"/>
      <c r="G1272" s="421">
        <v>3</v>
      </c>
      <c r="I1272" s="423"/>
      <c r="J1272" s="423"/>
      <c r="K1272" s="423">
        <v>3700</v>
      </c>
      <c r="L1272" s="424">
        <f t="shared" si="91"/>
        <v>3700</v>
      </c>
      <c r="M1272" s="134">
        <f t="shared" si="92"/>
        <v>11100</v>
      </c>
    </row>
    <row r="1273" spans="1:13" s="422" customFormat="1" ht="20.399999999999999" outlineLevel="4">
      <c r="A1273" s="422" t="s">
        <v>1888</v>
      </c>
      <c r="B1273" s="417" t="s">
        <v>929</v>
      </c>
      <c r="C1273" s="418"/>
      <c r="D1273" s="439" t="s">
        <v>2203</v>
      </c>
      <c r="E1273" s="418" t="s">
        <v>228</v>
      </c>
      <c r="F1273" s="420"/>
      <c r="G1273" s="421">
        <v>3</v>
      </c>
      <c r="I1273" s="423"/>
      <c r="J1273" s="423"/>
      <c r="K1273" s="423">
        <v>1700</v>
      </c>
      <c r="L1273" s="424">
        <f t="shared" si="91"/>
        <v>1700</v>
      </c>
      <c r="M1273" s="134">
        <f t="shared" si="92"/>
        <v>5100</v>
      </c>
    </row>
    <row r="1274" spans="1:13" s="422" customFormat="1" ht="10.199999999999999" outlineLevel="4">
      <c r="A1274" s="422" t="s">
        <v>1881</v>
      </c>
      <c r="B1274" s="417" t="s">
        <v>929</v>
      </c>
      <c r="C1274" s="418"/>
      <c r="D1274" s="439" t="s">
        <v>2204</v>
      </c>
      <c r="E1274" s="418" t="s">
        <v>251</v>
      </c>
      <c r="F1274" s="420"/>
      <c r="G1274" s="421">
        <v>3</v>
      </c>
      <c r="I1274" s="423"/>
      <c r="J1274" s="423"/>
      <c r="K1274" s="423">
        <v>250</v>
      </c>
      <c r="L1274" s="424">
        <f t="shared" si="91"/>
        <v>250</v>
      </c>
      <c r="M1274" s="134">
        <f t="shared" si="92"/>
        <v>750</v>
      </c>
    </row>
    <row r="1275" spans="1:13" s="422" customFormat="1" ht="10.199999999999999" outlineLevel="4">
      <c r="A1275" s="422" t="s">
        <v>928</v>
      </c>
      <c r="B1275" s="417" t="s">
        <v>929</v>
      </c>
      <c r="C1275" s="418"/>
      <c r="D1275" s="439" t="s">
        <v>2205</v>
      </c>
      <c r="E1275" s="418" t="s">
        <v>251</v>
      </c>
      <c r="F1275" s="420"/>
      <c r="G1275" s="421">
        <v>4</v>
      </c>
      <c r="I1275" s="423"/>
      <c r="J1275" s="423"/>
      <c r="K1275" s="423">
        <v>410</v>
      </c>
      <c r="L1275" s="424">
        <f t="shared" si="91"/>
        <v>410</v>
      </c>
      <c r="M1275" s="134">
        <f t="shared" si="92"/>
        <v>1640</v>
      </c>
    </row>
    <row r="1276" spans="1:13" s="422" customFormat="1" ht="10.199999999999999" outlineLevel="4">
      <c r="A1276" s="422" t="s">
        <v>1847</v>
      </c>
      <c r="B1276" s="417" t="s">
        <v>929</v>
      </c>
      <c r="C1276" s="418"/>
      <c r="D1276" s="439" t="s">
        <v>2206</v>
      </c>
      <c r="E1276" s="418" t="s">
        <v>228</v>
      </c>
      <c r="F1276" s="420"/>
      <c r="G1276" s="421">
        <v>10</v>
      </c>
      <c r="I1276" s="423"/>
      <c r="J1276" s="423"/>
      <c r="K1276" s="423">
        <v>350</v>
      </c>
      <c r="L1276" s="424">
        <f t="shared" si="91"/>
        <v>350</v>
      </c>
      <c r="M1276" s="134">
        <f t="shared" si="92"/>
        <v>3500</v>
      </c>
    </row>
    <row r="1277" spans="1:13" s="422" customFormat="1" ht="10.199999999999999" outlineLevel="4">
      <c r="A1277" s="422" t="s">
        <v>1847</v>
      </c>
      <c r="B1277" s="417" t="s">
        <v>929</v>
      </c>
      <c r="C1277" s="418"/>
      <c r="D1277" s="439" t="s">
        <v>2207</v>
      </c>
      <c r="E1277" s="418" t="s">
        <v>251</v>
      </c>
      <c r="F1277" s="420"/>
      <c r="G1277" s="421">
        <v>6</v>
      </c>
      <c r="I1277" s="423"/>
      <c r="J1277" s="423"/>
      <c r="K1277" s="423">
        <v>350</v>
      </c>
      <c r="L1277" s="424">
        <f t="shared" si="91"/>
        <v>350</v>
      </c>
      <c r="M1277" s="134">
        <f t="shared" si="92"/>
        <v>2100</v>
      </c>
    </row>
    <row r="1278" spans="1:13" s="118" customFormat="1" ht="10.199999999999999" outlineLevel="3">
      <c r="B1278" s="116"/>
      <c r="C1278" s="158" t="s">
        <v>2208</v>
      </c>
      <c r="D1278" s="426" t="s">
        <v>2209</v>
      </c>
      <c r="E1278" s="118" t="s">
        <v>1025</v>
      </c>
      <c r="F1278" s="266"/>
      <c r="G1278" s="116"/>
      <c r="I1278" s="120"/>
      <c r="J1278" s="120"/>
      <c r="K1278" s="120"/>
      <c r="L1278" s="438">
        <v>12507.378990839999</v>
      </c>
      <c r="M1278" s="416">
        <f>SUM(M1279:M1311)</f>
        <v>39927.447500000009</v>
      </c>
    </row>
    <row r="1279" spans="1:13" s="422" customFormat="1" ht="10.199999999999999" outlineLevel="4">
      <c r="A1279" s="422" t="s">
        <v>1831</v>
      </c>
      <c r="B1279" s="417" t="s">
        <v>929</v>
      </c>
      <c r="C1279" s="418" t="s">
        <v>2210</v>
      </c>
      <c r="D1279" s="439" t="s">
        <v>2211</v>
      </c>
      <c r="E1279" s="418" t="s">
        <v>1025</v>
      </c>
      <c r="F1279" s="420"/>
      <c r="G1279" s="421">
        <v>13.44</v>
      </c>
      <c r="H1279" s="423"/>
      <c r="I1279" s="423"/>
      <c r="J1279" s="423"/>
      <c r="K1279" s="423">
        <v>110</v>
      </c>
      <c r="L1279" s="424">
        <f t="shared" ref="L1279:L1311" si="93">SUM(H1279:K1279)</f>
        <v>110</v>
      </c>
      <c r="M1279" s="134">
        <f t="shared" ref="M1279:M1311" si="94">+L1279*G1279</f>
        <v>1478.3999999999999</v>
      </c>
    </row>
    <row r="1280" spans="1:13" s="422" customFormat="1" ht="10.199999999999999" outlineLevel="4">
      <c r="A1280" s="422" t="s">
        <v>1888</v>
      </c>
      <c r="B1280" s="417" t="s">
        <v>929</v>
      </c>
      <c r="C1280" s="418" t="s">
        <v>2212</v>
      </c>
      <c r="D1280" s="439" t="s">
        <v>2213</v>
      </c>
      <c r="E1280" s="418" t="s">
        <v>550</v>
      </c>
      <c r="F1280" s="420"/>
      <c r="G1280" s="421">
        <v>1</v>
      </c>
      <c r="I1280" s="423">
        <v>2800</v>
      </c>
      <c r="J1280" s="423"/>
      <c r="K1280" s="423"/>
      <c r="L1280" s="424">
        <f t="shared" si="93"/>
        <v>2800</v>
      </c>
      <c r="M1280" s="134">
        <f t="shared" si="94"/>
        <v>2800</v>
      </c>
    </row>
    <row r="1281" spans="1:13" s="422" customFormat="1" ht="20.399999999999999" outlineLevel="4">
      <c r="A1281" s="422" t="s">
        <v>1847</v>
      </c>
      <c r="B1281" s="417" t="s">
        <v>929</v>
      </c>
      <c r="C1281" s="418" t="s">
        <v>2214</v>
      </c>
      <c r="D1281" s="439" t="s">
        <v>2215</v>
      </c>
      <c r="E1281" s="418" t="s">
        <v>550</v>
      </c>
      <c r="F1281" s="420"/>
      <c r="G1281" s="421">
        <v>1</v>
      </c>
      <c r="I1281" s="423">
        <v>1800</v>
      </c>
      <c r="J1281" s="423"/>
      <c r="K1281" s="423"/>
      <c r="L1281" s="424">
        <f t="shared" si="93"/>
        <v>1800</v>
      </c>
      <c r="M1281" s="134">
        <f t="shared" si="94"/>
        <v>1800</v>
      </c>
    </row>
    <row r="1282" spans="1:13" s="422" customFormat="1" ht="10.199999999999999" outlineLevel="4">
      <c r="A1282" s="422" t="s">
        <v>1881</v>
      </c>
      <c r="B1282" s="417" t="s">
        <v>929</v>
      </c>
      <c r="C1282" s="418" t="s">
        <v>2216</v>
      </c>
      <c r="D1282" s="439" t="s">
        <v>2217</v>
      </c>
      <c r="E1282" s="418" t="s">
        <v>890</v>
      </c>
      <c r="F1282" s="420"/>
      <c r="G1282" s="421">
        <v>1</v>
      </c>
      <c r="I1282" s="423">
        <v>584</v>
      </c>
      <c r="J1282" s="423"/>
      <c r="K1282" s="423"/>
      <c r="L1282" s="424">
        <f t="shared" si="93"/>
        <v>584</v>
      </c>
      <c r="M1282" s="134">
        <f t="shared" si="94"/>
        <v>584</v>
      </c>
    </row>
    <row r="1283" spans="1:13" s="422" customFormat="1" ht="10.199999999999999" outlineLevel="4">
      <c r="A1283" s="422" t="s">
        <v>1881</v>
      </c>
      <c r="B1283" s="417" t="s">
        <v>929</v>
      </c>
      <c r="C1283" s="418" t="s">
        <v>2218</v>
      </c>
      <c r="D1283" s="439" t="s">
        <v>2109</v>
      </c>
      <c r="E1283" s="418" t="s">
        <v>890</v>
      </c>
      <c r="F1283" s="420"/>
      <c r="G1283" s="421">
        <v>1</v>
      </c>
      <c r="I1283" s="423">
        <v>477</v>
      </c>
      <c r="J1283" s="423"/>
      <c r="K1283" s="423"/>
      <c r="L1283" s="424">
        <f t="shared" si="93"/>
        <v>477</v>
      </c>
      <c r="M1283" s="134">
        <f t="shared" si="94"/>
        <v>477</v>
      </c>
    </row>
    <row r="1284" spans="1:13" s="422" customFormat="1" ht="10.199999999999999" outlineLevel="4">
      <c r="A1284" s="422" t="s">
        <v>1841</v>
      </c>
      <c r="B1284" s="417" t="s">
        <v>929</v>
      </c>
      <c r="C1284" s="418"/>
      <c r="D1284" s="439" t="s">
        <v>2219</v>
      </c>
      <c r="E1284" s="418" t="s">
        <v>346</v>
      </c>
      <c r="F1284" s="420"/>
      <c r="G1284" s="421">
        <v>13.15</v>
      </c>
      <c r="I1284" s="423">
        <v>130</v>
      </c>
      <c r="J1284" s="423"/>
      <c r="K1284" s="423"/>
      <c r="L1284" s="424">
        <f t="shared" si="93"/>
        <v>130</v>
      </c>
      <c r="M1284" s="134">
        <f t="shared" si="94"/>
        <v>1709.5</v>
      </c>
    </row>
    <row r="1285" spans="1:13" s="422" customFormat="1" ht="10.199999999999999" outlineLevel="4">
      <c r="A1285" s="422" t="s">
        <v>1841</v>
      </c>
      <c r="B1285" s="417" t="s">
        <v>929</v>
      </c>
      <c r="C1285" s="418"/>
      <c r="D1285" s="439" t="s">
        <v>2220</v>
      </c>
      <c r="E1285" s="418" t="s">
        <v>500</v>
      </c>
      <c r="F1285" s="420"/>
      <c r="G1285" s="421">
        <v>18</v>
      </c>
      <c r="I1285" s="423">
        <v>130</v>
      </c>
      <c r="J1285" s="423"/>
      <c r="K1285" s="423"/>
      <c r="L1285" s="424">
        <f t="shared" si="93"/>
        <v>130</v>
      </c>
      <c r="M1285" s="134">
        <f t="shared" si="94"/>
        <v>2340</v>
      </c>
    </row>
    <row r="1286" spans="1:13" s="422" customFormat="1" ht="10.199999999999999" outlineLevel="4">
      <c r="A1286" s="422" t="s">
        <v>1986</v>
      </c>
      <c r="B1286" s="417" t="s">
        <v>929</v>
      </c>
      <c r="C1286" s="418"/>
      <c r="D1286" s="439" t="s">
        <v>2221</v>
      </c>
      <c r="E1286" s="418" t="s">
        <v>500</v>
      </c>
      <c r="F1286" s="420"/>
      <c r="G1286" s="421">
        <v>2</v>
      </c>
      <c r="I1286" s="423">
        <v>20</v>
      </c>
      <c r="J1286" s="423"/>
      <c r="K1286" s="423"/>
      <c r="L1286" s="424">
        <f t="shared" si="93"/>
        <v>20</v>
      </c>
      <c r="M1286" s="134">
        <f t="shared" si="94"/>
        <v>40</v>
      </c>
    </row>
    <row r="1287" spans="1:13" s="422" customFormat="1" ht="20.399999999999999" outlineLevel="4">
      <c r="A1287" s="422" t="s">
        <v>1838</v>
      </c>
      <c r="B1287" s="417" t="s">
        <v>929</v>
      </c>
      <c r="C1287" s="418"/>
      <c r="D1287" s="439" t="s">
        <v>2222</v>
      </c>
      <c r="E1287" s="418" t="s">
        <v>346</v>
      </c>
      <c r="F1287" s="420"/>
      <c r="G1287" s="421">
        <v>12</v>
      </c>
      <c r="I1287" s="423"/>
      <c r="J1287" s="423"/>
      <c r="K1287" s="423">
        <v>110</v>
      </c>
      <c r="L1287" s="424">
        <f t="shared" si="93"/>
        <v>110</v>
      </c>
      <c r="M1287" s="134">
        <f t="shared" si="94"/>
        <v>1320</v>
      </c>
    </row>
    <row r="1288" spans="1:13" s="422" customFormat="1" ht="20.399999999999999" outlineLevel="4">
      <c r="A1288" s="422" t="s">
        <v>1888</v>
      </c>
      <c r="B1288" s="417" t="s">
        <v>929</v>
      </c>
      <c r="C1288" s="418"/>
      <c r="D1288" s="439" t="s">
        <v>2223</v>
      </c>
      <c r="E1288" s="418" t="s">
        <v>228</v>
      </c>
      <c r="F1288" s="420"/>
      <c r="G1288" s="421">
        <v>1</v>
      </c>
      <c r="I1288" s="423"/>
      <c r="J1288" s="423"/>
      <c r="K1288" s="423">
        <v>7940</v>
      </c>
      <c r="L1288" s="424">
        <f t="shared" si="93"/>
        <v>7940</v>
      </c>
      <c r="M1288" s="134">
        <f t="shared" si="94"/>
        <v>7940</v>
      </c>
    </row>
    <row r="1289" spans="1:13" s="422" customFormat="1" ht="10.199999999999999" outlineLevel="4">
      <c r="A1289" s="422" t="s">
        <v>1847</v>
      </c>
      <c r="B1289" s="417" t="s">
        <v>929</v>
      </c>
      <c r="C1289" s="418"/>
      <c r="D1289" s="439" t="s">
        <v>2224</v>
      </c>
      <c r="E1289" s="418" t="s">
        <v>251</v>
      </c>
      <c r="F1289" s="420"/>
      <c r="G1289" s="421">
        <v>1</v>
      </c>
      <c r="I1289" s="423"/>
      <c r="J1289" s="423"/>
      <c r="K1289" s="423">
        <v>650</v>
      </c>
      <c r="L1289" s="424">
        <f t="shared" si="93"/>
        <v>650</v>
      </c>
      <c r="M1289" s="134">
        <f t="shared" si="94"/>
        <v>650</v>
      </c>
    </row>
    <row r="1290" spans="1:13" s="328" customFormat="1" ht="20.399999999999999" outlineLevel="4">
      <c r="A1290" s="328" t="s">
        <v>1044</v>
      </c>
      <c r="B1290" s="329" t="s">
        <v>929</v>
      </c>
      <c r="C1290" s="330"/>
      <c r="D1290" s="337" t="s">
        <v>2225</v>
      </c>
      <c r="E1290" s="330" t="s">
        <v>251</v>
      </c>
      <c r="F1290" s="332"/>
      <c r="G1290" s="333">
        <v>2</v>
      </c>
      <c r="I1290" s="334"/>
      <c r="J1290" s="334"/>
      <c r="K1290" s="334">
        <v>1450</v>
      </c>
      <c r="L1290" s="335">
        <f t="shared" si="93"/>
        <v>1450</v>
      </c>
      <c r="M1290" s="338">
        <f t="shared" si="94"/>
        <v>2900</v>
      </c>
    </row>
    <row r="1291" spans="1:13" s="328" customFormat="1" ht="10.199999999999999" outlineLevel="4">
      <c r="A1291" s="328" t="s">
        <v>1044</v>
      </c>
      <c r="B1291" s="329" t="s">
        <v>929</v>
      </c>
      <c r="C1291" s="330"/>
      <c r="D1291" s="337" t="s">
        <v>2226</v>
      </c>
      <c r="E1291" s="330" t="s">
        <v>251</v>
      </c>
      <c r="F1291" s="332"/>
      <c r="G1291" s="333">
        <v>1</v>
      </c>
      <c r="I1291" s="334"/>
      <c r="J1291" s="334"/>
      <c r="K1291" s="334">
        <v>40</v>
      </c>
      <c r="L1291" s="335">
        <f t="shared" si="93"/>
        <v>40</v>
      </c>
      <c r="M1291" s="338">
        <f t="shared" si="94"/>
        <v>40</v>
      </c>
    </row>
    <row r="1292" spans="1:13" s="328" customFormat="1" ht="10.199999999999999" outlineLevel="4">
      <c r="A1292" s="328" t="s">
        <v>1044</v>
      </c>
      <c r="B1292" s="329" t="s">
        <v>929</v>
      </c>
      <c r="C1292" s="330"/>
      <c r="D1292" s="337" t="s">
        <v>2227</v>
      </c>
      <c r="E1292" s="330" t="s">
        <v>251</v>
      </c>
      <c r="F1292" s="332"/>
      <c r="G1292" s="333">
        <v>1</v>
      </c>
      <c r="I1292" s="334"/>
      <c r="J1292" s="334"/>
      <c r="K1292" s="334">
        <v>40</v>
      </c>
      <c r="L1292" s="335">
        <f t="shared" si="93"/>
        <v>40</v>
      </c>
      <c r="M1292" s="338">
        <f t="shared" si="94"/>
        <v>40</v>
      </c>
    </row>
    <row r="1293" spans="1:13" s="328" customFormat="1" ht="10.199999999999999" outlineLevel="4">
      <c r="A1293" s="328" t="s">
        <v>1044</v>
      </c>
      <c r="B1293" s="329" t="s">
        <v>929</v>
      </c>
      <c r="C1293" s="330"/>
      <c r="D1293" s="337" t="s">
        <v>1866</v>
      </c>
      <c r="E1293" s="330" t="s">
        <v>500</v>
      </c>
      <c r="F1293" s="332"/>
      <c r="G1293" s="333">
        <v>15</v>
      </c>
      <c r="I1293" s="334"/>
      <c r="J1293" s="334"/>
      <c r="K1293" s="334">
        <f>235.91/5</f>
        <v>47.182000000000002</v>
      </c>
      <c r="L1293" s="335">
        <f t="shared" si="93"/>
        <v>47.182000000000002</v>
      </c>
      <c r="M1293" s="338">
        <f t="shared" si="94"/>
        <v>707.73</v>
      </c>
    </row>
    <row r="1294" spans="1:13" s="328" customFormat="1" ht="10.199999999999999" outlineLevel="4">
      <c r="A1294" s="328" t="s">
        <v>1044</v>
      </c>
      <c r="B1294" s="329" t="s">
        <v>929</v>
      </c>
      <c r="C1294" s="330"/>
      <c r="D1294" s="337" t="s">
        <v>1867</v>
      </c>
      <c r="E1294" s="330" t="s">
        <v>251</v>
      </c>
      <c r="F1294" s="332"/>
      <c r="G1294" s="333">
        <f>+G1293/5</f>
        <v>3</v>
      </c>
      <c r="I1294" s="334"/>
      <c r="J1294" s="334"/>
      <c r="K1294" s="334">
        <v>78.75</v>
      </c>
      <c r="L1294" s="335">
        <f t="shared" si="93"/>
        <v>78.75</v>
      </c>
      <c r="M1294" s="338">
        <f t="shared" si="94"/>
        <v>236.25</v>
      </c>
    </row>
    <row r="1295" spans="1:13" s="328" customFormat="1" ht="10.199999999999999" outlineLevel="4">
      <c r="A1295" s="328" t="s">
        <v>1044</v>
      </c>
      <c r="B1295" s="329" t="s">
        <v>929</v>
      </c>
      <c r="C1295" s="330"/>
      <c r="D1295" s="337" t="s">
        <v>1868</v>
      </c>
      <c r="E1295" s="330" t="s">
        <v>500</v>
      </c>
      <c r="F1295" s="332"/>
      <c r="G1295" s="333">
        <v>15</v>
      </c>
      <c r="I1295" s="334"/>
      <c r="J1295" s="334"/>
      <c r="K1295" s="334">
        <f>101.25/4</f>
        <v>25.3125</v>
      </c>
      <c r="L1295" s="335">
        <f t="shared" si="93"/>
        <v>25.3125</v>
      </c>
      <c r="M1295" s="338">
        <f t="shared" si="94"/>
        <v>379.6875</v>
      </c>
    </row>
    <row r="1296" spans="1:13" s="422" customFormat="1" ht="10.199999999999999" outlineLevel="4">
      <c r="A1296" s="422" t="s">
        <v>1044</v>
      </c>
      <c r="B1296" s="417" t="s">
        <v>929</v>
      </c>
      <c r="C1296" s="418"/>
      <c r="D1296" s="439" t="s">
        <v>2228</v>
      </c>
      <c r="E1296" s="418" t="s">
        <v>251</v>
      </c>
      <c r="F1296" s="420"/>
      <c r="G1296" s="421">
        <v>4</v>
      </c>
      <c r="I1296" s="423"/>
      <c r="J1296" s="423"/>
      <c r="K1296" s="423">
        <v>90</v>
      </c>
      <c r="L1296" s="424">
        <f t="shared" si="93"/>
        <v>90</v>
      </c>
      <c r="M1296" s="134">
        <f t="shared" si="94"/>
        <v>360</v>
      </c>
    </row>
    <row r="1297" spans="1:13" s="422" customFormat="1" ht="10.199999999999999" outlineLevel="4">
      <c r="A1297" s="422" t="s">
        <v>1044</v>
      </c>
      <c r="B1297" s="417" t="s">
        <v>929</v>
      </c>
      <c r="C1297" s="418"/>
      <c r="D1297" s="439" t="s">
        <v>2229</v>
      </c>
      <c r="E1297" s="418" t="s">
        <v>251</v>
      </c>
      <c r="F1297" s="420"/>
      <c r="G1297" s="421">
        <v>1</v>
      </c>
      <c r="I1297" s="423"/>
      <c r="J1297" s="423"/>
      <c r="K1297" s="423">
        <v>90</v>
      </c>
      <c r="L1297" s="424">
        <f t="shared" si="93"/>
        <v>90</v>
      </c>
      <c r="M1297" s="134">
        <f t="shared" si="94"/>
        <v>90</v>
      </c>
    </row>
    <row r="1298" spans="1:13" s="422" customFormat="1" ht="10.199999999999999" outlineLevel="4">
      <c r="A1298" s="422" t="s">
        <v>1044</v>
      </c>
      <c r="B1298" s="417" t="s">
        <v>929</v>
      </c>
      <c r="C1298" s="418"/>
      <c r="D1298" s="439" t="s">
        <v>2128</v>
      </c>
      <c r="E1298" s="418" t="s">
        <v>228</v>
      </c>
      <c r="F1298" s="420"/>
      <c r="G1298" s="421">
        <v>1</v>
      </c>
      <c r="I1298" s="423"/>
      <c r="J1298" s="423"/>
      <c r="K1298" s="423">
        <v>250</v>
      </c>
      <c r="L1298" s="424">
        <f t="shared" si="93"/>
        <v>250</v>
      </c>
      <c r="M1298" s="134">
        <f t="shared" si="94"/>
        <v>250</v>
      </c>
    </row>
    <row r="1299" spans="1:13" s="422" customFormat="1" ht="20.399999999999999" outlineLevel="4">
      <c r="A1299" s="422" t="s">
        <v>1767</v>
      </c>
      <c r="B1299" s="417" t="s">
        <v>929</v>
      </c>
      <c r="C1299" s="418"/>
      <c r="D1299" s="439" t="s">
        <v>2230</v>
      </c>
      <c r="E1299" s="418" t="s">
        <v>228</v>
      </c>
      <c r="F1299" s="420"/>
      <c r="G1299" s="421">
        <v>1</v>
      </c>
      <c r="I1299" s="423"/>
      <c r="J1299" s="423"/>
      <c r="K1299" s="423">
        <v>1800</v>
      </c>
      <c r="L1299" s="424">
        <f t="shared" si="93"/>
        <v>1800</v>
      </c>
      <c r="M1299" s="134">
        <f t="shared" si="94"/>
        <v>1800</v>
      </c>
    </row>
    <row r="1300" spans="1:13" s="422" customFormat="1" ht="30.6" outlineLevel="4">
      <c r="A1300" s="422" t="s">
        <v>1847</v>
      </c>
      <c r="B1300" s="417" t="s">
        <v>929</v>
      </c>
      <c r="C1300" s="418"/>
      <c r="D1300" s="439" t="s">
        <v>2231</v>
      </c>
      <c r="E1300" s="418" t="s">
        <v>2232</v>
      </c>
      <c r="F1300" s="420"/>
      <c r="G1300" s="421">
        <v>1</v>
      </c>
      <c r="I1300" s="423"/>
      <c r="J1300" s="423"/>
      <c r="K1300" s="423">
        <v>2400</v>
      </c>
      <c r="L1300" s="424">
        <f t="shared" si="93"/>
        <v>2400</v>
      </c>
      <c r="M1300" s="134">
        <f t="shared" si="94"/>
        <v>2400</v>
      </c>
    </row>
    <row r="1301" spans="1:13" s="422" customFormat="1" ht="10.199999999999999" outlineLevel="4">
      <c r="A1301" s="422" t="s">
        <v>1847</v>
      </c>
      <c r="B1301" s="417" t="s">
        <v>929</v>
      </c>
      <c r="C1301" s="418"/>
      <c r="D1301" s="439" t="s">
        <v>2233</v>
      </c>
      <c r="E1301" s="418" t="s">
        <v>251</v>
      </c>
      <c r="F1301" s="420"/>
      <c r="G1301" s="421">
        <v>6</v>
      </c>
      <c r="I1301" s="423"/>
      <c r="J1301" s="423"/>
      <c r="K1301" s="423">
        <v>680</v>
      </c>
      <c r="L1301" s="424">
        <f t="shared" si="93"/>
        <v>680</v>
      </c>
      <c r="M1301" s="134">
        <f t="shared" si="94"/>
        <v>4080</v>
      </c>
    </row>
    <row r="1302" spans="1:13" s="422" customFormat="1" ht="10.199999999999999" outlineLevel="4">
      <c r="A1302" s="422" t="s">
        <v>1881</v>
      </c>
      <c r="B1302" s="417" t="s">
        <v>929</v>
      </c>
      <c r="C1302" s="418"/>
      <c r="D1302" s="439" t="s">
        <v>2234</v>
      </c>
      <c r="E1302" s="418" t="s">
        <v>228</v>
      </c>
      <c r="F1302" s="420"/>
      <c r="G1302" s="421">
        <v>1</v>
      </c>
      <c r="I1302" s="423"/>
      <c r="J1302" s="423"/>
      <c r="K1302" s="423">
        <v>210</v>
      </c>
      <c r="L1302" s="424">
        <f t="shared" si="93"/>
        <v>210</v>
      </c>
      <c r="M1302" s="134">
        <f t="shared" si="94"/>
        <v>210</v>
      </c>
    </row>
    <row r="1303" spans="1:13" s="422" customFormat="1" ht="10.199999999999999" outlineLevel="4">
      <c r="A1303" s="422" t="s">
        <v>1831</v>
      </c>
      <c r="B1303" s="417" t="s">
        <v>929</v>
      </c>
      <c r="C1303" s="418"/>
      <c r="D1303" s="439" t="s">
        <v>2235</v>
      </c>
      <c r="E1303" s="418" t="s">
        <v>346</v>
      </c>
      <c r="F1303" s="420"/>
      <c r="G1303" s="421">
        <v>16.079999999999998</v>
      </c>
      <c r="I1303" s="423"/>
      <c r="J1303" s="423"/>
      <c r="K1303" s="423">
        <v>85</v>
      </c>
      <c r="L1303" s="424">
        <f t="shared" si="93"/>
        <v>85</v>
      </c>
      <c r="M1303" s="134">
        <f t="shared" si="94"/>
        <v>1366.8</v>
      </c>
    </row>
    <row r="1304" spans="1:13" s="255" customFormat="1" ht="20.399999999999999" outlineLevel="4">
      <c r="A1304" s="255" t="s">
        <v>1841</v>
      </c>
      <c r="B1304" s="269" t="s">
        <v>929</v>
      </c>
      <c r="C1304" s="244"/>
      <c r="D1304" s="429" t="s">
        <v>2236</v>
      </c>
      <c r="E1304" s="244" t="s">
        <v>346</v>
      </c>
      <c r="F1304" s="271"/>
      <c r="G1304" s="254">
        <v>2.6</v>
      </c>
      <c r="I1304" s="256">
        <f>+((33)+8+1)*1.15</f>
        <v>48.3</v>
      </c>
      <c r="J1304" s="256"/>
      <c r="K1304" s="256">
        <v>30</v>
      </c>
      <c r="L1304" s="272">
        <f t="shared" si="93"/>
        <v>78.3</v>
      </c>
      <c r="M1304" s="258">
        <f t="shared" si="94"/>
        <v>203.58</v>
      </c>
    </row>
    <row r="1305" spans="1:13" s="280" customFormat="1" ht="20.399999999999999" outlineLevel="4">
      <c r="A1305" s="280" t="s">
        <v>1841</v>
      </c>
      <c r="B1305" s="367" t="s">
        <v>929</v>
      </c>
      <c r="C1305" s="368"/>
      <c r="D1305" s="433" t="s">
        <v>2237</v>
      </c>
      <c r="E1305" s="368" t="s">
        <v>500</v>
      </c>
      <c r="F1305" s="370"/>
      <c r="G1305" s="279">
        <v>6.7</v>
      </c>
      <c r="I1305" s="281">
        <v>20</v>
      </c>
      <c r="J1305" s="281"/>
      <c r="K1305" s="281">
        <v>15</v>
      </c>
      <c r="L1305" s="282">
        <f t="shared" si="93"/>
        <v>35</v>
      </c>
      <c r="M1305" s="283">
        <f t="shared" si="94"/>
        <v>234.5</v>
      </c>
    </row>
    <row r="1306" spans="1:13" s="422" customFormat="1" ht="10.199999999999999" outlineLevel="4">
      <c r="A1306" s="422" t="s">
        <v>1981</v>
      </c>
      <c r="B1306" s="417" t="s">
        <v>929</v>
      </c>
      <c r="C1306" s="418"/>
      <c r="D1306" s="439" t="s">
        <v>2238</v>
      </c>
      <c r="E1306" s="418" t="s">
        <v>251</v>
      </c>
      <c r="F1306" s="420"/>
      <c r="G1306" s="421">
        <v>1</v>
      </c>
      <c r="I1306" s="423"/>
      <c r="J1306" s="423"/>
      <c r="K1306" s="423">
        <v>700</v>
      </c>
      <c r="L1306" s="424">
        <f t="shared" si="93"/>
        <v>700</v>
      </c>
      <c r="M1306" s="134">
        <f t="shared" si="94"/>
        <v>700</v>
      </c>
    </row>
    <row r="1307" spans="1:13" s="422" customFormat="1" ht="10.199999999999999" outlineLevel="4">
      <c r="A1307" s="422" t="s">
        <v>1044</v>
      </c>
      <c r="B1307" s="417" t="s">
        <v>929</v>
      </c>
      <c r="C1307" s="418"/>
      <c r="D1307" s="439" t="s">
        <v>2239</v>
      </c>
      <c r="E1307" s="418" t="s">
        <v>251</v>
      </c>
      <c r="F1307" s="420"/>
      <c r="G1307" s="421">
        <v>1</v>
      </c>
      <c r="I1307" s="423"/>
      <c r="J1307" s="423"/>
      <c r="K1307" s="423">
        <v>90</v>
      </c>
      <c r="L1307" s="424">
        <f t="shared" si="93"/>
        <v>90</v>
      </c>
      <c r="M1307" s="134">
        <f t="shared" si="94"/>
        <v>90</v>
      </c>
    </row>
    <row r="1308" spans="1:13" s="168" customFormat="1" ht="10.199999999999999" outlineLevel="4">
      <c r="A1308" s="168" t="s">
        <v>928</v>
      </c>
      <c r="B1308" s="166" t="s">
        <v>929</v>
      </c>
      <c r="C1308" s="117" t="s">
        <v>2240</v>
      </c>
      <c r="D1308" s="379" t="s">
        <v>2241</v>
      </c>
      <c r="E1308" s="117" t="s">
        <v>550</v>
      </c>
      <c r="F1308" s="142"/>
      <c r="G1308" s="167">
        <v>6.15</v>
      </c>
      <c r="I1308" s="169"/>
      <c r="J1308" s="169"/>
      <c r="K1308" s="169">
        <f>120*0</f>
        <v>0</v>
      </c>
      <c r="L1308" s="273">
        <f t="shared" si="93"/>
        <v>0</v>
      </c>
      <c r="M1308" s="143">
        <f t="shared" si="94"/>
        <v>0</v>
      </c>
    </row>
    <row r="1309" spans="1:13" s="118" customFormat="1" ht="20.399999999999999" outlineLevel="4">
      <c r="A1309" s="118" t="s">
        <v>1767</v>
      </c>
      <c r="B1309" s="116" t="s">
        <v>929</v>
      </c>
      <c r="C1309" s="129" t="s">
        <v>2242</v>
      </c>
      <c r="D1309" s="180" t="s">
        <v>2243</v>
      </c>
      <c r="E1309" s="129" t="s">
        <v>890</v>
      </c>
      <c r="F1309" s="130"/>
      <c r="G1309" s="131">
        <v>6</v>
      </c>
      <c r="I1309" s="120"/>
      <c r="J1309" s="120"/>
      <c r="K1309" s="120">
        <f>150</f>
        <v>150</v>
      </c>
      <c r="L1309" s="270">
        <f t="shared" si="93"/>
        <v>150</v>
      </c>
      <c r="M1309" s="134">
        <f t="shared" si="94"/>
        <v>900</v>
      </c>
    </row>
    <row r="1310" spans="1:13" s="118" customFormat="1" ht="20.399999999999999" outlineLevel="4">
      <c r="A1310" s="118" t="s">
        <v>1767</v>
      </c>
      <c r="B1310" s="116" t="s">
        <v>929</v>
      </c>
      <c r="C1310" s="129" t="s">
        <v>2244</v>
      </c>
      <c r="D1310" s="180" t="s">
        <v>2245</v>
      </c>
      <c r="E1310" s="129" t="s">
        <v>890</v>
      </c>
      <c r="F1310" s="130"/>
      <c r="G1310" s="131">
        <v>9</v>
      </c>
      <c r="I1310" s="120"/>
      <c r="J1310" s="120"/>
      <c r="K1310" s="120">
        <f>150</f>
        <v>150</v>
      </c>
      <c r="L1310" s="270">
        <f t="shared" si="93"/>
        <v>150</v>
      </c>
      <c r="M1310" s="134">
        <f t="shared" si="94"/>
        <v>1350</v>
      </c>
    </row>
    <row r="1311" spans="1:13" s="118" customFormat="1" ht="20.399999999999999" outlineLevel="4">
      <c r="A1311" s="118" t="s">
        <v>1767</v>
      </c>
      <c r="B1311" s="116" t="s">
        <v>929</v>
      </c>
      <c r="C1311" s="129" t="s">
        <v>2246</v>
      </c>
      <c r="D1311" s="180" t="s">
        <v>2247</v>
      </c>
      <c r="E1311" s="129" t="s">
        <v>890</v>
      </c>
      <c r="F1311" s="130"/>
      <c r="G1311" s="131">
        <v>3</v>
      </c>
      <c r="I1311" s="120"/>
      <c r="J1311" s="120"/>
      <c r="K1311" s="120">
        <f>150</f>
        <v>150</v>
      </c>
      <c r="L1311" s="270">
        <f t="shared" si="93"/>
        <v>150</v>
      </c>
      <c r="M1311" s="134">
        <f t="shared" si="94"/>
        <v>450</v>
      </c>
    </row>
    <row r="1312" spans="1:13" s="118" customFormat="1" ht="10.199999999999999" outlineLevel="3">
      <c r="B1312" s="116"/>
      <c r="C1312" s="158" t="s">
        <v>2248</v>
      </c>
      <c r="D1312" s="426" t="s">
        <v>2249</v>
      </c>
      <c r="E1312" s="118" t="s">
        <v>1025</v>
      </c>
      <c r="F1312" s="266"/>
      <c r="G1312" s="116"/>
      <c r="I1312" s="120"/>
      <c r="J1312" s="120"/>
      <c r="K1312" s="120"/>
      <c r="L1312" s="438">
        <v>18233.145694957191</v>
      </c>
      <c r="M1312" s="416">
        <f>SUM(M1313:M1348)</f>
        <v>42053.770000000004</v>
      </c>
    </row>
    <row r="1313" spans="1:13" s="118" customFormat="1" ht="10.199999999999999" outlineLevel="4">
      <c r="A1313" s="118" t="s">
        <v>1838</v>
      </c>
      <c r="B1313" s="116" t="s">
        <v>929</v>
      </c>
      <c r="C1313" s="129" t="s">
        <v>2250</v>
      </c>
      <c r="D1313" s="180" t="s">
        <v>2251</v>
      </c>
      <c r="E1313" s="129" t="s">
        <v>1025</v>
      </c>
      <c r="F1313" s="130"/>
      <c r="G1313" s="131">
        <v>1.6239999999999999</v>
      </c>
      <c r="I1313" s="120"/>
      <c r="J1313" s="120"/>
      <c r="K1313" s="120">
        <f>140*0</f>
        <v>0</v>
      </c>
      <c r="L1313" s="270">
        <f t="shared" ref="L1313:L1322" si="95">SUM(H1313:K1313)</f>
        <v>0</v>
      </c>
      <c r="M1313" s="134">
        <f t="shared" ref="M1313:M1348" si="96">+L1313*G1313</f>
        <v>0</v>
      </c>
    </row>
    <row r="1314" spans="1:13" s="280" customFormat="1" ht="20.399999999999999" outlineLevel="4">
      <c r="A1314" s="280" t="s">
        <v>1841</v>
      </c>
      <c r="B1314" s="367" t="s">
        <v>929</v>
      </c>
      <c r="C1314" s="368" t="s">
        <v>2252</v>
      </c>
      <c r="D1314" s="433" t="s">
        <v>2253</v>
      </c>
      <c r="E1314" s="368" t="s">
        <v>346</v>
      </c>
      <c r="F1314" s="370"/>
      <c r="G1314" s="279">
        <v>23</v>
      </c>
      <c r="H1314" s="281"/>
      <c r="I1314" s="281">
        <v>100</v>
      </c>
      <c r="J1314" s="281"/>
      <c r="K1314" s="281">
        <v>30</v>
      </c>
      <c r="L1314" s="282">
        <f t="shared" si="95"/>
        <v>130</v>
      </c>
      <c r="M1314" s="283">
        <f t="shared" si="96"/>
        <v>2990</v>
      </c>
    </row>
    <row r="1315" spans="1:13" s="422" customFormat="1" ht="10.199999999999999" outlineLevel="4">
      <c r="A1315" s="422" t="s">
        <v>1860</v>
      </c>
      <c r="B1315" s="417" t="s">
        <v>929</v>
      </c>
      <c r="C1315" s="418" t="s">
        <v>2254</v>
      </c>
      <c r="D1315" s="439" t="s">
        <v>2255</v>
      </c>
      <c r="E1315" s="418" t="s">
        <v>1025</v>
      </c>
      <c r="F1315" s="420"/>
      <c r="G1315" s="421">
        <v>2</v>
      </c>
      <c r="H1315" s="423"/>
      <c r="I1315" s="423"/>
      <c r="J1315" s="423"/>
      <c r="K1315" s="423">
        <v>40</v>
      </c>
      <c r="L1315" s="424">
        <f t="shared" si="95"/>
        <v>40</v>
      </c>
      <c r="M1315" s="134">
        <f t="shared" si="96"/>
        <v>80</v>
      </c>
    </row>
    <row r="1316" spans="1:13" s="255" customFormat="1" ht="20.399999999999999" outlineLevel="4">
      <c r="A1316" s="255" t="s">
        <v>1841</v>
      </c>
      <c r="B1316" s="269" t="s">
        <v>929</v>
      </c>
      <c r="C1316" s="244" t="s">
        <v>2256</v>
      </c>
      <c r="D1316" s="429" t="s">
        <v>2257</v>
      </c>
      <c r="E1316" s="244" t="s">
        <v>346</v>
      </c>
      <c r="F1316" s="271"/>
      <c r="G1316" s="254">
        <v>104</v>
      </c>
      <c r="H1316" s="256"/>
      <c r="I1316" s="256">
        <f>+((14*3.8)+9+1)*1.15</f>
        <v>72.679999999999993</v>
      </c>
      <c r="J1316" s="256"/>
      <c r="K1316" s="256">
        <v>30</v>
      </c>
      <c r="L1316" s="272">
        <f t="shared" si="95"/>
        <v>102.67999999999999</v>
      </c>
      <c r="M1316" s="258">
        <f t="shared" si="96"/>
        <v>10678.72</v>
      </c>
    </row>
    <row r="1317" spans="1:13" s="255" customFormat="1" ht="20.399999999999999" outlineLevel="4">
      <c r="A1317" s="255" t="s">
        <v>1841</v>
      </c>
      <c r="B1317" s="269" t="s">
        <v>929</v>
      </c>
      <c r="C1317" s="244" t="s">
        <v>1306</v>
      </c>
      <c r="D1317" s="429" t="s">
        <v>1307</v>
      </c>
      <c r="E1317" s="244" t="s">
        <v>135</v>
      </c>
      <c r="F1317" s="271"/>
      <c r="G1317" s="254">
        <v>21.5</v>
      </c>
      <c r="I1317" s="256">
        <v>20</v>
      </c>
      <c r="J1317" s="256"/>
      <c r="K1317" s="256">
        <v>15</v>
      </c>
      <c r="L1317" s="272">
        <f t="shared" si="95"/>
        <v>35</v>
      </c>
      <c r="M1317" s="258">
        <f t="shared" si="96"/>
        <v>752.5</v>
      </c>
    </row>
    <row r="1318" spans="1:13" s="422" customFormat="1" ht="10.199999999999999" outlineLevel="4">
      <c r="A1318" s="422" t="s">
        <v>928</v>
      </c>
      <c r="B1318" s="417" t="s">
        <v>929</v>
      </c>
      <c r="C1318" s="418" t="s">
        <v>2258</v>
      </c>
      <c r="D1318" s="439" t="s">
        <v>2259</v>
      </c>
      <c r="E1318" s="418" t="s">
        <v>550</v>
      </c>
      <c r="F1318" s="420"/>
      <c r="G1318" s="421">
        <v>1</v>
      </c>
      <c r="H1318" s="423"/>
      <c r="I1318" s="423"/>
      <c r="J1318" s="423"/>
      <c r="K1318" s="423">
        <v>191</v>
      </c>
      <c r="L1318" s="424">
        <f t="shared" si="95"/>
        <v>191</v>
      </c>
      <c r="M1318" s="134">
        <f t="shared" si="96"/>
        <v>191</v>
      </c>
    </row>
    <row r="1319" spans="1:13" s="168" customFormat="1" ht="10.199999999999999" outlineLevel="4">
      <c r="A1319" s="168" t="s">
        <v>1841</v>
      </c>
      <c r="B1319" s="166" t="s">
        <v>929</v>
      </c>
      <c r="C1319" s="117" t="s">
        <v>2260</v>
      </c>
      <c r="D1319" s="379" t="s">
        <v>2261</v>
      </c>
      <c r="E1319" s="117" t="s">
        <v>1025</v>
      </c>
      <c r="F1319" s="142"/>
      <c r="G1319" s="167">
        <v>17.471999999999998</v>
      </c>
      <c r="I1319" s="169">
        <f>168.730165714286*0</f>
        <v>0</v>
      </c>
      <c r="J1319" s="169"/>
      <c r="K1319" s="169">
        <f>33*0</f>
        <v>0</v>
      </c>
      <c r="L1319" s="273">
        <f t="shared" si="95"/>
        <v>0</v>
      </c>
      <c r="M1319" s="143">
        <f t="shared" si="96"/>
        <v>0</v>
      </c>
    </row>
    <row r="1320" spans="1:13" s="422" customFormat="1" ht="10.199999999999999" outlineLevel="4">
      <c r="A1320" s="422" t="s">
        <v>1815</v>
      </c>
      <c r="B1320" s="417" t="s">
        <v>929</v>
      </c>
      <c r="C1320" s="418" t="s">
        <v>2262</v>
      </c>
      <c r="D1320" s="439" t="s">
        <v>2263</v>
      </c>
      <c r="E1320" s="418" t="s">
        <v>1025</v>
      </c>
      <c r="F1320" s="420"/>
      <c r="G1320" s="444">
        <v>1</v>
      </c>
      <c r="I1320" s="423"/>
      <c r="J1320" s="423"/>
      <c r="K1320" s="423">
        <v>500</v>
      </c>
      <c r="L1320" s="424">
        <f t="shared" si="95"/>
        <v>500</v>
      </c>
      <c r="M1320" s="134">
        <f t="shared" si="96"/>
        <v>500</v>
      </c>
    </row>
    <row r="1321" spans="1:13" s="422" customFormat="1" ht="10.199999999999999" outlineLevel="4">
      <c r="A1321" s="422" t="s">
        <v>1831</v>
      </c>
      <c r="B1321" s="417" t="s">
        <v>929</v>
      </c>
      <c r="C1321" s="418" t="s">
        <v>2264</v>
      </c>
      <c r="D1321" s="439" t="s">
        <v>2265</v>
      </c>
      <c r="E1321" s="418" t="s">
        <v>1025</v>
      </c>
      <c r="F1321" s="420"/>
      <c r="G1321" s="421">
        <v>23.88</v>
      </c>
      <c r="H1321" s="423"/>
      <c r="I1321" s="423"/>
      <c r="J1321" s="423"/>
      <c r="K1321" s="423">
        <v>110</v>
      </c>
      <c r="L1321" s="424">
        <f t="shared" si="95"/>
        <v>110</v>
      </c>
      <c r="M1321" s="134">
        <f t="shared" si="96"/>
        <v>2626.7999999999997</v>
      </c>
    </row>
    <row r="1322" spans="1:13" s="422" customFormat="1" ht="10.199999999999999" outlineLevel="4">
      <c r="A1322" s="422" t="s">
        <v>1831</v>
      </c>
      <c r="B1322" s="417" t="s">
        <v>929</v>
      </c>
      <c r="C1322" s="418" t="s">
        <v>2266</v>
      </c>
      <c r="D1322" s="439" t="s">
        <v>2267</v>
      </c>
      <c r="E1322" s="418" t="s">
        <v>1025</v>
      </c>
      <c r="F1322" s="420"/>
      <c r="G1322" s="421">
        <v>34.299999999999997</v>
      </c>
      <c r="H1322" s="423"/>
      <c r="I1322" s="423"/>
      <c r="J1322" s="423"/>
      <c r="K1322" s="423">
        <v>85</v>
      </c>
      <c r="L1322" s="424">
        <f t="shared" si="95"/>
        <v>85</v>
      </c>
      <c r="M1322" s="134">
        <f t="shared" si="96"/>
        <v>2915.4999999999995</v>
      </c>
    </row>
    <row r="1323" spans="1:13" s="168" customFormat="1" ht="10.199999999999999" outlineLevel="4">
      <c r="A1323" s="168" t="s">
        <v>1831</v>
      </c>
      <c r="B1323" s="166" t="s">
        <v>929</v>
      </c>
      <c r="C1323" s="117" t="s">
        <v>2268</v>
      </c>
      <c r="D1323" s="379" t="s">
        <v>2269</v>
      </c>
      <c r="E1323" s="117" t="s">
        <v>1025</v>
      </c>
      <c r="F1323" s="142"/>
      <c r="G1323" s="167">
        <v>16.477999999999998</v>
      </c>
      <c r="I1323" s="169"/>
      <c r="J1323" s="169"/>
      <c r="K1323" s="169">
        <f>21*0</f>
        <v>0</v>
      </c>
      <c r="L1323" s="273">
        <f t="shared" ref="L1323:L1348" si="97">SUM(H1323:K1323)</f>
        <v>0</v>
      </c>
      <c r="M1323" s="143">
        <f t="shared" si="96"/>
        <v>0</v>
      </c>
    </row>
    <row r="1324" spans="1:13" s="168" customFormat="1" ht="10.199999999999999" outlineLevel="4">
      <c r="A1324" s="168" t="s">
        <v>1831</v>
      </c>
      <c r="B1324" s="166" t="s">
        <v>929</v>
      </c>
      <c r="C1324" s="117" t="s">
        <v>2270</v>
      </c>
      <c r="D1324" s="379" t="s">
        <v>2271</v>
      </c>
      <c r="E1324" s="117" t="s">
        <v>1025</v>
      </c>
      <c r="F1324" s="142"/>
      <c r="G1324" s="167">
        <v>86.186500000000024</v>
      </c>
      <c r="I1324" s="169"/>
      <c r="J1324" s="169"/>
      <c r="K1324" s="169">
        <f>21*0</f>
        <v>0</v>
      </c>
      <c r="L1324" s="273">
        <f t="shared" si="97"/>
        <v>0</v>
      </c>
      <c r="M1324" s="143">
        <f t="shared" si="96"/>
        <v>0</v>
      </c>
    </row>
    <row r="1325" spans="1:13" s="422" customFormat="1" ht="20.399999999999999" outlineLevel="4">
      <c r="A1325" s="422" t="s">
        <v>1767</v>
      </c>
      <c r="B1325" s="417" t="s">
        <v>929</v>
      </c>
      <c r="C1325" s="418" t="s">
        <v>2272</v>
      </c>
      <c r="D1325" s="439" t="s">
        <v>2273</v>
      </c>
      <c r="E1325" s="418" t="s">
        <v>550</v>
      </c>
      <c r="F1325" s="420"/>
      <c r="G1325" s="421">
        <v>21</v>
      </c>
      <c r="I1325" s="423"/>
      <c r="J1325" s="423"/>
      <c r="K1325" s="423">
        <v>60</v>
      </c>
      <c r="L1325" s="424">
        <f t="shared" si="97"/>
        <v>60</v>
      </c>
      <c r="M1325" s="134">
        <f t="shared" si="96"/>
        <v>1260</v>
      </c>
    </row>
    <row r="1326" spans="1:13" s="422" customFormat="1" ht="20.399999999999999" outlineLevel="4">
      <c r="A1326" s="422" t="s">
        <v>1981</v>
      </c>
      <c r="B1326" s="417" t="s">
        <v>929</v>
      </c>
      <c r="C1326" s="418" t="s">
        <v>2274</v>
      </c>
      <c r="D1326" s="439" t="s">
        <v>2275</v>
      </c>
      <c r="E1326" s="418" t="s">
        <v>890</v>
      </c>
      <c r="F1326" s="420"/>
      <c r="G1326" s="421">
        <v>1</v>
      </c>
      <c r="I1326" s="423"/>
      <c r="J1326" s="423"/>
      <c r="K1326" s="423">
        <v>800</v>
      </c>
      <c r="L1326" s="424">
        <f t="shared" si="97"/>
        <v>800</v>
      </c>
      <c r="M1326" s="134">
        <f t="shared" si="96"/>
        <v>800</v>
      </c>
    </row>
    <row r="1327" spans="1:13" s="422" customFormat="1" ht="20.399999999999999" outlineLevel="4">
      <c r="A1327" s="422" t="s">
        <v>1981</v>
      </c>
      <c r="B1327" s="417" t="s">
        <v>929</v>
      </c>
      <c r="C1327" s="418" t="s">
        <v>2276</v>
      </c>
      <c r="D1327" s="439" t="s">
        <v>2277</v>
      </c>
      <c r="E1327" s="418" t="s">
        <v>890</v>
      </c>
      <c r="F1327" s="420"/>
      <c r="G1327" s="421">
        <v>1</v>
      </c>
      <c r="I1327" s="423"/>
      <c r="J1327" s="423"/>
      <c r="K1327" s="423">
        <v>800</v>
      </c>
      <c r="L1327" s="424">
        <f t="shared" si="97"/>
        <v>800</v>
      </c>
      <c r="M1327" s="134">
        <f t="shared" si="96"/>
        <v>800</v>
      </c>
    </row>
    <row r="1328" spans="1:13" s="422" customFormat="1" ht="20.399999999999999" outlineLevel="4">
      <c r="A1328" s="422" t="s">
        <v>1981</v>
      </c>
      <c r="B1328" s="417" t="s">
        <v>929</v>
      </c>
      <c r="C1328" s="418" t="s">
        <v>2278</v>
      </c>
      <c r="D1328" s="439" t="s">
        <v>2279</v>
      </c>
      <c r="E1328" s="418" t="s">
        <v>890</v>
      </c>
      <c r="F1328" s="420"/>
      <c r="G1328" s="421">
        <v>1</v>
      </c>
      <c r="I1328" s="423"/>
      <c r="J1328" s="423"/>
      <c r="K1328" s="423">
        <v>800</v>
      </c>
      <c r="L1328" s="424">
        <f t="shared" si="97"/>
        <v>800</v>
      </c>
      <c r="M1328" s="134">
        <f t="shared" si="96"/>
        <v>800</v>
      </c>
    </row>
    <row r="1329" spans="1:13" s="422" customFormat="1" ht="10.199999999999999" outlineLevel="4">
      <c r="A1329" s="422" t="s">
        <v>1888</v>
      </c>
      <c r="B1329" s="417" t="s">
        <v>929</v>
      </c>
      <c r="C1329" s="418" t="s">
        <v>2280</v>
      </c>
      <c r="D1329" s="439" t="s">
        <v>2281</v>
      </c>
      <c r="E1329" s="418" t="s">
        <v>890</v>
      </c>
      <c r="F1329" s="420"/>
      <c r="G1329" s="421">
        <v>3</v>
      </c>
      <c r="I1329" s="423">
        <v>880</v>
      </c>
      <c r="J1329" s="423"/>
      <c r="K1329" s="423"/>
      <c r="L1329" s="424">
        <f t="shared" si="97"/>
        <v>880</v>
      </c>
      <c r="M1329" s="134">
        <f t="shared" si="96"/>
        <v>2640</v>
      </c>
    </row>
    <row r="1330" spans="1:13" s="422" customFormat="1" ht="10.199999999999999" outlineLevel="4">
      <c r="A1330" s="422" t="s">
        <v>1815</v>
      </c>
      <c r="B1330" s="417" t="s">
        <v>929</v>
      </c>
      <c r="C1330" s="418" t="s">
        <v>2282</v>
      </c>
      <c r="D1330" s="439" t="s">
        <v>2283</v>
      </c>
      <c r="E1330" s="418" t="s">
        <v>890</v>
      </c>
      <c r="F1330" s="420"/>
      <c r="G1330" s="421">
        <v>2</v>
      </c>
      <c r="I1330" s="423"/>
      <c r="J1330" s="423"/>
      <c r="K1330" s="423">
        <v>750</v>
      </c>
      <c r="L1330" s="424">
        <f t="shared" si="97"/>
        <v>750</v>
      </c>
      <c r="M1330" s="134">
        <f t="shared" si="96"/>
        <v>1500</v>
      </c>
    </row>
    <row r="1331" spans="1:13" s="422" customFormat="1" ht="10.199999999999999" outlineLevel="4">
      <c r="A1331" s="422" t="s">
        <v>1881</v>
      </c>
      <c r="B1331" s="417" t="s">
        <v>929</v>
      </c>
      <c r="C1331" s="418" t="s">
        <v>2284</v>
      </c>
      <c r="D1331" s="439" t="s">
        <v>2285</v>
      </c>
      <c r="E1331" s="418" t="s">
        <v>890</v>
      </c>
      <c r="F1331" s="420"/>
      <c r="G1331" s="421">
        <v>3</v>
      </c>
      <c r="I1331" s="423">
        <v>650</v>
      </c>
      <c r="J1331" s="423"/>
      <c r="K1331" s="423"/>
      <c r="L1331" s="424">
        <f t="shared" si="97"/>
        <v>650</v>
      </c>
      <c r="M1331" s="134">
        <f t="shared" si="96"/>
        <v>1950</v>
      </c>
    </row>
    <row r="1332" spans="1:13" s="422" customFormat="1" ht="10.199999999999999" outlineLevel="4">
      <c r="A1332" s="422" t="s">
        <v>1881</v>
      </c>
      <c r="B1332" s="417" t="s">
        <v>929</v>
      </c>
      <c r="C1332" s="418" t="s">
        <v>2286</v>
      </c>
      <c r="D1332" s="439" t="s">
        <v>2287</v>
      </c>
      <c r="E1332" s="418" t="s">
        <v>890</v>
      </c>
      <c r="F1332" s="420"/>
      <c r="G1332" s="421">
        <v>2</v>
      </c>
      <c r="I1332" s="423">
        <v>770</v>
      </c>
      <c r="J1332" s="423"/>
      <c r="K1332" s="423"/>
      <c r="L1332" s="424">
        <f t="shared" si="97"/>
        <v>770</v>
      </c>
      <c r="M1332" s="134">
        <f t="shared" si="96"/>
        <v>1540</v>
      </c>
    </row>
    <row r="1333" spans="1:13" s="422" customFormat="1" ht="10.199999999999999" outlineLevel="4">
      <c r="A1333" s="422" t="s">
        <v>1881</v>
      </c>
      <c r="B1333" s="417" t="s">
        <v>929</v>
      </c>
      <c r="C1333" s="418" t="s">
        <v>2288</v>
      </c>
      <c r="D1333" s="439" t="s">
        <v>2289</v>
      </c>
      <c r="E1333" s="418" t="s">
        <v>890</v>
      </c>
      <c r="F1333" s="420"/>
      <c r="G1333" s="421">
        <v>2</v>
      </c>
      <c r="I1333" s="423">
        <v>350</v>
      </c>
      <c r="J1333" s="423"/>
      <c r="K1333" s="423"/>
      <c r="L1333" s="424">
        <f t="shared" si="97"/>
        <v>350</v>
      </c>
      <c r="M1333" s="134">
        <f t="shared" si="96"/>
        <v>700</v>
      </c>
    </row>
    <row r="1334" spans="1:13" s="422" customFormat="1" ht="10.199999999999999" outlineLevel="4">
      <c r="A1334" s="422" t="s">
        <v>1881</v>
      </c>
      <c r="B1334" s="417" t="s">
        <v>929</v>
      </c>
      <c r="C1334" s="418" t="s">
        <v>2290</v>
      </c>
      <c r="D1334" s="439" t="s">
        <v>2291</v>
      </c>
      <c r="E1334" s="418" t="s">
        <v>890</v>
      </c>
      <c r="F1334" s="420"/>
      <c r="G1334" s="421">
        <v>1</v>
      </c>
      <c r="I1334" s="423">
        <v>350</v>
      </c>
      <c r="J1334" s="423"/>
      <c r="K1334" s="423"/>
      <c r="L1334" s="424">
        <f t="shared" si="97"/>
        <v>350</v>
      </c>
      <c r="M1334" s="134">
        <f t="shared" si="96"/>
        <v>350</v>
      </c>
    </row>
    <row r="1335" spans="1:13" s="422" customFormat="1" ht="10.199999999999999" outlineLevel="4">
      <c r="A1335" s="422" t="s">
        <v>1881</v>
      </c>
      <c r="B1335" s="417" t="s">
        <v>929</v>
      </c>
      <c r="C1335" s="418" t="s">
        <v>2292</v>
      </c>
      <c r="D1335" s="439" t="s">
        <v>2293</v>
      </c>
      <c r="E1335" s="418" t="s">
        <v>890</v>
      </c>
      <c r="F1335" s="420"/>
      <c r="G1335" s="421">
        <v>3</v>
      </c>
      <c r="I1335" s="423">
        <v>350</v>
      </c>
      <c r="J1335" s="423"/>
      <c r="K1335" s="423"/>
      <c r="L1335" s="424">
        <f t="shared" si="97"/>
        <v>350</v>
      </c>
      <c r="M1335" s="134">
        <f t="shared" si="96"/>
        <v>1050</v>
      </c>
    </row>
    <row r="1336" spans="1:13" s="422" customFormat="1" ht="20.399999999999999" outlineLevel="4">
      <c r="A1336" s="422" t="s">
        <v>1986</v>
      </c>
      <c r="B1336" s="417" t="s">
        <v>929</v>
      </c>
      <c r="C1336" s="418" t="s">
        <v>2294</v>
      </c>
      <c r="D1336" s="439" t="s">
        <v>2295</v>
      </c>
      <c r="E1336" s="418" t="s">
        <v>890</v>
      </c>
      <c r="F1336" s="420"/>
      <c r="G1336" s="421">
        <v>1</v>
      </c>
      <c r="I1336" s="423">
        <v>450</v>
      </c>
      <c r="J1336" s="423"/>
      <c r="K1336" s="423"/>
      <c r="L1336" s="424">
        <f t="shared" si="97"/>
        <v>450</v>
      </c>
      <c r="M1336" s="134">
        <f t="shared" si="96"/>
        <v>450</v>
      </c>
    </row>
    <row r="1337" spans="1:13" s="422" customFormat="1" ht="20.399999999999999" outlineLevel="4">
      <c r="A1337" s="422" t="s">
        <v>1986</v>
      </c>
      <c r="B1337" s="417" t="s">
        <v>929</v>
      </c>
      <c r="C1337" s="418" t="s">
        <v>2296</v>
      </c>
      <c r="D1337" s="439" t="s">
        <v>2297</v>
      </c>
      <c r="E1337" s="418" t="s">
        <v>890</v>
      </c>
      <c r="F1337" s="420"/>
      <c r="G1337" s="421">
        <v>1</v>
      </c>
      <c r="I1337" s="423">
        <v>450</v>
      </c>
      <c r="J1337" s="423"/>
      <c r="K1337" s="423"/>
      <c r="L1337" s="424">
        <f t="shared" si="97"/>
        <v>450</v>
      </c>
      <c r="M1337" s="134">
        <f t="shared" si="96"/>
        <v>450</v>
      </c>
    </row>
    <row r="1338" spans="1:13" s="422" customFormat="1" ht="20.399999999999999" outlineLevel="4">
      <c r="A1338" s="422" t="s">
        <v>1986</v>
      </c>
      <c r="B1338" s="417" t="s">
        <v>929</v>
      </c>
      <c r="C1338" s="418" t="s">
        <v>2298</v>
      </c>
      <c r="D1338" s="439" t="s">
        <v>2299</v>
      </c>
      <c r="E1338" s="418" t="s">
        <v>890</v>
      </c>
      <c r="F1338" s="420"/>
      <c r="G1338" s="421">
        <v>1</v>
      </c>
      <c r="I1338" s="423">
        <v>450</v>
      </c>
      <c r="J1338" s="423"/>
      <c r="K1338" s="423"/>
      <c r="L1338" s="424">
        <f t="shared" si="97"/>
        <v>450</v>
      </c>
      <c r="M1338" s="134">
        <f t="shared" si="96"/>
        <v>450</v>
      </c>
    </row>
    <row r="1339" spans="1:13" s="422" customFormat="1" ht="10.199999999999999" outlineLevel="4">
      <c r="A1339" s="422" t="s">
        <v>1986</v>
      </c>
      <c r="B1339" s="417" t="s">
        <v>929</v>
      </c>
      <c r="C1339" s="418" t="s">
        <v>2300</v>
      </c>
      <c r="D1339" s="439" t="s">
        <v>2301</v>
      </c>
      <c r="E1339" s="418" t="s">
        <v>890</v>
      </c>
      <c r="F1339" s="420"/>
      <c r="G1339" s="421">
        <v>3</v>
      </c>
      <c r="I1339" s="423"/>
      <c r="J1339" s="423"/>
      <c r="K1339" s="423">
        <v>20</v>
      </c>
      <c r="L1339" s="424">
        <f t="shared" si="97"/>
        <v>20</v>
      </c>
      <c r="M1339" s="134">
        <f t="shared" si="96"/>
        <v>60</v>
      </c>
    </row>
    <row r="1340" spans="1:13" s="422" customFormat="1" ht="10.199999999999999" outlineLevel="4">
      <c r="A1340" s="422" t="s">
        <v>1831</v>
      </c>
      <c r="B1340" s="417" t="s">
        <v>929</v>
      </c>
      <c r="C1340" s="418"/>
      <c r="D1340" s="439" t="s">
        <v>2302</v>
      </c>
      <c r="E1340" s="418" t="s">
        <v>346</v>
      </c>
      <c r="F1340" s="420"/>
      <c r="G1340" s="421">
        <v>9.0500000000000007</v>
      </c>
      <c r="I1340" s="423"/>
      <c r="J1340" s="423"/>
      <c r="K1340" s="423">
        <v>85</v>
      </c>
      <c r="L1340" s="424">
        <f t="shared" si="97"/>
        <v>85</v>
      </c>
      <c r="M1340" s="134">
        <f t="shared" si="96"/>
        <v>769.25000000000011</v>
      </c>
    </row>
    <row r="1341" spans="1:13" s="422" customFormat="1" ht="10.199999999999999" outlineLevel="4">
      <c r="A1341" s="422" t="s">
        <v>1847</v>
      </c>
      <c r="B1341" s="417" t="s">
        <v>929</v>
      </c>
      <c r="C1341" s="418"/>
      <c r="D1341" s="439" t="s">
        <v>2303</v>
      </c>
      <c r="E1341" s="418" t="s">
        <v>346</v>
      </c>
      <c r="F1341" s="420"/>
      <c r="G1341" s="421">
        <v>2</v>
      </c>
      <c r="I1341" s="423"/>
      <c r="J1341" s="423"/>
      <c r="K1341" s="423">
        <v>300</v>
      </c>
      <c r="L1341" s="424">
        <f t="shared" si="97"/>
        <v>300</v>
      </c>
      <c r="M1341" s="134">
        <f t="shared" si="96"/>
        <v>600</v>
      </c>
    </row>
    <row r="1342" spans="1:13" s="422" customFormat="1" ht="10.199999999999999" outlineLevel="4">
      <c r="A1342" s="422" t="s">
        <v>1847</v>
      </c>
      <c r="B1342" s="417" t="s">
        <v>929</v>
      </c>
      <c r="C1342" s="418"/>
      <c r="D1342" s="439" t="s">
        <v>2304</v>
      </c>
      <c r="E1342" s="418" t="s">
        <v>251</v>
      </c>
      <c r="F1342" s="420"/>
      <c r="G1342" s="421">
        <v>3</v>
      </c>
      <c r="I1342" s="423"/>
      <c r="J1342" s="423"/>
      <c r="K1342" s="423">
        <v>270</v>
      </c>
      <c r="L1342" s="424">
        <f t="shared" si="97"/>
        <v>270</v>
      </c>
      <c r="M1342" s="134">
        <f t="shared" si="96"/>
        <v>810</v>
      </c>
    </row>
    <row r="1343" spans="1:13" s="422" customFormat="1" ht="10.199999999999999" outlineLevel="4">
      <c r="A1343" s="422" t="s">
        <v>1847</v>
      </c>
      <c r="B1343" s="417" t="s">
        <v>929</v>
      </c>
      <c r="C1343" s="418"/>
      <c r="D1343" s="433" t="s">
        <v>1884</v>
      </c>
      <c r="E1343" s="418" t="s">
        <v>251</v>
      </c>
      <c r="F1343" s="420"/>
      <c r="G1343" s="421">
        <v>3</v>
      </c>
      <c r="I1343" s="423"/>
      <c r="J1343" s="423"/>
      <c r="K1343" s="423">
        <v>620</v>
      </c>
      <c r="L1343" s="424">
        <f t="shared" si="97"/>
        <v>620</v>
      </c>
      <c r="M1343" s="134">
        <f t="shared" si="96"/>
        <v>1860</v>
      </c>
    </row>
    <row r="1344" spans="1:13" s="422" customFormat="1" ht="10.199999999999999" outlineLevel="4">
      <c r="A1344" s="422" t="s">
        <v>1847</v>
      </c>
      <c r="B1344" s="417" t="s">
        <v>929</v>
      </c>
      <c r="C1344" s="418"/>
      <c r="D1344" s="439" t="s">
        <v>2305</v>
      </c>
      <c r="E1344" s="418" t="s">
        <v>251</v>
      </c>
      <c r="F1344" s="420"/>
      <c r="G1344" s="421">
        <v>3</v>
      </c>
      <c r="I1344" s="423"/>
      <c r="J1344" s="423"/>
      <c r="K1344" s="423">
        <v>350</v>
      </c>
      <c r="L1344" s="424">
        <f t="shared" si="97"/>
        <v>350</v>
      </c>
      <c r="M1344" s="134">
        <f t="shared" si="96"/>
        <v>1050</v>
      </c>
    </row>
    <row r="1345" spans="1:13" s="422" customFormat="1" ht="10.199999999999999" outlineLevel="4">
      <c r="A1345" s="422" t="s">
        <v>1847</v>
      </c>
      <c r="B1345" s="417" t="s">
        <v>929</v>
      </c>
      <c r="C1345" s="418"/>
      <c r="D1345" s="439" t="s">
        <v>2306</v>
      </c>
      <c r="E1345" s="418" t="s">
        <v>251</v>
      </c>
      <c r="F1345" s="420"/>
      <c r="G1345" s="421">
        <v>3</v>
      </c>
      <c r="I1345" s="423"/>
      <c r="J1345" s="423"/>
      <c r="K1345" s="423">
        <v>270</v>
      </c>
      <c r="L1345" s="424">
        <f t="shared" si="97"/>
        <v>270</v>
      </c>
      <c r="M1345" s="134">
        <f t="shared" si="96"/>
        <v>810</v>
      </c>
    </row>
    <row r="1346" spans="1:13" s="328" customFormat="1" ht="20.399999999999999" outlineLevel="4">
      <c r="A1346" s="328" t="s">
        <v>1044</v>
      </c>
      <c r="B1346" s="329" t="s">
        <v>929</v>
      </c>
      <c r="C1346" s="330"/>
      <c r="D1346" s="337" t="s">
        <v>2307</v>
      </c>
      <c r="E1346" s="330" t="s">
        <v>251</v>
      </c>
      <c r="F1346" s="332"/>
      <c r="G1346" s="333">
        <v>5</v>
      </c>
      <c r="I1346" s="334"/>
      <c r="J1346" s="334"/>
      <c r="K1346" s="334">
        <v>40</v>
      </c>
      <c r="L1346" s="335">
        <f t="shared" si="97"/>
        <v>40</v>
      </c>
      <c r="M1346" s="338">
        <f t="shared" si="96"/>
        <v>200</v>
      </c>
    </row>
    <row r="1347" spans="1:13" s="422" customFormat="1" ht="10.199999999999999" outlineLevel="4">
      <c r="A1347" s="422" t="s">
        <v>1767</v>
      </c>
      <c r="B1347" s="417" t="s">
        <v>929</v>
      </c>
      <c r="C1347" s="418"/>
      <c r="D1347" s="439" t="s">
        <v>2308</v>
      </c>
      <c r="E1347" s="418" t="s">
        <v>251</v>
      </c>
      <c r="F1347" s="420"/>
      <c r="G1347" s="421">
        <v>2</v>
      </c>
      <c r="I1347" s="423"/>
      <c r="J1347" s="423"/>
      <c r="K1347" s="423">
        <v>190</v>
      </c>
      <c r="L1347" s="424">
        <f t="shared" si="97"/>
        <v>190</v>
      </c>
      <c r="M1347" s="134">
        <f t="shared" si="96"/>
        <v>380</v>
      </c>
    </row>
    <row r="1348" spans="1:13" s="422" customFormat="1" ht="10.199999999999999" outlineLevel="4">
      <c r="A1348" s="422" t="s">
        <v>1044</v>
      </c>
      <c r="B1348" s="417" t="s">
        <v>929</v>
      </c>
      <c r="C1348" s="418"/>
      <c r="D1348" s="439" t="s">
        <v>2309</v>
      </c>
      <c r="E1348" s="418" t="s">
        <v>251</v>
      </c>
      <c r="F1348" s="420"/>
      <c r="G1348" s="421">
        <v>1</v>
      </c>
      <c r="I1348" s="423"/>
      <c r="J1348" s="423"/>
      <c r="K1348" s="423">
        <v>40</v>
      </c>
      <c r="L1348" s="424">
        <f t="shared" si="97"/>
        <v>40</v>
      </c>
      <c r="M1348" s="134">
        <f t="shared" si="96"/>
        <v>40</v>
      </c>
    </row>
    <row r="1349" spans="1:13" s="118" customFormat="1" ht="10.199999999999999" outlineLevel="3">
      <c r="B1349" s="116"/>
      <c r="C1349" s="158" t="s">
        <v>2310</v>
      </c>
      <c r="D1349" s="426" t="s">
        <v>2311</v>
      </c>
      <c r="F1349" s="266"/>
      <c r="G1349" s="116"/>
      <c r="I1349" s="120"/>
      <c r="J1349" s="120"/>
      <c r="K1349" s="120"/>
      <c r="L1349" s="438">
        <v>338263.71605420572</v>
      </c>
      <c r="M1349" s="416">
        <f>SUM(M1350:M1363)</f>
        <v>205635.44999999998</v>
      </c>
    </row>
    <row r="1350" spans="1:13" s="168" customFormat="1" ht="12.9" customHeight="1" outlineLevel="4">
      <c r="A1350" s="168" t="s">
        <v>1841</v>
      </c>
      <c r="B1350" s="166" t="s">
        <v>929</v>
      </c>
      <c r="C1350" s="117" t="s">
        <v>2312</v>
      </c>
      <c r="D1350" s="379" t="s">
        <v>2313</v>
      </c>
      <c r="E1350" s="117" t="s">
        <v>346</v>
      </c>
      <c r="F1350" s="142"/>
      <c r="G1350" s="167">
        <v>2.54</v>
      </c>
      <c r="H1350" s="169"/>
      <c r="I1350" s="169">
        <f>43.7015942857143*0</f>
        <v>0</v>
      </c>
      <c r="J1350" s="169"/>
      <c r="K1350" s="169">
        <f>33*0</f>
        <v>0</v>
      </c>
      <c r="L1350" s="273">
        <f>SUM(H1350:K1350)</f>
        <v>0</v>
      </c>
      <c r="M1350" s="143">
        <f t="shared" ref="M1350:M1359" si="98">+L1350*G1350</f>
        <v>0</v>
      </c>
    </row>
    <row r="1351" spans="1:13" s="168" customFormat="1" ht="20.399999999999999" outlineLevel="4">
      <c r="A1351" s="168" t="s">
        <v>1841</v>
      </c>
      <c r="B1351" s="166" t="s">
        <v>929</v>
      </c>
      <c r="C1351" s="117" t="s">
        <v>2314</v>
      </c>
      <c r="D1351" s="379" t="s">
        <v>2315</v>
      </c>
      <c r="E1351" s="117" t="s">
        <v>346</v>
      </c>
      <c r="F1351" s="142"/>
      <c r="G1351" s="167">
        <v>233.33</v>
      </c>
      <c r="H1351" s="169"/>
      <c r="I1351" s="169"/>
      <c r="J1351" s="169"/>
      <c r="K1351" s="169">
        <f>185*0</f>
        <v>0</v>
      </c>
      <c r="L1351" s="273">
        <f t="shared" ref="L1351:L1359" si="99">SUM(H1351:K1351)</f>
        <v>0</v>
      </c>
      <c r="M1351" s="143">
        <f t="shared" si="98"/>
        <v>0</v>
      </c>
    </row>
    <row r="1352" spans="1:13" s="168" customFormat="1" ht="20.399999999999999" outlineLevel="4">
      <c r="A1352" s="168" t="s">
        <v>1860</v>
      </c>
      <c r="B1352" s="166" t="s">
        <v>929</v>
      </c>
      <c r="C1352" s="117" t="s">
        <v>2316</v>
      </c>
      <c r="D1352" s="379" t="s">
        <v>2317</v>
      </c>
      <c r="E1352" s="117" t="s">
        <v>346</v>
      </c>
      <c r="F1352" s="142"/>
      <c r="G1352" s="167">
        <v>360.17</v>
      </c>
      <c r="H1352" s="169"/>
      <c r="I1352" s="169"/>
      <c r="J1352" s="169"/>
      <c r="K1352" s="169">
        <f>200*0</f>
        <v>0</v>
      </c>
      <c r="L1352" s="273">
        <f t="shared" si="99"/>
        <v>0</v>
      </c>
      <c r="M1352" s="143">
        <f t="shared" si="98"/>
        <v>0</v>
      </c>
    </row>
    <row r="1353" spans="1:13" s="422" customFormat="1" ht="20.399999999999999" outlineLevel="4">
      <c r="A1353" s="422" t="s">
        <v>1831</v>
      </c>
      <c r="B1353" s="417" t="s">
        <v>929</v>
      </c>
      <c r="C1353" s="418" t="s">
        <v>2318</v>
      </c>
      <c r="D1353" s="439" t="s">
        <v>2319</v>
      </c>
      <c r="E1353" s="418" t="s">
        <v>1025</v>
      </c>
      <c r="F1353" s="420"/>
      <c r="G1353" s="421">
        <v>72</v>
      </c>
      <c r="I1353" s="423"/>
      <c r="J1353" s="423"/>
      <c r="K1353" s="423">
        <v>110</v>
      </c>
      <c r="L1353" s="424">
        <f t="shared" si="99"/>
        <v>110</v>
      </c>
      <c r="M1353" s="134">
        <f t="shared" si="98"/>
        <v>7920</v>
      </c>
    </row>
    <row r="1354" spans="1:13" s="168" customFormat="1" ht="20.399999999999999" outlineLevel="4">
      <c r="A1354" s="168" t="s">
        <v>1981</v>
      </c>
      <c r="B1354" s="166" t="s">
        <v>929</v>
      </c>
      <c r="C1354" s="117" t="s">
        <v>2320</v>
      </c>
      <c r="D1354" s="379" t="s">
        <v>2321</v>
      </c>
      <c r="E1354" s="117" t="s">
        <v>890</v>
      </c>
      <c r="F1354" s="142"/>
      <c r="G1354" s="167">
        <v>1</v>
      </c>
      <c r="I1354" s="169">
        <f>416.955*0</f>
        <v>0</v>
      </c>
      <c r="J1354" s="169"/>
      <c r="K1354" s="169">
        <f>90*0</f>
        <v>0</v>
      </c>
      <c r="L1354" s="273">
        <f t="shared" si="99"/>
        <v>0</v>
      </c>
      <c r="M1354" s="143">
        <f t="shared" si="98"/>
        <v>0</v>
      </c>
    </row>
    <row r="1355" spans="1:13" s="168" customFormat="1" ht="10.199999999999999" outlineLevel="4">
      <c r="A1355" s="168" t="s">
        <v>1847</v>
      </c>
      <c r="B1355" s="166" t="s">
        <v>929</v>
      </c>
      <c r="C1355" s="117" t="s">
        <v>2322</v>
      </c>
      <c r="D1355" s="379" t="s">
        <v>2323</v>
      </c>
      <c r="E1355" s="117" t="s">
        <v>890</v>
      </c>
      <c r="F1355" s="142"/>
      <c r="G1355" s="167">
        <v>1</v>
      </c>
      <c r="I1355" s="169"/>
      <c r="J1355" s="169"/>
      <c r="K1355" s="169">
        <f>179585.796875*0</f>
        <v>0</v>
      </c>
      <c r="L1355" s="273">
        <f t="shared" si="99"/>
        <v>0</v>
      </c>
      <c r="M1355" s="143">
        <f t="shared" si="98"/>
        <v>0</v>
      </c>
    </row>
    <row r="1356" spans="1:13" s="422" customFormat="1" ht="10.199999999999999" outlineLevel="4">
      <c r="A1356" s="422" t="s">
        <v>1767</v>
      </c>
      <c r="B1356" s="417" t="s">
        <v>929</v>
      </c>
      <c r="C1356" s="418"/>
      <c r="D1356" s="439" t="s">
        <v>2324</v>
      </c>
      <c r="E1356" s="418" t="s">
        <v>251</v>
      </c>
      <c r="F1356" s="420"/>
      <c r="G1356" s="421">
        <v>5</v>
      </c>
      <c r="I1356" s="423"/>
      <c r="J1356" s="423"/>
      <c r="K1356" s="423">
        <v>1200</v>
      </c>
      <c r="L1356" s="424">
        <f t="shared" si="99"/>
        <v>1200</v>
      </c>
      <c r="M1356" s="134">
        <f t="shared" si="98"/>
        <v>6000</v>
      </c>
    </row>
    <row r="1357" spans="1:13" s="422" customFormat="1" ht="10.199999999999999" outlineLevel="4">
      <c r="A1357" s="422" t="s">
        <v>1767</v>
      </c>
      <c r="B1357" s="417" t="s">
        <v>929</v>
      </c>
      <c r="C1357" s="418"/>
      <c r="D1357" s="439" t="s">
        <v>2325</v>
      </c>
      <c r="E1357" s="418" t="s">
        <v>500</v>
      </c>
      <c r="F1357" s="420"/>
      <c r="G1357" s="421">
        <v>52.26</v>
      </c>
      <c r="I1357" s="423"/>
      <c r="J1357" s="423"/>
      <c r="K1357" s="423">
        <v>550</v>
      </c>
      <c r="L1357" s="424">
        <f t="shared" si="99"/>
        <v>550</v>
      </c>
      <c r="M1357" s="134">
        <f t="shared" si="98"/>
        <v>28743</v>
      </c>
    </row>
    <row r="1358" spans="1:13" s="422" customFormat="1" ht="10.199999999999999" outlineLevel="4">
      <c r="A1358" s="422" t="s">
        <v>928</v>
      </c>
      <c r="B1358" s="417" t="s">
        <v>929</v>
      </c>
      <c r="C1358" s="418"/>
      <c r="D1358" s="439" t="s">
        <v>2326</v>
      </c>
      <c r="E1358" s="418" t="s">
        <v>500</v>
      </c>
      <c r="F1358" s="420"/>
      <c r="G1358" s="421">
        <v>44.2</v>
      </c>
      <c r="I1358" s="423"/>
      <c r="J1358" s="423"/>
      <c r="K1358" s="423">
        <v>100</v>
      </c>
      <c r="L1358" s="424">
        <f t="shared" si="99"/>
        <v>100</v>
      </c>
      <c r="M1358" s="134">
        <f t="shared" si="98"/>
        <v>4420</v>
      </c>
    </row>
    <row r="1359" spans="1:13" s="422" customFormat="1" ht="10.199999999999999" outlineLevel="4">
      <c r="A1359" s="422" t="s">
        <v>1767</v>
      </c>
      <c r="B1359" s="417" t="s">
        <v>929</v>
      </c>
      <c r="C1359" s="418" t="s">
        <v>2327</v>
      </c>
      <c r="D1359" s="439" t="s">
        <v>2328</v>
      </c>
      <c r="E1359" s="418" t="s">
        <v>550</v>
      </c>
      <c r="F1359" s="420"/>
      <c r="G1359" s="421">
        <v>145.06899999999999</v>
      </c>
      <c r="I1359" s="423">
        <v>1050</v>
      </c>
      <c r="J1359" s="423"/>
      <c r="K1359" s="423"/>
      <c r="L1359" s="424">
        <f t="shared" si="99"/>
        <v>1050</v>
      </c>
      <c r="M1359" s="134">
        <f t="shared" si="98"/>
        <v>152322.44999999998</v>
      </c>
    </row>
    <row r="1360" spans="1:13" s="328" customFormat="1" ht="10.199999999999999" outlineLevel="4">
      <c r="B1360" s="329"/>
      <c r="C1360" s="330"/>
      <c r="D1360" s="445" t="s">
        <v>2329</v>
      </c>
      <c r="E1360" s="330"/>
      <c r="F1360" s="332"/>
      <c r="G1360" s="333"/>
      <c r="I1360" s="334"/>
      <c r="J1360" s="334"/>
      <c r="K1360" s="334"/>
      <c r="L1360" s="335"/>
      <c r="M1360" s="338"/>
    </row>
    <row r="1361" spans="1:13" s="328" customFormat="1" ht="10.199999999999999" outlineLevel="4">
      <c r="A1361" s="328" t="s">
        <v>1044</v>
      </c>
      <c r="B1361" s="329" t="s">
        <v>929</v>
      </c>
      <c r="C1361" s="330"/>
      <c r="D1361" s="337" t="s">
        <v>2330</v>
      </c>
      <c r="E1361" s="330" t="s">
        <v>1046</v>
      </c>
      <c r="F1361" s="332"/>
      <c r="G1361" s="333">
        <v>22</v>
      </c>
      <c r="I1361" s="334">
        <v>70</v>
      </c>
      <c r="J1361" s="334"/>
      <c r="K1361" s="334"/>
      <c r="L1361" s="335">
        <f>SUM(H1361:K1361)</f>
        <v>70</v>
      </c>
      <c r="M1361" s="338">
        <f>+L1361*G1361</f>
        <v>1540</v>
      </c>
    </row>
    <row r="1362" spans="1:13" s="328" customFormat="1" ht="10.199999999999999" outlineLevel="4">
      <c r="A1362" s="328" t="s">
        <v>1044</v>
      </c>
      <c r="B1362" s="329" t="s">
        <v>929</v>
      </c>
      <c r="C1362" s="330"/>
      <c r="D1362" s="337" t="s">
        <v>2330</v>
      </c>
      <c r="E1362" s="330" t="s">
        <v>1046</v>
      </c>
      <c r="F1362" s="332"/>
      <c r="G1362" s="333">
        <v>22</v>
      </c>
      <c r="I1362" s="334">
        <v>70</v>
      </c>
      <c r="J1362" s="334"/>
      <c r="K1362" s="334"/>
      <c r="L1362" s="335">
        <f>SUM(H1362:K1362)</f>
        <v>70</v>
      </c>
      <c r="M1362" s="338">
        <f>+L1362*G1362</f>
        <v>1540</v>
      </c>
    </row>
    <row r="1363" spans="1:13" s="328" customFormat="1" ht="20.399999999999999" outlineLevel="4">
      <c r="A1363" s="328" t="s">
        <v>1044</v>
      </c>
      <c r="B1363" s="329" t="s">
        <v>929</v>
      </c>
      <c r="C1363" s="330"/>
      <c r="D1363" s="337" t="s">
        <v>2331</v>
      </c>
      <c r="E1363" s="330" t="s">
        <v>1046</v>
      </c>
      <c r="F1363" s="332"/>
      <c r="G1363" s="333">
        <v>45</v>
      </c>
      <c r="I1363" s="334">
        <v>70</v>
      </c>
      <c r="J1363" s="334"/>
      <c r="K1363" s="334"/>
      <c r="L1363" s="335">
        <f>SUM(H1363:K1363)</f>
        <v>70</v>
      </c>
      <c r="M1363" s="338">
        <f>+L1363*G1363</f>
        <v>3150</v>
      </c>
    </row>
    <row r="1364" spans="1:13" s="422" customFormat="1" ht="10.199999999999999" outlineLevel="4">
      <c r="B1364" s="417"/>
      <c r="C1364" s="418"/>
      <c r="D1364" s="419"/>
      <c r="E1364" s="418"/>
      <c r="F1364" s="420"/>
      <c r="G1364" s="421"/>
      <c r="I1364" s="423"/>
      <c r="J1364" s="423"/>
      <c r="K1364" s="423"/>
      <c r="L1364" s="424"/>
      <c r="M1364" s="134"/>
    </row>
    <row r="1365" spans="1:13" s="118" customFormat="1" ht="10.199999999999999" outlineLevel="2">
      <c r="B1365" s="116"/>
      <c r="C1365" s="158" t="s">
        <v>2332</v>
      </c>
      <c r="D1365" s="426" t="s">
        <v>2333</v>
      </c>
      <c r="F1365" s="266"/>
      <c r="G1365" s="116"/>
      <c r="I1365" s="120"/>
      <c r="J1365" s="120"/>
      <c r="K1365" s="120"/>
      <c r="L1365" s="438">
        <v>210581.28500000003</v>
      </c>
      <c r="M1365" s="416">
        <f>SUM(M1366:M1382)</f>
        <v>237040.005</v>
      </c>
    </row>
    <row r="1366" spans="1:13" s="422" customFormat="1" ht="10.199999999999999" outlineLevel="4">
      <c r="A1366" s="422" t="s">
        <v>1767</v>
      </c>
      <c r="B1366" s="417" t="s">
        <v>929</v>
      </c>
      <c r="C1366" s="418" t="s">
        <v>2334</v>
      </c>
      <c r="D1366" s="439" t="s">
        <v>2335</v>
      </c>
      <c r="E1366" s="418" t="s">
        <v>228</v>
      </c>
      <c r="F1366" s="420"/>
      <c r="G1366" s="421">
        <v>1</v>
      </c>
      <c r="H1366" s="423"/>
      <c r="I1366" s="423"/>
      <c r="J1366" s="423"/>
      <c r="K1366" s="423">
        <v>150700</v>
      </c>
      <c r="L1366" s="424">
        <f>SUM(H1366:K1366)</f>
        <v>150700</v>
      </c>
      <c r="M1366" s="134">
        <f>+L1366*G1366</f>
        <v>150700</v>
      </c>
    </row>
    <row r="1367" spans="1:13" s="422" customFormat="1" ht="10.199999999999999" outlineLevel="4">
      <c r="A1367" s="422" t="s">
        <v>928</v>
      </c>
      <c r="B1367" s="417" t="s">
        <v>929</v>
      </c>
      <c r="C1367" s="418" t="s">
        <v>2336</v>
      </c>
      <c r="D1367" s="439" t="s">
        <v>2337</v>
      </c>
      <c r="E1367" s="418" t="s">
        <v>251</v>
      </c>
      <c r="F1367" s="420"/>
      <c r="G1367" s="421">
        <v>19</v>
      </c>
      <c r="H1367" s="423"/>
      <c r="I1367" s="423"/>
      <c r="J1367" s="423"/>
      <c r="K1367" s="423">
        <v>1150</v>
      </c>
      <c r="L1367" s="424">
        <f>SUM(H1367:K1367)</f>
        <v>1150</v>
      </c>
      <c r="M1367" s="134">
        <f>+L1367*G1367</f>
        <v>21850</v>
      </c>
    </row>
    <row r="1368" spans="1:13" s="422" customFormat="1" ht="10.199999999999999" outlineLevel="4">
      <c r="A1368" s="422" t="s">
        <v>928</v>
      </c>
      <c r="B1368" s="417" t="s">
        <v>929</v>
      </c>
      <c r="C1368" s="418" t="s">
        <v>2338</v>
      </c>
      <c r="D1368" s="439" t="s">
        <v>2339</v>
      </c>
      <c r="E1368" s="418" t="s">
        <v>500</v>
      </c>
      <c r="F1368" s="420"/>
      <c r="G1368" s="421">
        <v>109</v>
      </c>
      <c r="H1368" s="423"/>
      <c r="I1368" s="423"/>
      <c r="J1368" s="423"/>
      <c r="K1368" s="423">
        <v>18</v>
      </c>
      <c r="L1368" s="424">
        <f>SUM(H1368:K1368)</f>
        <v>18</v>
      </c>
      <c r="M1368" s="134">
        <f>+L1368*G1368</f>
        <v>1962</v>
      </c>
    </row>
    <row r="1369" spans="1:13" s="422" customFormat="1" ht="10.199999999999999" outlineLevel="4">
      <c r="A1369" s="422" t="s">
        <v>1044</v>
      </c>
      <c r="B1369" s="417" t="s">
        <v>929</v>
      </c>
      <c r="C1369" s="418" t="s">
        <v>2340</v>
      </c>
      <c r="D1369" s="439" t="s">
        <v>2341</v>
      </c>
      <c r="E1369" s="418" t="s">
        <v>251</v>
      </c>
      <c r="F1369" s="420"/>
      <c r="G1369" s="421">
        <v>157</v>
      </c>
      <c r="H1369" s="423"/>
      <c r="I1369" s="423"/>
      <c r="J1369" s="423"/>
      <c r="K1369" s="423">
        <v>70.180000000000007</v>
      </c>
      <c r="L1369" s="424">
        <f>SUM(H1369:K1369)</f>
        <v>70.180000000000007</v>
      </c>
      <c r="M1369" s="134">
        <f>+L1369*G1369</f>
        <v>11018.26</v>
      </c>
    </row>
    <row r="1370" spans="1:13" s="446" customFormat="1" outlineLevel="4">
      <c r="A1370" s="446" t="s">
        <v>1044</v>
      </c>
      <c r="B1370" s="417" t="s">
        <v>929</v>
      </c>
      <c r="C1370" s="418" t="s">
        <v>2342</v>
      </c>
      <c r="D1370" s="439" t="s">
        <v>2343</v>
      </c>
      <c r="E1370" s="418" t="s">
        <v>251</v>
      </c>
      <c r="F1370" s="420"/>
      <c r="G1370" s="421">
        <v>157</v>
      </c>
      <c r="H1370" s="423"/>
      <c r="I1370" s="423"/>
      <c r="J1370" s="423"/>
      <c r="K1370" s="423">
        <v>15</v>
      </c>
      <c r="L1370" s="424">
        <f>SUM(H1370:K1370)</f>
        <v>15</v>
      </c>
      <c r="M1370" s="134">
        <f>+L1370*G1370</f>
        <v>2355</v>
      </c>
    </row>
    <row r="1371" spans="1:13" s="447" customFormat="1" outlineLevel="4">
      <c r="B1371" s="329"/>
      <c r="C1371" s="330"/>
      <c r="D1371" s="445" t="s">
        <v>2329</v>
      </c>
      <c r="E1371" s="330"/>
      <c r="F1371" s="332"/>
      <c r="G1371" s="333"/>
      <c r="H1371" s="334"/>
      <c r="I1371" s="334"/>
      <c r="J1371" s="334"/>
      <c r="K1371" s="334"/>
      <c r="L1371" s="335"/>
      <c r="M1371" s="338"/>
    </row>
    <row r="1372" spans="1:13" s="447" customFormat="1" ht="21.6" outlineLevel="4">
      <c r="A1372" s="447" t="s">
        <v>1044</v>
      </c>
      <c r="B1372" s="329" t="s">
        <v>929</v>
      </c>
      <c r="C1372" s="330"/>
      <c r="D1372" s="337" t="s">
        <v>2344</v>
      </c>
      <c r="E1372" s="330" t="s">
        <v>1046</v>
      </c>
      <c r="F1372" s="332"/>
      <c r="G1372" s="333">
        <v>25</v>
      </c>
      <c r="H1372" s="334"/>
      <c r="I1372" s="334"/>
      <c r="J1372" s="334"/>
      <c r="K1372" s="334">
        <v>89</v>
      </c>
      <c r="L1372" s="335">
        <f t="shared" ref="L1372:L1382" si="100">SUM(H1372:K1372)</f>
        <v>89</v>
      </c>
      <c r="M1372" s="338">
        <f t="shared" ref="M1372:M1382" si="101">+L1372*G1372</f>
        <v>2225</v>
      </c>
    </row>
    <row r="1373" spans="1:13" s="447" customFormat="1" ht="21.6" outlineLevel="4">
      <c r="A1373" s="447" t="s">
        <v>1044</v>
      </c>
      <c r="B1373" s="329" t="s">
        <v>929</v>
      </c>
      <c r="C1373" s="330"/>
      <c r="D1373" s="337" t="s">
        <v>2345</v>
      </c>
      <c r="E1373" s="330" t="s">
        <v>500</v>
      </c>
      <c r="F1373" s="332"/>
      <c r="G1373" s="333">
        <v>126</v>
      </c>
      <c r="H1373" s="334"/>
      <c r="I1373" s="334"/>
      <c r="J1373" s="334"/>
      <c r="K1373" s="334">
        <v>47.182499999999997</v>
      </c>
      <c r="L1373" s="335">
        <f t="shared" si="100"/>
        <v>47.182499999999997</v>
      </c>
      <c r="M1373" s="338">
        <f t="shared" si="101"/>
        <v>5944.9949999999999</v>
      </c>
    </row>
    <row r="1374" spans="1:13" s="447" customFormat="1" outlineLevel="4">
      <c r="A1374" s="447" t="s">
        <v>1044</v>
      </c>
      <c r="B1374" s="329" t="s">
        <v>929</v>
      </c>
      <c r="C1374" s="330"/>
      <c r="D1374" s="337" t="s">
        <v>2346</v>
      </c>
      <c r="E1374" s="330" t="s">
        <v>251</v>
      </c>
      <c r="F1374" s="332"/>
      <c r="G1374" s="333">
        <f>+G1373/5</f>
        <v>25.2</v>
      </c>
      <c r="H1374" s="334"/>
      <c r="I1374" s="334"/>
      <c r="J1374" s="334"/>
      <c r="K1374" s="334">
        <v>78.75</v>
      </c>
      <c r="L1374" s="335">
        <f t="shared" si="100"/>
        <v>78.75</v>
      </c>
      <c r="M1374" s="338">
        <f t="shared" si="101"/>
        <v>1984.5</v>
      </c>
    </row>
    <row r="1375" spans="1:13" s="447" customFormat="1" ht="21.6" outlineLevel="4">
      <c r="A1375" s="447" t="s">
        <v>1044</v>
      </c>
      <c r="B1375" s="329" t="s">
        <v>929</v>
      </c>
      <c r="C1375" s="330"/>
      <c r="D1375" s="337" t="s">
        <v>2347</v>
      </c>
      <c r="E1375" s="330" t="s">
        <v>500</v>
      </c>
      <c r="F1375" s="332"/>
      <c r="G1375" s="333">
        <v>126</v>
      </c>
      <c r="H1375" s="334"/>
      <c r="I1375" s="334"/>
      <c r="J1375" s="334"/>
      <c r="K1375" s="334">
        <v>101.25</v>
      </c>
      <c r="L1375" s="335">
        <f t="shared" si="100"/>
        <v>101.25</v>
      </c>
      <c r="M1375" s="338">
        <f t="shared" si="101"/>
        <v>12757.5</v>
      </c>
    </row>
    <row r="1376" spans="1:13" s="447" customFormat="1" outlineLevel="4">
      <c r="A1376" s="447" t="s">
        <v>1044</v>
      </c>
      <c r="B1376" s="329" t="s">
        <v>929</v>
      </c>
      <c r="C1376" s="330"/>
      <c r="D1376" s="337" t="s">
        <v>2348</v>
      </c>
      <c r="E1376" s="330" t="s">
        <v>500</v>
      </c>
      <c r="F1376" s="332"/>
      <c r="G1376" s="333">
        <v>90</v>
      </c>
      <c r="H1376" s="334"/>
      <c r="I1376" s="334"/>
      <c r="J1376" s="334"/>
      <c r="K1376" s="334">
        <v>47.182499999999997</v>
      </c>
      <c r="L1376" s="335">
        <f t="shared" si="100"/>
        <v>47.182499999999997</v>
      </c>
      <c r="M1376" s="338">
        <f t="shared" si="101"/>
        <v>4246.4250000000002</v>
      </c>
    </row>
    <row r="1377" spans="1:13" s="447" customFormat="1" outlineLevel="4">
      <c r="A1377" s="447" t="s">
        <v>1044</v>
      </c>
      <c r="B1377" s="329" t="s">
        <v>929</v>
      </c>
      <c r="C1377" s="330"/>
      <c r="D1377" s="337" t="s">
        <v>2349</v>
      </c>
      <c r="E1377" s="330" t="s">
        <v>251</v>
      </c>
      <c r="F1377" s="332"/>
      <c r="G1377" s="333">
        <f>+G1376/5</f>
        <v>18</v>
      </c>
      <c r="H1377" s="334"/>
      <c r="I1377" s="334"/>
      <c r="J1377" s="334"/>
      <c r="K1377" s="334">
        <v>110.21250000000001</v>
      </c>
      <c r="L1377" s="335">
        <f t="shared" si="100"/>
        <v>110.21250000000001</v>
      </c>
      <c r="M1377" s="338">
        <f t="shared" si="101"/>
        <v>1983.825</v>
      </c>
    </row>
    <row r="1378" spans="1:13" s="447" customFormat="1" outlineLevel="4">
      <c r="A1378" s="447" t="s">
        <v>1044</v>
      </c>
      <c r="B1378" s="329" t="s">
        <v>929</v>
      </c>
      <c r="C1378" s="330"/>
      <c r="D1378" s="337" t="s">
        <v>2350</v>
      </c>
      <c r="E1378" s="330" t="s">
        <v>500</v>
      </c>
      <c r="F1378" s="332"/>
      <c r="G1378" s="333">
        <v>90</v>
      </c>
      <c r="H1378" s="334"/>
      <c r="I1378" s="334"/>
      <c r="J1378" s="334"/>
      <c r="K1378" s="334">
        <v>101.25</v>
      </c>
      <c r="L1378" s="335">
        <f t="shared" si="100"/>
        <v>101.25</v>
      </c>
      <c r="M1378" s="338">
        <f t="shared" si="101"/>
        <v>9112.5</v>
      </c>
    </row>
    <row r="1379" spans="1:13" s="447" customFormat="1" outlineLevel="4">
      <c r="A1379" s="447" t="s">
        <v>1044</v>
      </c>
      <c r="B1379" s="329" t="s">
        <v>929</v>
      </c>
      <c r="C1379" s="330"/>
      <c r="D1379" s="337" t="s">
        <v>2351</v>
      </c>
      <c r="E1379" s="330" t="s">
        <v>1046</v>
      </c>
      <c r="F1379" s="332"/>
      <c r="G1379" s="333">
        <v>112</v>
      </c>
      <c r="H1379" s="334"/>
      <c r="I1379" s="334"/>
      <c r="J1379" s="334"/>
      <c r="K1379" s="334">
        <v>50</v>
      </c>
      <c r="L1379" s="335">
        <f t="shared" si="100"/>
        <v>50</v>
      </c>
      <c r="M1379" s="338">
        <f t="shared" si="101"/>
        <v>5600</v>
      </c>
    </row>
    <row r="1380" spans="1:13" s="447" customFormat="1" outlineLevel="4">
      <c r="A1380" s="447" t="s">
        <v>1044</v>
      </c>
      <c r="B1380" s="329" t="s">
        <v>929</v>
      </c>
      <c r="C1380" s="330"/>
      <c r="D1380" s="337" t="s">
        <v>2352</v>
      </c>
      <c r="E1380" s="330" t="s">
        <v>1046</v>
      </c>
      <c r="F1380" s="332"/>
      <c r="G1380" s="333">
        <v>96</v>
      </c>
      <c r="H1380" s="334"/>
      <c r="I1380" s="334"/>
      <c r="J1380" s="334"/>
      <c r="K1380" s="334">
        <v>50</v>
      </c>
      <c r="L1380" s="335">
        <f t="shared" si="100"/>
        <v>50</v>
      </c>
      <c r="M1380" s="338">
        <f t="shared" si="101"/>
        <v>4800</v>
      </c>
    </row>
    <row r="1381" spans="1:13" s="447" customFormat="1" outlineLevel="4">
      <c r="A1381" s="447" t="s">
        <v>1044</v>
      </c>
      <c r="B1381" s="329" t="s">
        <v>929</v>
      </c>
      <c r="C1381" s="330"/>
      <c r="D1381" s="337" t="s">
        <v>2353</v>
      </c>
      <c r="E1381" s="330" t="s">
        <v>1046</v>
      </c>
      <c r="F1381" s="332"/>
      <c r="G1381" s="333">
        <v>5</v>
      </c>
      <c r="H1381" s="334"/>
      <c r="I1381" s="334"/>
      <c r="J1381" s="334"/>
      <c r="K1381" s="334">
        <v>50</v>
      </c>
      <c r="L1381" s="335">
        <f t="shared" si="100"/>
        <v>50</v>
      </c>
      <c r="M1381" s="338">
        <f t="shared" si="101"/>
        <v>250</v>
      </c>
    </row>
    <row r="1382" spans="1:13" s="447" customFormat="1" outlineLevel="4">
      <c r="A1382" s="447" t="s">
        <v>1044</v>
      </c>
      <c r="B1382" s="329" t="s">
        <v>929</v>
      </c>
      <c r="C1382" s="330"/>
      <c r="D1382" s="337" t="s">
        <v>2354</v>
      </c>
      <c r="E1382" s="330" t="s">
        <v>1046</v>
      </c>
      <c r="F1382" s="332"/>
      <c r="G1382" s="333">
        <v>5</v>
      </c>
      <c r="H1382" s="334"/>
      <c r="I1382" s="334"/>
      <c r="J1382" s="334"/>
      <c r="K1382" s="334">
        <v>50</v>
      </c>
      <c r="L1382" s="335">
        <f t="shared" si="100"/>
        <v>50</v>
      </c>
      <c r="M1382" s="338">
        <f t="shared" si="101"/>
        <v>250</v>
      </c>
    </row>
    <row r="1383" spans="1:13" s="447" customFormat="1" outlineLevel="4">
      <c r="B1383" s="329"/>
      <c r="C1383" s="330"/>
      <c r="D1383" s="448"/>
      <c r="E1383" s="330"/>
      <c r="F1383" s="332"/>
      <c r="G1383" s="333"/>
      <c r="H1383" s="334"/>
      <c r="I1383" s="334"/>
      <c r="J1383" s="334"/>
      <c r="K1383" s="334"/>
      <c r="L1383" s="335"/>
      <c r="M1383" s="338"/>
    </row>
    <row r="1384" spans="1:13" outlineLevel="3">
      <c r="B1384" s="116"/>
      <c r="G1384" s="175"/>
      <c r="M1384" s="177"/>
    </row>
    <row r="1385" spans="1:13" outlineLevel="2">
      <c r="B1385" s="116"/>
      <c r="G1385" s="175"/>
      <c r="M1385" s="177"/>
    </row>
    <row r="1386" spans="1:13" outlineLevel="1">
      <c r="B1386" s="116"/>
      <c r="G1386" s="175"/>
      <c r="M1386" s="177"/>
    </row>
    <row r="1387" spans="1:13">
      <c r="B1387" s="116"/>
      <c r="G1387" s="175"/>
      <c r="M1387" s="177"/>
    </row>
    <row r="1388" spans="1:13">
      <c r="B1388" s="116"/>
      <c r="C1388" s="117" t="s">
        <v>2355</v>
      </c>
      <c r="D1388" s="117" t="s">
        <v>2356</v>
      </c>
      <c r="F1388" s="119"/>
      <c r="G1388" s="116"/>
      <c r="H1388" s="118"/>
      <c r="I1388" s="118"/>
      <c r="J1388" s="118"/>
      <c r="K1388" s="120"/>
      <c r="L1388" s="121"/>
      <c r="M1388" s="122">
        <f>+M1389+M1464+M1577+M1615+M1648</f>
        <v>2410900.0183454514</v>
      </c>
    </row>
    <row r="1389" spans="1:13" outlineLevel="1">
      <c r="B1389" s="116"/>
      <c r="C1389" s="123" t="s">
        <v>2357</v>
      </c>
      <c r="D1389" s="449" t="s">
        <v>2358</v>
      </c>
      <c r="E1389" s="118" t="s">
        <v>96</v>
      </c>
      <c r="F1389" s="262"/>
      <c r="G1389" s="116"/>
      <c r="H1389" s="118"/>
      <c r="I1389" s="118"/>
      <c r="J1389" s="118"/>
      <c r="K1389" s="120"/>
      <c r="L1389" s="121"/>
      <c r="M1389" s="263">
        <f>+M1390+M1416+M1422+M1427</f>
        <v>1210614.1842915388</v>
      </c>
    </row>
    <row r="1390" spans="1:13" outlineLevel="2">
      <c r="B1390" s="116"/>
      <c r="C1390" s="126" t="s">
        <v>2359</v>
      </c>
      <c r="D1390" s="260" t="s">
        <v>2360</v>
      </c>
      <c r="E1390" s="118" t="s">
        <v>99</v>
      </c>
      <c r="F1390" s="161"/>
      <c r="G1390" s="116"/>
      <c r="H1390" s="118"/>
      <c r="I1390" s="118"/>
      <c r="J1390" s="118"/>
      <c r="K1390" s="120"/>
      <c r="L1390" s="121"/>
      <c r="M1390" s="264">
        <f>SUM(M1391:M1415)</f>
        <v>567464.46253153868</v>
      </c>
    </row>
    <row r="1391" spans="1:13" outlineLevel="3">
      <c r="B1391" s="116" t="s">
        <v>2361</v>
      </c>
      <c r="C1391" s="129" t="s">
        <v>2362</v>
      </c>
      <c r="D1391" s="154" t="s">
        <v>2363</v>
      </c>
      <c r="E1391" s="129" t="s">
        <v>2364</v>
      </c>
      <c r="F1391" s="130"/>
      <c r="G1391" s="131">
        <v>978</v>
      </c>
      <c r="H1391" s="118"/>
      <c r="I1391" s="120">
        <v>96.309479999999994</v>
      </c>
      <c r="J1391" s="120"/>
      <c r="K1391" s="120">
        <v>28.75</v>
      </c>
      <c r="L1391" s="450">
        <f t="shared" ref="L1391:L1415" si="102">SUM(H1391:K1391)</f>
        <v>125.05947999999999</v>
      </c>
      <c r="M1391" s="134">
        <f t="shared" ref="M1391:M1415" si="103">+L1391*G1391</f>
        <v>122308.17143999999</v>
      </c>
    </row>
    <row r="1392" spans="1:13" s="171" customFormat="1" outlineLevel="3">
      <c r="B1392" s="166" t="s">
        <v>2361</v>
      </c>
      <c r="C1392" s="117"/>
      <c r="D1392" s="451" t="s">
        <v>2365</v>
      </c>
      <c r="E1392" s="117"/>
      <c r="F1392" s="142"/>
      <c r="G1392" s="167">
        <v>1</v>
      </c>
      <c r="H1392" s="168"/>
      <c r="I1392" s="169"/>
      <c r="J1392" s="169"/>
      <c r="K1392" s="169">
        <v>36086.732011538465</v>
      </c>
      <c r="L1392" s="450">
        <f t="shared" si="102"/>
        <v>36086.732011538465</v>
      </c>
      <c r="M1392" s="134">
        <f t="shared" si="103"/>
        <v>36086.732011538465</v>
      </c>
    </row>
    <row r="1393" spans="2:13" outlineLevel="3">
      <c r="B1393" s="116" t="s">
        <v>2361</v>
      </c>
      <c r="C1393" s="129" t="s">
        <v>2366</v>
      </c>
      <c r="D1393" s="154" t="s">
        <v>2367</v>
      </c>
      <c r="E1393" s="129" t="s">
        <v>2364</v>
      </c>
      <c r="F1393" s="130"/>
      <c r="G1393" s="131">
        <v>1830</v>
      </c>
      <c r="H1393" s="118"/>
      <c r="I1393" s="120">
        <v>96.309479999999994</v>
      </c>
      <c r="J1393" s="120"/>
      <c r="K1393" s="120">
        <v>28.75</v>
      </c>
      <c r="L1393" s="450">
        <f t="shared" si="102"/>
        <v>125.05947999999999</v>
      </c>
      <c r="M1393" s="134">
        <f t="shared" si="103"/>
        <v>228858.84839999999</v>
      </c>
    </row>
    <row r="1394" spans="2:13" outlineLevel="3">
      <c r="B1394" s="116" t="s">
        <v>2361</v>
      </c>
      <c r="C1394" s="129" t="s">
        <v>2368</v>
      </c>
      <c r="D1394" s="154" t="s">
        <v>2369</v>
      </c>
      <c r="E1394" s="129" t="s">
        <v>2364</v>
      </c>
      <c r="F1394" s="130"/>
      <c r="G1394" s="131">
        <v>124</v>
      </c>
      <c r="H1394" s="118"/>
      <c r="I1394" s="120">
        <v>96.309479999999994</v>
      </c>
      <c r="J1394" s="120"/>
      <c r="K1394" s="120">
        <v>28.75</v>
      </c>
      <c r="L1394" s="450">
        <f t="shared" si="102"/>
        <v>125.05947999999999</v>
      </c>
      <c r="M1394" s="134">
        <f t="shared" si="103"/>
        <v>15507.37552</v>
      </c>
    </row>
    <row r="1395" spans="2:13" outlineLevel="3">
      <c r="B1395" s="116" t="s">
        <v>2361</v>
      </c>
      <c r="C1395" s="129" t="s">
        <v>2370</v>
      </c>
      <c r="D1395" s="154" t="s">
        <v>2369</v>
      </c>
      <c r="E1395" s="129" t="s">
        <v>2364</v>
      </c>
      <c r="F1395" s="130"/>
      <c r="G1395" s="131">
        <v>40</v>
      </c>
      <c r="H1395" s="118"/>
      <c r="I1395" s="120">
        <v>96.309479999999994</v>
      </c>
      <c r="J1395" s="120"/>
      <c r="K1395" s="120">
        <v>28.75</v>
      </c>
      <c r="L1395" s="450">
        <f t="shared" si="102"/>
        <v>125.05947999999999</v>
      </c>
      <c r="M1395" s="134">
        <f t="shared" si="103"/>
        <v>5002.3791999999994</v>
      </c>
    </row>
    <row r="1396" spans="2:13" outlineLevel="3">
      <c r="B1396" s="116" t="s">
        <v>2361</v>
      </c>
      <c r="C1396" s="129" t="s">
        <v>2371</v>
      </c>
      <c r="D1396" s="154" t="s">
        <v>2372</v>
      </c>
      <c r="E1396" s="129" t="s">
        <v>2364</v>
      </c>
      <c r="F1396" s="130"/>
      <c r="G1396" s="131">
        <v>179</v>
      </c>
      <c r="H1396" s="118"/>
      <c r="I1396" s="120">
        <v>96.309479999999994</v>
      </c>
      <c r="J1396" s="120"/>
      <c r="K1396" s="120">
        <v>28.75</v>
      </c>
      <c r="L1396" s="450">
        <f t="shared" si="102"/>
        <v>125.05947999999999</v>
      </c>
      <c r="M1396" s="134">
        <f t="shared" si="103"/>
        <v>22385.646919999999</v>
      </c>
    </row>
    <row r="1397" spans="2:13" outlineLevel="3">
      <c r="B1397" s="116" t="s">
        <v>2361</v>
      </c>
      <c r="C1397" s="129" t="s">
        <v>2373</v>
      </c>
      <c r="D1397" s="154" t="s">
        <v>2374</v>
      </c>
      <c r="E1397" s="129" t="s">
        <v>2364</v>
      </c>
      <c r="F1397" s="130"/>
      <c r="G1397" s="131">
        <v>252</v>
      </c>
      <c r="H1397" s="118"/>
      <c r="I1397" s="120">
        <v>96.309479999999994</v>
      </c>
      <c r="J1397" s="120"/>
      <c r="K1397" s="120">
        <v>28.75</v>
      </c>
      <c r="L1397" s="450">
        <f t="shared" si="102"/>
        <v>125.05947999999999</v>
      </c>
      <c r="M1397" s="134">
        <f t="shared" si="103"/>
        <v>31514.988959999999</v>
      </c>
    </row>
    <row r="1398" spans="2:13" outlineLevel="3">
      <c r="B1398" s="116" t="s">
        <v>2361</v>
      </c>
      <c r="C1398" s="129" t="s">
        <v>2375</v>
      </c>
      <c r="D1398" s="154" t="s">
        <v>2376</v>
      </c>
      <c r="E1398" s="129" t="s">
        <v>2364</v>
      </c>
      <c r="F1398" s="130"/>
      <c r="G1398" s="131">
        <v>166</v>
      </c>
      <c r="H1398" s="118"/>
      <c r="I1398" s="120">
        <v>96.309479999999994</v>
      </c>
      <c r="J1398" s="120"/>
      <c r="K1398" s="120">
        <v>28.75</v>
      </c>
      <c r="L1398" s="450">
        <f t="shared" si="102"/>
        <v>125.05947999999999</v>
      </c>
      <c r="M1398" s="134">
        <f t="shared" si="103"/>
        <v>20759.873680000001</v>
      </c>
    </row>
    <row r="1399" spans="2:13" outlineLevel="3">
      <c r="B1399" s="116" t="s">
        <v>2361</v>
      </c>
      <c r="C1399" s="129" t="s">
        <v>2377</v>
      </c>
      <c r="D1399" s="154" t="s">
        <v>2378</v>
      </c>
      <c r="E1399" s="129" t="s">
        <v>2364</v>
      </c>
      <c r="F1399" s="130"/>
      <c r="G1399" s="131">
        <v>72</v>
      </c>
      <c r="H1399" s="118"/>
      <c r="I1399" s="120">
        <v>96.309479999999994</v>
      </c>
      <c r="J1399" s="120"/>
      <c r="K1399" s="120">
        <v>28.75</v>
      </c>
      <c r="L1399" s="450">
        <f t="shared" si="102"/>
        <v>125.05947999999999</v>
      </c>
      <c r="M1399" s="134">
        <f t="shared" si="103"/>
        <v>9004.2825599999996</v>
      </c>
    </row>
    <row r="1400" spans="2:13" outlineLevel="3">
      <c r="B1400" s="116" t="s">
        <v>2361</v>
      </c>
      <c r="C1400" s="129" t="s">
        <v>2379</v>
      </c>
      <c r="D1400" s="154" t="s">
        <v>2380</v>
      </c>
      <c r="E1400" s="129" t="s">
        <v>2364</v>
      </c>
      <c r="F1400" s="130"/>
      <c r="G1400" s="131">
        <v>39</v>
      </c>
      <c r="H1400" s="118"/>
      <c r="I1400" s="120">
        <v>96.309479999999994</v>
      </c>
      <c r="J1400" s="120"/>
      <c r="K1400" s="120">
        <v>28.75</v>
      </c>
      <c r="L1400" s="450">
        <f t="shared" si="102"/>
        <v>125.05947999999999</v>
      </c>
      <c r="M1400" s="134">
        <f t="shared" si="103"/>
        <v>4877.3197199999995</v>
      </c>
    </row>
    <row r="1401" spans="2:13" outlineLevel="3">
      <c r="B1401" s="116" t="s">
        <v>2361</v>
      </c>
      <c r="C1401" s="129" t="s">
        <v>2381</v>
      </c>
      <c r="D1401" s="154" t="s">
        <v>2382</v>
      </c>
      <c r="E1401" s="129" t="s">
        <v>2364</v>
      </c>
      <c r="F1401" s="130"/>
      <c r="G1401" s="131">
        <v>46</v>
      </c>
      <c r="H1401" s="118"/>
      <c r="I1401" s="120">
        <v>96.309479999999994</v>
      </c>
      <c r="J1401" s="120"/>
      <c r="K1401" s="120">
        <v>28.75</v>
      </c>
      <c r="L1401" s="450">
        <f t="shared" si="102"/>
        <v>125.05947999999999</v>
      </c>
      <c r="M1401" s="134">
        <f t="shared" si="103"/>
        <v>5752.7360799999997</v>
      </c>
    </row>
    <row r="1402" spans="2:13" outlineLevel="3">
      <c r="B1402" s="116" t="s">
        <v>2361</v>
      </c>
      <c r="C1402" s="129" t="s">
        <v>2383</v>
      </c>
      <c r="D1402" s="154" t="s">
        <v>2384</v>
      </c>
      <c r="E1402" s="129" t="s">
        <v>2364</v>
      </c>
      <c r="F1402" s="130"/>
      <c r="G1402" s="131">
        <v>17</v>
      </c>
      <c r="H1402" s="118"/>
      <c r="I1402" s="120">
        <v>96.309479999999994</v>
      </c>
      <c r="J1402" s="120"/>
      <c r="K1402" s="120">
        <v>28.75</v>
      </c>
      <c r="L1402" s="450">
        <f t="shared" si="102"/>
        <v>125.05947999999999</v>
      </c>
      <c r="M1402" s="134">
        <f t="shared" si="103"/>
        <v>2126.01116</v>
      </c>
    </row>
    <row r="1403" spans="2:13" outlineLevel="3">
      <c r="B1403" s="116" t="s">
        <v>2361</v>
      </c>
      <c r="C1403" s="129" t="s">
        <v>2385</v>
      </c>
      <c r="D1403" s="154" t="s">
        <v>2386</v>
      </c>
      <c r="E1403" s="129" t="s">
        <v>2364</v>
      </c>
      <c r="F1403" s="130"/>
      <c r="G1403" s="131">
        <v>27</v>
      </c>
      <c r="H1403" s="118"/>
      <c r="I1403" s="120">
        <v>96.309479999999994</v>
      </c>
      <c r="J1403" s="120"/>
      <c r="K1403" s="120">
        <v>28.75</v>
      </c>
      <c r="L1403" s="450">
        <f t="shared" si="102"/>
        <v>125.05947999999999</v>
      </c>
      <c r="M1403" s="134">
        <f t="shared" si="103"/>
        <v>3376.6059599999999</v>
      </c>
    </row>
    <row r="1404" spans="2:13" outlineLevel="3">
      <c r="B1404" s="116" t="s">
        <v>2361</v>
      </c>
      <c r="C1404" s="129" t="s">
        <v>2387</v>
      </c>
      <c r="D1404" s="154" t="s">
        <v>2388</v>
      </c>
      <c r="E1404" s="129" t="s">
        <v>2364</v>
      </c>
      <c r="F1404" s="130"/>
      <c r="G1404" s="131">
        <v>1</v>
      </c>
      <c r="H1404" s="118"/>
      <c r="I1404" s="120">
        <v>96.309479999999994</v>
      </c>
      <c r="J1404" s="120"/>
      <c r="K1404" s="120">
        <v>28.75</v>
      </c>
      <c r="L1404" s="450">
        <f t="shared" si="102"/>
        <v>125.05947999999999</v>
      </c>
      <c r="M1404" s="134">
        <f t="shared" si="103"/>
        <v>125.05947999999999</v>
      </c>
    </row>
    <row r="1405" spans="2:13" outlineLevel="3">
      <c r="B1405" s="116" t="s">
        <v>2361</v>
      </c>
      <c r="C1405" s="129" t="s">
        <v>2389</v>
      </c>
      <c r="D1405" s="154" t="s">
        <v>2390</v>
      </c>
      <c r="E1405" s="129" t="s">
        <v>2364</v>
      </c>
      <c r="F1405" s="130"/>
      <c r="G1405" s="131">
        <v>1</v>
      </c>
      <c r="H1405" s="118"/>
      <c r="I1405" s="120">
        <v>96.309479999999994</v>
      </c>
      <c r="J1405" s="120"/>
      <c r="K1405" s="120">
        <v>28.75</v>
      </c>
      <c r="L1405" s="450">
        <f t="shared" si="102"/>
        <v>125.05947999999999</v>
      </c>
      <c r="M1405" s="134">
        <f t="shared" si="103"/>
        <v>125.05947999999999</v>
      </c>
    </row>
    <row r="1406" spans="2:13" outlineLevel="3">
      <c r="B1406" s="116" t="s">
        <v>2361</v>
      </c>
      <c r="C1406" s="129" t="s">
        <v>2391</v>
      </c>
      <c r="D1406" s="154" t="s">
        <v>2392</v>
      </c>
      <c r="E1406" s="129" t="s">
        <v>2364</v>
      </c>
      <c r="F1406" s="130"/>
      <c r="G1406" s="131">
        <v>12</v>
      </c>
      <c r="H1406" s="118"/>
      <c r="I1406" s="120">
        <v>96.309479999999994</v>
      </c>
      <c r="J1406" s="120"/>
      <c r="K1406" s="120">
        <v>28.75</v>
      </c>
      <c r="L1406" s="450">
        <f t="shared" si="102"/>
        <v>125.05947999999999</v>
      </c>
      <c r="M1406" s="134">
        <f t="shared" si="103"/>
        <v>1500.7137599999999</v>
      </c>
    </row>
    <row r="1407" spans="2:13" outlineLevel="3">
      <c r="B1407" s="116" t="s">
        <v>2361</v>
      </c>
      <c r="C1407" s="129" t="s">
        <v>2393</v>
      </c>
      <c r="D1407" s="154" t="s">
        <v>2394</v>
      </c>
      <c r="E1407" s="129" t="s">
        <v>2364</v>
      </c>
      <c r="F1407" s="130"/>
      <c r="G1407" s="131">
        <v>131</v>
      </c>
      <c r="H1407" s="118"/>
      <c r="I1407" s="120">
        <v>96.309479999999994</v>
      </c>
      <c r="J1407" s="120"/>
      <c r="K1407" s="120">
        <v>28.75</v>
      </c>
      <c r="L1407" s="450">
        <f t="shared" si="102"/>
        <v>125.05947999999999</v>
      </c>
      <c r="M1407" s="134">
        <f t="shared" si="103"/>
        <v>16382.791879999999</v>
      </c>
    </row>
    <row r="1408" spans="2:13" outlineLevel="3">
      <c r="B1408" s="116" t="s">
        <v>2361</v>
      </c>
      <c r="C1408" s="129" t="s">
        <v>2395</v>
      </c>
      <c r="D1408" s="154" t="s">
        <v>2396</v>
      </c>
      <c r="E1408" s="129" t="s">
        <v>2364</v>
      </c>
      <c r="F1408" s="130"/>
      <c r="G1408" s="131">
        <v>247</v>
      </c>
      <c r="H1408" s="118"/>
      <c r="I1408" s="120">
        <v>96.309479999999994</v>
      </c>
      <c r="J1408" s="120"/>
      <c r="K1408" s="120">
        <v>28.75</v>
      </c>
      <c r="L1408" s="450">
        <f t="shared" si="102"/>
        <v>125.05947999999999</v>
      </c>
      <c r="M1408" s="134">
        <f t="shared" si="103"/>
        <v>30889.691559999999</v>
      </c>
    </row>
    <row r="1409" spans="2:13" outlineLevel="3">
      <c r="B1409" s="116" t="s">
        <v>2361</v>
      </c>
      <c r="C1409" s="129" t="s">
        <v>2397</v>
      </c>
      <c r="D1409" s="154" t="s">
        <v>2398</v>
      </c>
      <c r="E1409" s="129" t="s">
        <v>2364</v>
      </c>
      <c r="F1409" s="130"/>
      <c r="G1409" s="131">
        <v>41</v>
      </c>
      <c r="H1409" s="118"/>
      <c r="I1409" s="120">
        <v>96.309479999999994</v>
      </c>
      <c r="J1409" s="120"/>
      <c r="K1409" s="120">
        <v>28.75</v>
      </c>
      <c r="L1409" s="450">
        <f t="shared" si="102"/>
        <v>125.05947999999999</v>
      </c>
      <c r="M1409" s="134">
        <f t="shared" si="103"/>
        <v>5127.4386799999993</v>
      </c>
    </row>
    <row r="1410" spans="2:13" outlineLevel="3">
      <c r="B1410" s="116" t="s">
        <v>2361</v>
      </c>
      <c r="C1410" s="129" t="s">
        <v>2399</v>
      </c>
      <c r="D1410" s="154" t="s">
        <v>2400</v>
      </c>
      <c r="E1410" s="129" t="s">
        <v>2364</v>
      </c>
      <c r="F1410" s="130"/>
      <c r="G1410" s="131">
        <v>3</v>
      </c>
      <c r="H1410" s="118"/>
      <c r="I1410" s="120">
        <v>96.309479999999994</v>
      </c>
      <c r="J1410" s="120"/>
      <c r="K1410" s="120">
        <v>28.75</v>
      </c>
      <c r="L1410" s="450">
        <f t="shared" si="102"/>
        <v>125.05947999999999</v>
      </c>
      <c r="M1410" s="134">
        <f t="shared" si="103"/>
        <v>375.17843999999997</v>
      </c>
    </row>
    <row r="1411" spans="2:13" outlineLevel="3">
      <c r="B1411" s="116" t="s">
        <v>2361</v>
      </c>
      <c r="C1411" s="129" t="s">
        <v>2401</v>
      </c>
      <c r="D1411" s="154" t="s">
        <v>2402</v>
      </c>
      <c r="E1411" s="129" t="s">
        <v>2364</v>
      </c>
      <c r="F1411" s="130"/>
      <c r="G1411" s="131">
        <v>4</v>
      </c>
      <c r="H1411" s="118"/>
      <c r="I1411" s="120">
        <v>96.309479999999994</v>
      </c>
      <c r="J1411" s="120"/>
      <c r="K1411" s="120">
        <v>28.75</v>
      </c>
      <c r="L1411" s="450">
        <f t="shared" si="102"/>
        <v>125.05947999999999</v>
      </c>
      <c r="M1411" s="134">
        <f t="shared" si="103"/>
        <v>500.23791999999997</v>
      </c>
    </row>
    <row r="1412" spans="2:13" outlineLevel="3">
      <c r="B1412" s="116" t="s">
        <v>2361</v>
      </c>
      <c r="C1412" s="129" t="s">
        <v>2403</v>
      </c>
      <c r="D1412" s="154" t="s">
        <v>2404</v>
      </c>
      <c r="E1412" s="129" t="s">
        <v>2364</v>
      </c>
      <c r="F1412" s="130"/>
      <c r="G1412" s="131">
        <v>5</v>
      </c>
      <c r="H1412" s="118"/>
      <c r="I1412" s="120">
        <v>96.309479999999994</v>
      </c>
      <c r="J1412" s="120"/>
      <c r="K1412" s="120">
        <v>28.75</v>
      </c>
      <c r="L1412" s="450">
        <f t="shared" si="102"/>
        <v>125.05947999999999</v>
      </c>
      <c r="M1412" s="134">
        <f t="shared" si="103"/>
        <v>625.29739999999993</v>
      </c>
    </row>
    <row r="1413" spans="2:13" outlineLevel="3">
      <c r="B1413" s="116" t="s">
        <v>2361</v>
      </c>
      <c r="C1413" s="129" t="s">
        <v>2405</v>
      </c>
      <c r="D1413" s="154" t="s">
        <v>2406</v>
      </c>
      <c r="E1413" s="129" t="s">
        <v>2364</v>
      </c>
      <c r="F1413" s="130"/>
      <c r="G1413" s="131">
        <v>5</v>
      </c>
      <c r="H1413" s="118"/>
      <c r="I1413" s="120">
        <v>96.309479999999994</v>
      </c>
      <c r="J1413" s="120"/>
      <c r="K1413" s="120">
        <v>28.75</v>
      </c>
      <c r="L1413" s="450">
        <f t="shared" si="102"/>
        <v>125.05947999999999</v>
      </c>
      <c r="M1413" s="134">
        <f t="shared" si="103"/>
        <v>625.29739999999993</v>
      </c>
    </row>
    <row r="1414" spans="2:13" outlineLevel="3">
      <c r="B1414" s="116" t="s">
        <v>2361</v>
      </c>
      <c r="C1414" s="129" t="s">
        <v>2407</v>
      </c>
      <c r="D1414" s="154" t="s">
        <v>2408</v>
      </c>
      <c r="E1414" s="129" t="s">
        <v>2364</v>
      </c>
      <c r="F1414" s="130"/>
      <c r="G1414" s="131">
        <v>5</v>
      </c>
      <c r="H1414" s="118"/>
      <c r="I1414" s="120">
        <v>96.309479999999994</v>
      </c>
      <c r="J1414" s="120"/>
      <c r="K1414" s="120">
        <v>28.75</v>
      </c>
      <c r="L1414" s="450">
        <f t="shared" si="102"/>
        <v>125.05947999999999</v>
      </c>
      <c r="M1414" s="134">
        <f t="shared" si="103"/>
        <v>625.29739999999993</v>
      </c>
    </row>
    <row r="1415" spans="2:13" outlineLevel="3">
      <c r="B1415" s="116" t="s">
        <v>2361</v>
      </c>
      <c r="C1415" s="129" t="s">
        <v>2409</v>
      </c>
      <c r="D1415" s="154" t="s">
        <v>2410</v>
      </c>
      <c r="E1415" s="129" t="s">
        <v>2364</v>
      </c>
      <c r="F1415" s="130"/>
      <c r="G1415" s="131">
        <v>24</v>
      </c>
      <c r="H1415" s="118"/>
      <c r="I1415" s="120">
        <v>96.309479999999994</v>
      </c>
      <c r="J1415" s="120"/>
      <c r="K1415" s="120">
        <v>28.75</v>
      </c>
      <c r="L1415" s="450">
        <f t="shared" si="102"/>
        <v>125.05947999999999</v>
      </c>
      <c r="M1415" s="134">
        <f t="shared" si="103"/>
        <v>3001.4275199999997</v>
      </c>
    </row>
    <row r="1416" spans="2:13" outlineLevel="2">
      <c r="B1416" s="116"/>
      <c r="C1416" s="126" t="s">
        <v>2411</v>
      </c>
      <c r="D1416" s="260" t="s">
        <v>2412</v>
      </c>
      <c r="E1416" s="118" t="s">
        <v>99</v>
      </c>
      <c r="F1416" s="161"/>
      <c r="G1416" s="116"/>
      <c r="H1416" s="118"/>
      <c r="I1416" s="120"/>
      <c r="J1416" s="120"/>
      <c r="K1416" s="120"/>
      <c r="L1416" s="121"/>
      <c r="M1416" s="264">
        <f>SUM(M1417:M1421)</f>
        <v>183536.44604000001</v>
      </c>
    </row>
    <row r="1417" spans="2:13" outlineLevel="3">
      <c r="B1417" s="116" t="s">
        <v>2361</v>
      </c>
      <c r="C1417" s="129" t="s">
        <v>2413</v>
      </c>
      <c r="D1417" s="154" t="s">
        <v>2414</v>
      </c>
      <c r="E1417" s="129" t="s">
        <v>2364</v>
      </c>
      <c r="F1417" s="130"/>
      <c r="G1417" s="131">
        <v>681</v>
      </c>
      <c r="H1417" s="118"/>
      <c r="I1417" s="120">
        <v>66.571240000000003</v>
      </c>
      <c r="J1417" s="120"/>
      <c r="K1417" s="120">
        <v>30.58</v>
      </c>
      <c r="L1417" s="450">
        <f>SUM(H1417:K1417)</f>
        <v>97.151240000000001</v>
      </c>
      <c r="M1417" s="134">
        <f>+L1417*G1417</f>
        <v>66159.994439999995</v>
      </c>
    </row>
    <row r="1418" spans="2:13" outlineLevel="3">
      <c r="B1418" s="116" t="s">
        <v>2361</v>
      </c>
      <c r="C1418" s="129" t="s">
        <v>2415</v>
      </c>
      <c r="D1418" s="154" t="s">
        <v>2416</v>
      </c>
      <c r="E1418" s="129" t="s">
        <v>2364</v>
      </c>
      <c r="F1418" s="130"/>
      <c r="G1418" s="131">
        <v>391</v>
      </c>
      <c r="H1418" s="118"/>
      <c r="I1418" s="120">
        <v>82.171239999999997</v>
      </c>
      <c r="J1418" s="120"/>
      <c r="K1418" s="120">
        <v>30.58</v>
      </c>
      <c r="L1418" s="450">
        <f>SUM(H1418:K1418)</f>
        <v>112.75124</v>
      </c>
      <c r="M1418" s="134">
        <f>+L1418*G1418</f>
        <v>44085.734839999997</v>
      </c>
    </row>
    <row r="1419" spans="2:13" outlineLevel="3">
      <c r="B1419" s="116" t="s">
        <v>2361</v>
      </c>
      <c r="C1419" s="129" t="s">
        <v>2417</v>
      </c>
      <c r="D1419" s="154" t="s">
        <v>2418</v>
      </c>
      <c r="E1419" s="129" t="s">
        <v>2364</v>
      </c>
      <c r="F1419" s="130"/>
      <c r="G1419" s="131">
        <v>168</v>
      </c>
      <c r="H1419" s="118"/>
      <c r="I1419" s="120">
        <v>82.171239999999997</v>
      </c>
      <c r="J1419" s="120"/>
      <c r="K1419" s="120">
        <v>30.58</v>
      </c>
      <c r="L1419" s="450">
        <f>SUM(H1419:K1419)</f>
        <v>112.75124</v>
      </c>
      <c r="M1419" s="134">
        <f>+L1419*G1419</f>
        <v>18942.208319999998</v>
      </c>
    </row>
    <row r="1420" spans="2:13" outlineLevel="3">
      <c r="B1420" s="116" t="s">
        <v>2361</v>
      </c>
      <c r="C1420" s="129" t="s">
        <v>2419</v>
      </c>
      <c r="D1420" s="154" t="s">
        <v>2420</v>
      </c>
      <c r="E1420" s="129" t="s">
        <v>2364</v>
      </c>
      <c r="F1420" s="130"/>
      <c r="G1420" s="131">
        <v>354</v>
      </c>
      <c r="H1420" s="118"/>
      <c r="I1420" s="120">
        <v>66.571240000000003</v>
      </c>
      <c r="J1420" s="120"/>
      <c r="K1420" s="120">
        <v>30.58</v>
      </c>
      <c r="L1420" s="450">
        <f>SUM(H1420:K1420)</f>
        <v>97.151240000000001</v>
      </c>
      <c r="M1420" s="134">
        <f>+L1420*G1420</f>
        <v>34391.538959999998</v>
      </c>
    </row>
    <row r="1421" spans="2:13" outlineLevel="3">
      <c r="B1421" s="116" t="s">
        <v>2361</v>
      </c>
      <c r="C1421" s="129" t="s">
        <v>2421</v>
      </c>
      <c r="D1421" s="154" t="s">
        <v>2422</v>
      </c>
      <c r="E1421" s="129" t="s">
        <v>2364</v>
      </c>
      <c r="F1421" s="130"/>
      <c r="G1421" s="131">
        <v>177</v>
      </c>
      <c r="H1421" s="118"/>
      <c r="I1421" s="120">
        <v>82.171239999999997</v>
      </c>
      <c r="J1421" s="120"/>
      <c r="K1421" s="120">
        <v>30.58</v>
      </c>
      <c r="L1421" s="450">
        <f>SUM(H1421:K1421)</f>
        <v>112.75124</v>
      </c>
      <c r="M1421" s="134">
        <f>+L1421*G1421</f>
        <v>19956.96948</v>
      </c>
    </row>
    <row r="1422" spans="2:13" outlineLevel="2">
      <c r="B1422" s="116"/>
      <c r="C1422" s="126" t="s">
        <v>2423</v>
      </c>
      <c r="D1422" s="260" t="s">
        <v>2424</v>
      </c>
      <c r="E1422" s="118" t="s">
        <v>99</v>
      </c>
      <c r="F1422" s="161"/>
      <c r="G1422" s="116"/>
      <c r="H1422" s="118"/>
      <c r="I1422" s="120"/>
      <c r="J1422" s="120"/>
      <c r="K1422" s="120"/>
      <c r="L1422" s="121"/>
      <c r="M1422" s="264">
        <f>SUM(M1423:M1426)</f>
        <v>309147.12592000002</v>
      </c>
    </row>
    <row r="1423" spans="2:13" outlineLevel="3">
      <c r="B1423" s="116" t="s">
        <v>2361</v>
      </c>
      <c r="C1423" s="129" t="s">
        <v>2425</v>
      </c>
      <c r="D1423" s="154" t="s">
        <v>2426</v>
      </c>
      <c r="E1423" s="129" t="s">
        <v>2364</v>
      </c>
      <c r="F1423" s="130"/>
      <c r="G1423" s="131">
        <v>2601</v>
      </c>
      <c r="H1423" s="118"/>
      <c r="I1423" s="120">
        <v>74.371240000000014</v>
      </c>
      <c r="J1423" s="120"/>
      <c r="K1423" s="120">
        <v>30.58</v>
      </c>
      <c r="L1423" s="450">
        <f>SUM(H1423:K1423)</f>
        <v>104.95124000000001</v>
      </c>
      <c r="M1423" s="134">
        <f>+L1423*G1423</f>
        <v>272978.17524000001</v>
      </c>
    </row>
    <row r="1424" spans="2:13" outlineLevel="3">
      <c r="B1424" s="116" t="s">
        <v>2361</v>
      </c>
      <c r="C1424" s="129" t="s">
        <v>2427</v>
      </c>
      <c r="D1424" s="154" t="s">
        <v>2428</v>
      </c>
      <c r="E1424" s="129" t="s">
        <v>2364</v>
      </c>
      <c r="F1424" s="130"/>
      <c r="G1424" s="131">
        <v>57</v>
      </c>
      <c r="H1424" s="118"/>
      <c r="I1424" s="120">
        <v>74.371240000000014</v>
      </c>
      <c r="J1424" s="120"/>
      <c r="K1424" s="120">
        <v>30.58</v>
      </c>
      <c r="L1424" s="450">
        <f>SUM(H1424:K1424)</f>
        <v>104.95124000000001</v>
      </c>
      <c r="M1424" s="134">
        <f>+L1424*G1424</f>
        <v>5982.2206800000004</v>
      </c>
    </row>
    <row r="1425" spans="2:13" outlineLevel="3">
      <c r="B1425" s="116" t="s">
        <v>2361</v>
      </c>
      <c r="C1425" s="129" t="s">
        <v>2429</v>
      </c>
      <c r="D1425" s="154" t="s">
        <v>2430</v>
      </c>
      <c r="E1425" s="129" t="s">
        <v>2364</v>
      </c>
      <c r="F1425" s="130"/>
      <c r="G1425" s="131">
        <v>125</v>
      </c>
      <c r="H1425" s="118"/>
      <c r="I1425" s="120">
        <v>90.166920000000019</v>
      </c>
      <c r="J1425" s="120"/>
      <c r="K1425" s="120">
        <v>30.58</v>
      </c>
      <c r="L1425" s="450">
        <f>SUM(H1425:K1425)</f>
        <v>120.74692000000002</v>
      </c>
      <c r="M1425" s="134">
        <f>+L1425*G1425</f>
        <v>15093.365000000002</v>
      </c>
    </row>
    <row r="1426" spans="2:13" outlineLevel="3">
      <c r="B1426" s="116" t="s">
        <v>2361</v>
      </c>
      <c r="C1426" s="129" t="s">
        <v>2431</v>
      </c>
      <c r="D1426" s="154" t="s">
        <v>2432</v>
      </c>
      <c r="E1426" s="129" t="s">
        <v>2364</v>
      </c>
      <c r="F1426" s="130"/>
      <c r="G1426" s="131">
        <v>125</v>
      </c>
      <c r="H1426" s="118"/>
      <c r="I1426" s="120">
        <v>90.166920000000019</v>
      </c>
      <c r="J1426" s="120"/>
      <c r="K1426" s="120">
        <v>30.58</v>
      </c>
      <c r="L1426" s="450">
        <f>SUM(H1426:K1426)</f>
        <v>120.74692000000002</v>
      </c>
      <c r="M1426" s="134">
        <f>+L1426*G1426</f>
        <v>15093.365000000002</v>
      </c>
    </row>
    <row r="1427" spans="2:13" outlineLevel="2">
      <c r="B1427" s="116"/>
      <c r="C1427" s="126" t="s">
        <v>2433</v>
      </c>
      <c r="D1427" s="260" t="s">
        <v>2434</v>
      </c>
      <c r="E1427" s="118" t="s">
        <v>99</v>
      </c>
      <c r="F1427" s="161"/>
      <c r="G1427" s="116"/>
      <c r="H1427" s="118"/>
      <c r="I1427" s="120"/>
      <c r="J1427" s="120"/>
      <c r="K1427" s="120"/>
      <c r="L1427" s="121"/>
      <c r="M1427" s="264">
        <f>SUM(M1428:M1462)</f>
        <v>150466.14979999998</v>
      </c>
    </row>
    <row r="1428" spans="2:13" outlineLevel="3">
      <c r="B1428" s="116" t="s">
        <v>2361</v>
      </c>
      <c r="C1428" s="129" t="s">
        <v>2435</v>
      </c>
      <c r="D1428" s="154" t="s">
        <v>2436</v>
      </c>
      <c r="E1428" s="129" t="s">
        <v>2364</v>
      </c>
      <c r="F1428" s="130"/>
      <c r="G1428" s="131">
        <v>19</v>
      </c>
      <c r="H1428" s="118"/>
      <c r="I1428" s="120">
        <v>118.59932000000001</v>
      </c>
      <c r="J1428" s="120"/>
      <c r="K1428" s="120">
        <v>38.5</v>
      </c>
      <c r="L1428" s="450">
        <f t="shared" ref="L1428:L1462" si="104">SUM(H1428:K1428)</f>
        <v>157.09932000000001</v>
      </c>
      <c r="M1428" s="134">
        <f t="shared" ref="M1428:M1462" si="105">+L1428*G1428</f>
        <v>2984.88708</v>
      </c>
    </row>
    <row r="1429" spans="2:13" outlineLevel="3">
      <c r="B1429" s="116" t="s">
        <v>2361</v>
      </c>
      <c r="C1429" s="129" t="s">
        <v>2437</v>
      </c>
      <c r="D1429" s="154" t="s">
        <v>2438</v>
      </c>
      <c r="E1429" s="129" t="s">
        <v>890</v>
      </c>
      <c r="F1429" s="130"/>
      <c r="G1429" s="131">
        <v>7</v>
      </c>
      <c r="H1429" s="118"/>
      <c r="I1429" s="120">
        <v>118.59932000000001</v>
      </c>
      <c r="J1429" s="120"/>
      <c r="K1429" s="120">
        <v>38.5</v>
      </c>
      <c r="L1429" s="450">
        <f t="shared" si="104"/>
        <v>157.09932000000001</v>
      </c>
      <c r="M1429" s="134">
        <f t="shared" si="105"/>
        <v>1099.69524</v>
      </c>
    </row>
    <row r="1430" spans="2:13" outlineLevel="3">
      <c r="B1430" s="116" t="s">
        <v>2361</v>
      </c>
      <c r="C1430" s="129" t="s">
        <v>2439</v>
      </c>
      <c r="D1430" s="154" t="s">
        <v>2440</v>
      </c>
      <c r="E1430" s="129" t="s">
        <v>890</v>
      </c>
      <c r="F1430" s="130"/>
      <c r="G1430" s="131">
        <v>17</v>
      </c>
      <c r="H1430" s="118"/>
      <c r="I1430" s="120">
        <v>118.59932000000001</v>
      </c>
      <c r="J1430" s="120"/>
      <c r="K1430" s="120">
        <v>38.5</v>
      </c>
      <c r="L1430" s="450">
        <f t="shared" si="104"/>
        <v>157.09932000000001</v>
      </c>
      <c r="M1430" s="134">
        <f t="shared" si="105"/>
        <v>2670.6884399999999</v>
      </c>
    </row>
    <row r="1431" spans="2:13" outlineLevel="3">
      <c r="B1431" s="116" t="s">
        <v>2361</v>
      </c>
      <c r="C1431" s="129" t="s">
        <v>2441</v>
      </c>
      <c r="D1431" s="154" t="s">
        <v>2442</v>
      </c>
      <c r="E1431" s="129" t="s">
        <v>890</v>
      </c>
      <c r="F1431" s="130"/>
      <c r="G1431" s="131">
        <v>22</v>
      </c>
      <c r="H1431" s="118"/>
      <c r="I1431" s="120">
        <v>118.59932000000001</v>
      </c>
      <c r="J1431" s="120"/>
      <c r="K1431" s="120">
        <v>38.5</v>
      </c>
      <c r="L1431" s="450">
        <f t="shared" si="104"/>
        <v>157.09932000000001</v>
      </c>
      <c r="M1431" s="134">
        <f t="shared" si="105"/>
        <v>3456.1850400000003</v>
      </c>
    </row>
    <row r="1432" spans="2:13" outlineLevel="3">
      <c r="B1432" s="116" t="s">
        <v>2361</v>
      </c>
      <c r="C1432" s="129" t="s">
        <v>2443</v>
      </c>
      <c r="D1432" s="154" t="s">
        <v>2444</v>
      </c>
      <c r="E1432" s="129" t="s">
        <v>890</v>
      </c>
      <c r="F1432" s="130"/>
      <c r="G1432" s="131">
        <v>18</v>
      </c>
      <c r="H1432" s="118"/>
      <c r="I1432" s="120">
        <v>118.59932000000001</v>
      </c>
      <c r="J1432" s="120"/>
      <c r="K1432" s="120">
        <v>38.5</v>
      </c>
      <c r="L1432" s="450">
        <f t="shared" si="104"/>
        <v>157.09932000000001</v>
      </c>
      <c r="M1432" s="134">
        <f t="shared" si="105"/>
        <v>2827.7877600000002</v>
      </c>
    </row>
    <row r="1433" spans="2:13" outlineLevel="3">
      <c r="B1433" s="116" t="s">
        <v>2361</v>
      </c>
      <c r="C1433" s="129" t="s">
        <v>2445</v>
      </c>
      <c r="D1433" s="154" t="s">
        <v>2446</v>
      </c>
      <c r="E1433" s="129" t="s">
        <v>2364</v>
      </c>
      <c r="F1433" s="130"/>
      <c r="G1433" s="131">
        <v>19</v>
      </c>
      <c r="H1433" s="118"/>
      <c r="I1433" s="120">
        <v>118.59932000000001</v>
      </c>
      <c r="J1433" s="120"/>
      <c r="K1433" s="120">
        <v>38.5</v>
      </c>
      <c r="L1433" s="450">
        <f t="shared" si="104"/>
        <v>157.09932000000001</v>
      </c>
      <c r="M1433" s="134">
        <f t="shared" si="105"/>
        <v>2984.88708</v>
      </c>
    </row>
    <row r="1434" spans="2:13" outlineLevel="3">
      <c r="B1434" s="116" t="s">
        <v>2361</v>
      </c>
      <c r="C1434" s="129" t="s">
        <v>2447</v>
      </c>
      <c r="D1434" s="154" t="s">
        <v>2448</v>
      </c>
      <c r="E1434" s="129" t="s">
        <v>2364</v>
      </c>
      <c r="F1434" s="130"/>
      <c r="G1434" s="131">
        <v>273</v>
      </c>
      <c r="H1434" s="118"/>
      <c r="I1434" s="120">
        <v>118.59932000000001</v>
      </c>
      <c r="J1434" s="120"/>
      <c r="K1434" s="120">
        <v>38.5</v>
      </c>
      <c r="L1434" s="450">
        <f t="shared" si="104"/>
        <v>157.09932000000001</v>
      </c>
      <c r="M1434" s="134">
        <f t="shared" si="105"/>
        <v>42888.11436</v>
      </c>
    </row>
    <row r="1435" spans="2:13" outlineLevel="3">
      <c r="B1435" s="116" t="s">
        <v>2361</v>
      </c>
      <c r="C1435" s="129" t="s">
        <v>2449</v>
      </c>
      <c r="D1435" s="154" t="s">
        <v>2450</v>
      </c>
      <c r="E1435" s="129" t="s">
        <v>2364</v>
      </c>
      <c r="F1435" s="130"/>
      <c r="G1435" s="131">
        <v>124</v>
      </c>
      <c r="H1435" s="118"/>
      <c r="I1435" s="120">
        <v>118.59932000000001</v>
      </c>
      <c r="J1435" s="120"/>
      <c r="K1435" s="120">
        <v>38.5</v>
      </c>
      <c r="L1435" s="450">
        <f t="shared" si="104"/>
        <v>157.09932000000001</v>
      </c>
      <c r="M1435" s="134">
        <f t="shared" si="105"/>
        <v>19480.31568</v>
      </c>
    </row>
    <row r="1436" spans="2:13" outlineLevel="3">
      <c r="B1436" s="116" t="s">
        <v>2361</v>
      </c>
      <c r="C1436" s="129" t="s">
        <v>2451</v>
      </c>
      <c r="D1436" s="154" t="s">
        <v>2452</v>
      </c>
      <c r="E1436" s="129" t="s">
        <v>2364</v>
      </c>
      <c r="F1436" s="130"/>
      <c r="G1436" s="131">
        <v>5</v>
      </c>
      <c r="H1436" s="118"/>
      <c r="I1436" s="120">
        <v>118.59932000000001</v>
      </c>
      <c r="J1436" s="120"/>
      <c r="K1436" s="120">
        <v>38.5</v>
      </c>
      <c r="L1436" s="450">
        <f t="shared" si="104"/>
        <v>157.09932000000001</v>
      </c>
      <c r="M1436" s="134">
        <f t="shared" si="105"/>
        <v>785.49660000000006</v>
      </c>
    </row>
    <row r="1437" spans="2:13" outlineLevel="3">
      <c r="B1437" s="116" t="s">
        <v>2361</v>
      </c>
      <c r="C1437" s="129" t="s">
        <v>2453</v>
      </c>
      <c r="D1437" s="154" t="s">
        <v>2454</v>
      </c>
      <c r="E1437" s="129" t="s">
        <v>2364</v>
      </c>
      <c r="F1437" s="130"/>
      <c r="G1437" s="131">
        <v>3</v>
      </c>
      <c r="H1437" s="118"/>
      <c r="I1437" s="120">
        <v>118.59932000000001</v>
      </c>
      <c r="J1437" s="120"/>
      <c r="K1437" s="120">
        <v>38.5</v>
      </c>
      <c r="L1437" s="450">
        <f t="shared" si="104"/>
        <v>157.09932000000001</v>
      </c>
      <c r="M1437" s="134">
        <f t="shared" si="105"/>
        <v>471.29795999999999</v>
      </c>
    </row>
    <row r="1438" spans="2:13" outlineLevel="3">
      <c r="B1438" s="116" t="s">
        <v>2361</v>
      </c>
      <c r="C1438" s="129" t="s">
        <v>2455</v>
      </c>
      <c r="D1438" s="154" t="s">
        <v>2456</v>
      </c>
      <c r="E1438" s="129" t="s">
        <v>2364</v>
      </c>
      <c r="F1438" s="130"/>
      <c r="G1438" s="131">
        <v>2</v>
      </c>
      <c r="H1438" s="118"/>
      <c r="I1438" s="120">
        <v>118.59932000000001</v>
      </c>
      <c r="J1438" s="120"/>
      <c r="K1438" s="120">
        <v>38.5</v>
      </c>
      <c r="L1438" s="450">
        <f t="shared" si="104"/>
        <v>157.09932000000001</v>
      </c>
      <c r="M1438" s="134">
        <f t="shared" si="105"/>
        <v>314.19864000000001</v>
      </c>
    </row>
    <row r="1439" spans="2:13" outlineLevel="3">
      <c r="B1439" s="116" t="s">
        <v>2361</v>
      </c>
      <c r="C1439" s="129" t="s">
        <v>2457</v>
      </c>
      <c r="D1439" s="154" t="s">
        <v>2458</v>
      </c>
      <c r="E1439" s="129" t="s">
        <v>2364</v>
      </c>
      <c r="F1439" s="130"/>
      <c r="G1439" s="131">
        <v>2</v>
      </c>
      <c r="H1439" s="118"/>
      <c r="I1439" s="120">
        <v>118.59932000000001</v>
      </c>
      <c r="J1439" s="120"/>
      <c r="K1439" s="120">
        <v>38.5</v>
      </c>
      <c r="L1439" s="450">
        <f t="shared" si="104"/>
        <v>157.09932000000001</v>
      </c>
      <c r="M1439" s="134">
        <f t="shared" si="105"/>
        <v>314.19864000000001</v>
      </c>
    </row>
    <row r="1440" spans="2:13" outlineLevel="3">
      <c r="B1440" s="116" t="s">
        <v>2361</v>
      </c>
      <c r="C1440" s="129" t="s">
        <v>2459</v>
      </c>
      <c r="D1440" s="154" t="s">
        <v>2460</v>
      </c>
      <c r="E1440" s="129" t="s">
        <v>2364</v>
      </c>
      <c r="F1440" s="130"/>
      <c r="G1440" s="131">
        <v>2</v>
      </c>
      <c r="H1440" s="118"/>
      <c r="I1440" s="120">
        <v>118.59932000000001</v>
      </c>
      <c r="J1440" s="120"/>
      <c r="K1440" s="120">
        <v>38.5</v>
      </c>
      <c r="L1440" s="450">
        <f t="shared" si="104"/>
        <v>157.09932000000001</v>
      </c>
      <c r="M1440" s="134">
        <f t="shared" si="105"/>
        <v>314.19864000000001</v>
      </c>
    </row>
    <row r="1441" spans="2:13" outlineLevel="3">
      <c r="B1441" s="116" t="s">
        <v>2361</v>
      </c>
      <c r="C1441" s="129" t="s">
        <v>2461</v>
      </c>
      <c r="D1441" s="154" t="s">
        <v>2462</v>
      </c>
      <c r="E1441" s="129" t="s">
        <v>2364</v>
      </c>
      <c r="F1441" s="130"/>
      <c r="G1441" s="131">
        <v>1</v>
      </c>
      <c r="H1441" s="118"/>
      <c r="I1441" s="120">
        <v>118.59932000000001</v>
      </c>
      <c r="J1441" s="120"/>
      <c r="K1441" s="120">
        <v>38.5</v>
      </c>
      <c r="L1441" s="450">
        <f t="shared" si="104"/>
        <v>157.09932000000001</v>
      </c>
      <c r="M1441" s="134">
        <f t="shared" si="105"/>
        <v>157.09932000000001</v>
      </c>
    </row>
    <row r="1442" spans="2:13" outlineLevel="3">
      <c r="B1442" s="116" t="s">
        <v>2361</v>
      </c>
      <c r="C1442" s="129" t="s">
        <v>2463</v>
      </c>
      <c r="D1442" s="154" t="s">
        <v>2464</v>
      </c>
      <c r="E1442" s="129" t="s">
        <v>2364</v>
      </c>
      <c r="F1442" s="130"/>
      <c r="G1442" s="131">
        <v>1</v>
      </c>
      <c r="H1442" s="118"/>
      <c r="I1442" s="120">
        <v>118.59932000000001</v>
      </c>
      <c r="J1442" s="120"/>
      <c r="K1442" s="120">
        <v>38.5</v>
      </c>
      <c r="L1442" s="450">
        <f t="shared" si="104"/>
        <v>157.09932000000001</v>
      </c>
      <c r="M1442" s="134">
        <f t="shared" si="105"/>
        <v>157.09932000000001</v>
      </c>
    </row>
    <row r="1443" spans="2:13" outlineLevel="3">
      <c r="B1443" s="116" t="s">
        <v>2361</v>
      </c>
      <c r="C1443" s="129" t="s">
        <v>2465</v>
      </c>
      <c r="D1443" s="154" t="s">
        <v>2466</v>
      </c>
      <c r="E1443" s="129" t="s">
        <v>2364</v>
      </c>
      <c r="F1443" s="130"/>
      <c r="G1443" s="131">
        <v>2</v>
      </c>
      <c r="H1443" s="118"/>
      <c r="I1443" s="120">
        <v>54</v>
      </c>
      <c r="J1443" s="120"/>
      <c r="K1443" s="120">
        <v>38.5</v>
      </c>
      <c r="L1443" s="450">
        <f t="shared" si="104"/>
        <v>92.5</v>
      </c>
      <c r="M1443" s="134">
        <f t="shared" si="105"/>
        <v>185</v>
      </c>
    </row>
    <row r="1444" spans="2:13" outlineLevel="3">
      <c r="B1444" s="116" t="s">
        <v>2361</v>
      </c>
      <c r="C1444" s="129" t="s">
        <v>2467</v>
      </c>
      <c r="D1444" s="154" t="s">
        <v>2468</v>
      </c>
      <c r="E1444" s="129" t="s">
        <v>2364</v>
      </c>
      <c r="F1444" s="130"/>
      <c r="G1444" s="131">
        <v>1</v>
      </c>
      <c r="H1444" s="118"/>
      <c r="I1444" s="120">
        <v>54</v>
      </c>
      <c r="J1444" s="120"/>
      <c r="K1444" s="120">
        <v>38.5</v>
      </c>
      <c r="L1444" s="450">
        <f t="shared" si="104"/>
        <v>92.5</v>
      </c>
      <c r="M1444" s="134">
        <f t="shared" si="105"/>
        <v>92.5</v>
      </c>
    </row>
    <row r="1445" spans="2:13" outlineLevel="3">
      <c r="B1445" s="116" t="s">
        <v>2361</v>
      </c>
      <c r="C1445" s="129" t="s">
        <v>2469</v>
      </c>
      <c r="D1445" s="154" t="s">
        <v>2470</v>
      </c>
      <c r="E1445" s="129" t="s">
        <v>2364</v>
      </c>
      <c r="F1445" s="130"/>
      <c r="G1445" s="131">
        <v>1</v>
      </c>
      <c r="H1445" s="118"/>
      <c r="I1445" s="120">
        <v>54</v>
      </c>
      <c r="J1445" s="120"/>
      <c r="K1445" s="120">
        <v>38.5</v>
      </c>
      <c r="L1445" s="450">
        <f t="shared" si="104"/>
        <v>92.5</v>
      </c>
      <c r="M1445" s="134">
        <f t="shared" si="105"/>
        <v>92.5</v>
      </c>
    </row>
    <row r="1446" spans="2:13" outlineLevel="3">
      <c r="B1446" s="116" t="s">
        <v>2361</v>
      </c>
      <c r="C1446" s="129" t="s">
        <v>2471</v>
      </c>
      <c r="D1446" s="154" t="s">
        <v>2472</v>
      </c>
      <c r="E1446" s="129" t="s">
        <v>2364</v>
      </c>
      <c r="F1446" s="130"/>
      <c r="G1446" s="131">
        <v>1</v>
      </c>
      <c r="H1446" s="118"/>
      <c r="I1446" s="120">
        <v>54</v>
      </c>
      <c r="J1446" s="120"/>
      <c r="K1446" s="120">
        <v>38.5</v>
      </c>
      <c r="L1446" s="450">
        <f t="shared" si="104"/>
        <v>92.5</v>
      </c>
      <c r="M1446" s="134">
        <f t="shared" si="105"/>
        <v>92.5</v>
      </c>
    </row>
    <row r="1447" spans="2:13" outlineLevel="3">
      <c r="B1447" s="116" t="s">
        <v>2361</v>
      </c>
      <c r="C1447" s="129" t="s">
        <v>2473</v>
      </c>
      <c r="D1447" s="154" t="s">
        <v>2474</v>
      </c>
      <c r="E1447" s="129" t="s">
        <v>2364</v>
      </c>
      <c r="F1447" s="130"/>
      <c r="G1447" s="131">
        <v>1</v>
      </c>
      <c r="H1447" s="118"/>
      <c r="I1447" s="120">
        <v>54</v>
      </c>
      <c r="J1447" s="120"/>
      <c r="K1447" s="120">
        <v>38.5</v>
      </c>
      <c r="L1447" s="450">
        <f t="shared" si="104"/>
        <v>92.5</v>
      </c>
      <c r="M1447" s="134">
        <f t="shared" si="105"/>
        <v>92.5</v>
      </c>
    </row>
    <row r="1448" spans="2:13" outlineLevel="3">
      <c r="B1448" s="116" t="s">
        <v>2361</v>
      </c>
      <c r="C1448" s="129" t="s">
        <v>2475</v>
      </c>
      <c r="D1448" s="154" t="s">
        <v>2476</v>
      </c>
      <c r="E1448" s="129" t="s">
        <v>2364</v>
      </c>
      <c r="F1448" s="130"/>
      <c r="G1448" s="131">
        <v>1</v>
      </c>
      <c r="H1448" s="118"/>
      <c r="I1448" s="120">
        <v>54</v>
      </c>
      <c r="J1448" s="120"/>
      <c r="K1448" s="120">
        <v>38.5</v>
      </c>
      <c r="L1448" s="450">
        <f t="shared" si="104"/>
        <v>92.5</v>
      </c>
      <c r="M1448" s="134">
        <f t="shared" si="105"/>
        <v>92.5</v>
      </c>
    </row>
    <row r="1449" spans="2:13" outlineLevel="3">
      <c r="B1449" s="116" t="s">
        <v>2361</v>
      </c>
      <c r="C1449" s="129" t="s">
        <v>2477</v>
      </c>
      <c r="D1449" s="154" t="s">
        <v>2478</v>
      </c>
      <c r="E1449" s="129" t="s">
        <v>2364</v>
      </c>
      <c r="F1449" s="130"/>
      <c r="G1449" s="131">
        <v>1</v>
      </c>
      <c r="H1449" s="118"/>
      <c r="I1449" s="120">
        <v>54</v>
      </c>
      <c r="J1449" s="120"/>
      <c r="K1449" s="120">
        <v>38.5</v>
      </c>
      <c r="L1449" s="450">
        <f t="shared" si="104"/>
        <v>92.5</v>
      </c>
      <c r="M1449" s="134">
        <f t="shared" si="105"/>
        <v>92.5</v>
      </c>
    </row>
    <row r="1450" spans="2:13" outlineLevel="3">
      <c r="B1450" s="116" t="s">
        <v>2361</v>
      </c>
      <c r="C1450" s="129" t="s">
        <v>2479</v>
      </c>
      <c r="D1450" s="154" t="s">
        <v>2480</v>
      </c>
      <c r="E1450" s="129" t="s">
        <v>2364</v>
      </c>
      <c r="F1450" s="130"/>
      <c r="G1450" s="131">
        <v>2</v>
      </c>
      <c r="H1450" s="118"/>
      <c r="I1450" s="120">
        <v>54</v>
      </c>
      <c r="J1450" s="120"/>
      <c r="K1450" s="120">
        <v>38.5</v>
      </c>
      <c r="L1450" s="450">
        <f t="shared" si="104"/>
        <v>92.5</v>
      </c>
      <c r="M1450" s="134">
        <f t="shared" si="105"/>
        <v>185</v>
      </c>
    </row>
    <row r="1451" spans="2:13" outlineLevel="3">
      <c r="B1451" s="116" t="s">
        <v>2361</v>
      </c>
      <c r="C1451" s="129" t="s">
        <v>2481</v>
      </c>
      <c r="D1451" s="154" t="s">
        <v>2482</v>
      </c>
      <c r="E1451" s="129" t="s">
        <v>2364</v>
      </c>
      <c r="F1451" s="130"/>
      <c r="G1451" s="131">
        <v>1</v>
      </c>
      <c r="H1451" s="118"/>
      <c r="I1451" s="120">
        <v>54</v>
      </c>
      <c r="J1451" s="120"/>
      <c r="K1451" s="120">
        <v>38.5</v>
      </c>
      <c r="L1451" s="450">
        <f t="shared" si="104"/>
        <v>92.5</v>
      </c>
      <c r="M1451" s="134">
        <f t="shared" si="105"/>
        <v>92.5</v>
      </c>
    </row>
    <row r="1452" spans="2:13" outlineLevel="3">
      <c r="B1452" s="116" t="s">
        <v>2361</v>
      </c>
      <c r="C1452" s="129" t="s">
        <v>2483</v>
      </c>
      <c r="D1452" s="154" t="s">
        <v>2484</v>
      </c>
      <c r="E1452" s="129" t="s">
        <v>2364</v>
      </c>
      <c r="F1452" s="130"/>
      <c r="G1452" s="131">
        <v>125</v>
      </c>
      <c r="H1452" s="118"/>
      <c r="I1452" s="120">
        <v>54</v>
      </c>
      <c r="J1452" s="120"/>
      <c r="K1452" s="120">
        <v>38.5</v>
      </c>
      <c r="L1452" s="450">
        <f t="shared" si="104"/>
        <v>92.5</v>
      </c>
      <c r="M1452" s="134">
        <f t="shared" si="105"/>
        <v>11562.5</v>
      </c>
    </row>
    <row r="1453" spans="2:13" outlineLevel="3">
      <c r="B1453" s="116" t="s">
        <v>2361</v>
      </c>
      <c r="C1453" s="129" t="s">
        <v>2485</v>
      </c>
      <c r="D1453" s="154" t="s">
        <v>2486</v>
      </c>
      <c r="E1453" s="129" t="s">
        <v>2364</v>
      </c>
      <c r="F1453" s="130"/>
      <c r="G1453" s="131">
        <v>1</v>
      </c>
      <c r="H1453" s="118"/>
      <c r="I1453" s="120">
        <v>54</v>
      </c>
      <c r="J1453" s="120"/>
      <c r="K1453" s="120">
        <v>38.5</v>
      </c>
      <c r="L1453" s="450">
        <f t="shared" si="104"/>
        <v>92.5</v>
      </c>
      <c r="M1453" s="134">
        <f t="shared" si="105"/>
        <v>92.5</v>
      </c>
    </row>
    <row r="1454" spans="2:13" outlineLevel="3">
      <c r="B1454" s="116" t="s">
        <v>2361</v>
      </c>
      <c r="C1454" s="129" t="s">
        <v>2487</v>
      </c>
      <c r="D1454" s="154" t="s">
        <v>2488</v>
      </c>
      <c r="E1454" s="129" t="s">
        <v>2364</v>
      </c>
      <c r="F1454" s="130"/>
      <c r="G1454" s="131">
        <v>1</v>
      </c>
      <c r="H1454" s="118"/>
      <c r="I1454" s="120">
        <v>54</v>
      </c>
      <c r="J1454" s="120"/>
      <c r="K1454" s="120">
        <v>38.5</v>
      </c>
      <c r="L1454" s="450">
        <f t="shared" si="104"/>
        <v>92.5</v>
      </c>
      <c r="M1454" s="134">
        <f t="shared" si="105"/>
        <v>92.5</v>
      </c>
    </row>
    <row r="1455" spans="2:13" outlineLevel="3">
      <c r="B1455" s="116" t="s">
        <v>2361</v>
      </c>
      <c r="C1455" s="129" t="s">
        <v>2489</v>
      </c>
      <c r="D1455" s="154" t="s">
        <v>2490</v>
      </c>
      <c r="E1455" s="129" t="s">
        <v>2364</v>
      </c>
      <c r="F1455" s="130"/>
      <c r="G1455" s="131">
        <v>1</v>
      </c>
      <c r="H1455" s="118"/>
      <c r="I1455" s="120">
        <v>54</v>
      </c>
      <c r="J1455" s="120"/>
      <c r="K1455" s="120">
        <v>38.5</v>
      </c>
      <c r="L1455" s="450">
        <f t="shared" si="104"/>
        <v>92.5</v>
      </c>
      <c r="M1455" s="134">
        <f t="shared" si="105"/>
        <v>92.5</v>
      </c>
    </row>
    <row r="1456" spans="2:13" outlineLevel="3">
      <c r="B1456" s="116" t="s">
        <v>2361</v>
      </c>
      <c r="C1456" s="129" t="s">
        <v>2491</v>
      </c>
      <c r="D1456" s="154" t="s">
        <v>2492</v>
      </c>
      <c r="E1456" s="129" t="s">
        <v>2364</v>
      </c>
      <c r="F1456" s="130"/>
      <c r="G1456" s="131">
        <v>1</v>
      </c>
      <c r="H1456" s="118"/>
      <c r="I1456" s="120">
        <v>54</v>
      </c>
      <c r="J1456" s="120"/>
      <c r="K1456" s="120">
        <v>38.5</v>
      </c>
      <c r="L1456" s="450">
        <f t="shared" si="104"/>
        <v>92.5</v>
      </c>
      <c r="M1456" s="134">
        <f t="shared" si="105"/>
        <v>92.5</v>
      </c>
    </row>
    <row r="1457" spans="2:13" outlineLevel="3">
      <c r="B1457" s="116" t="s">
        <v>2361</v>
      </c>
      <c r="C1457" s="129" t="s">
        <v>2493</v>
      </c>
      <c r="D1457" s="154" t="s">
        <v>2494</v>
      </c>
      <c r="E1457" s="129" t="s">
        <v>2364</v>
      </c>
      <c r="F1457" s="130"/>
      <c r="G1457" s="131">
        <v>1</v>
      </c>
      <c r="H1457" s="118"/>
      <c r="I1457" s="120">
        <v>54</v>
      </c>
      <c r="J1457" s="120"/>
      <c r="K1457" s="120">
        <v>38.5</v>
      </c>
      <c r="L1457" s="450">
        <f t="shared" si="104"/>
        <v>92.5</v>
      </c>
      <c r="M1457" s="134">
        <f t="shared" si="105"/>
        <v>92.5</v>
      </c>
    </row>
    <row r="1458" spans="2:13" outlineLevel="3">
      <c r="B1458" s="116" t="s">
        <v>2361</v>
      </c>
      <c r="C1458" s="129" t="s">
        <v>2495</v>
      </c>
      <c r="D1458" s="154" t="s">
        <v>2496</v>
      </c>
      <c r="E1458" s="129" t="s">
        <v>2364</v>
      </c>
      <c r="F1458" s="130"/>
      <c r="G1458" s="131">
        <v>125</v>
      </c>
      <c r="H1458" s="118"/>
      <c r="I1458" s="120">
        <v>54</v>
      </c>
      <c r="J1458" s="120"/>
      <c r="K1458" s="120">
        <v>38.5</v>
      </c>
      <c r="L1458" s="450">
        <f t="shared" si="104"/>
        <v>92.5</v>
      </c>
      <c r="M1458" s="134">
        <f t="shared" si="105"/>
        <v>11562.5</v>
      </c>
    </row>
    <row r="1459" spans="2:13" outlineLevel="3">
      <c r="B1459" s="116" t="s">
        <v>2361</v>
      </c>
      <c r="C1459" s="129" t="s">
        <v>2497</v>
      </c>
      <c r="D1459" s="154" t="s">
        <v>2498</v>
      </c>
      <c r="E1459" s="129" t="s">
        <v>2364</v>
      </c>
      <c r="F1459" s="130"/>
      <c r="G1459" s="131">
        <v>125</v>
      </c>
      <c r="H1459" s="118"/>
      <c r="I1459" s="120">
        <v>54</v>
      </c>
      <c r="J1459" s="120"/>
      <c r="K1459" s="120">
        <v>38.5</v>
      </c>
      <c r="L1459" s="450">
        <f t="shared" si="104"/>
        <v>92.5</v>
      </c>
      <c r="M1459" s="134">
        <f t="shared" si="105"/>
        <v>11562.5</v>
      </c>
    </row>
    <row r="1460" spans="2:13" outlineLevel="3">
      <c r="B1460" s="116" t="s">
        <v>2361</v>
      </c>
      <c r="C1460" s="129" t="s">
        <v>2499</v>
      </c>
      <c r="D1460" s="154" t="s">
        <v>2500</v>
      </c>
      <c r="E1460" s="129" t="s">
        <v>2364</v>
      </c>
      <c r="F1460" s="130"/>
      <c r="G1460" s="131">
        <v>125</v>
      </c>
      <c r="H1460" s="118"/>
      <c r="I1460" s="120">
        <v>54</v>
      </c>
      <c r="J1460" s="120"/>
      <c r="K1460" s="120">
        <v>38.5</v>
      </c>
      <c r="L1460" s="450">
        <f t="shared" si="104"/>
        <v>92.5</v>
      </c>
      <c r="M1460" s="134">
        <f t="shared" si="105"/>
        <v>11562.5</v>
      </c>
    </row>
    <row r="1461" spans="2:13" outlineLevel="3">
      <c r="B1461" s="116" t="s">
        <v>2361</v>
      </c>
      <c r="C1461" s="129" t="s">
        <v>2501</v>
      </c>
      <c r="D1461" s="154" t="s">
        <v>2502</v>
      </c>
      <c r="E1461" s="129" t="s">
        <v>2364</v>
      </c>
      <c r="F1461" s="130"/>
      <c r="G1461" s="131">
        <v>2</v>
      </c>
      <c r="H1461" s="118"/>
      <c r="I1461" s="120">
        <v>54</v>
      </c>
      <c r="J1461" s="120"/>
      <c r="K1461" s="120">
        <v>38.5</v>
      </c>
      <c r="L1461" s="450">
        <f t="shared" si="104"/>
        <v>92.5</v>
      </c>
      <c r="M1461" s="134">
        <f t="shared" si="105"/>
        <v>185</v>
      </c>
    </row>
    <row r="1462" spans="2:13" outlineLevel="3">
      <c r="B1462" s="116" t="s">
        <v>2361</v>
      </c>
      <c r="C1462" s="129" t="s">
        <v>2503</v>
      </c>
      <c r="D1462" s="154" t="s">
        <v>2504</v>
      </c>
      <c r="E1462" s="129" t="s">
        <v>2364</v>
      </c>
      <c r="F1462" s="130"/>
      <c r="G1462" s="131">
        <v>234</v>
      </c>
      <c r="H1462" s="118"/>
      <c r="I1462" s="120">
        <v>54</v>
      </c>
      <c r="J1462" s="120"/>
      <c r="K1462" s="120">
        <v>38.5</v>
      </c>
      <c r="L1462" s="450">
        <f t="shared" si="104"/>
        <v>92.5</v>
      </c>
      <c r="M1462" s="134">
        <f t="shared" si="105"/>
        <v>21645</v>
      </c>
    </row>
    <row r="1463" spans="2:13" outlineLevel="2">
      <c r="B1463" s="116"/>
      <c r="C1463" s="129"/>
      <c r="D1463" s="154"/>
      <c r="E1463" s="129"/>
      <c r="F1463" s="130"/>
      <c r="G1463" s="131"/>
      <c r="H1463" s="118"/>
      <c r="I1463" s="120"/>
      <c r="J1463" s="120"/>
      <c r="K1463" s="120"/>
      <c r="L1463" s="450"/>
      <c r="M1463" s="134"/>
    </row>
    <row r="1464" spans="2:13" outlineLevel="1">
      <c r="B1464" s="116"/>
      <c r="C1464" s="123" t="s">
        <v>2505</v>
      </c>
      <c r="D1464" s="449" t="s">
        <v>2506</v>
      </c>
      <c r="E1464" s="118" t="s">
        <v>96</v>
      </c>
      <c r="F1464" s="262"/>
      <c r="G1464" s="116"/>
      <c r="H1464" s="118"/>
      <c r="I1464" s="120"/>
      <c r="J1464" s="120"/>
      <c r="K1464" s="120"/>
      <c r="L1464" s="121"/>
      <c r="M1464" s="263">
        <f>+M1465+M1528+M1569</f>
        <v>577520.50329110562</v>
      </c>
    </row>
    <row r="1465" spans="2:13" outlineLevel="2">
      <c r="B1465" s="116"/>
      <c r="C1465" s="126" t="s">
        <v>2507</v>
      </c>
      <c r="D1465" s="260" t="s">
        <v>2508</v>
      </c>
      <c r="E1465" s="118" t="s">
        <v>99</v>
      </c>
      <c r="F1465" s="161"/>
      <c r="G1465" s="131">
        <f>+SUM(G1466:G1514)</f>
        <v>13759</v>
      </c>
      <c r="H1465" s="118"/>
      <c r="I1465" s="120"/>
      <c r="J1465" s="120"/>
      <c r="K1465" s="120"/>
      <c r="L1465" s="121"/>
      <c r="M1465" s="264">
        <f>SUM(M1466:M1527)</f>
        <v>329189.40059200005</v>
      </c>
    </row>
    <row r="1466" spans="2:13" s="171" customFormat="1" outlineLevel="3">
      <c r="B1466" s="166" t="s">
        <v>2509</v>
      </c>
      <c r="C1466" s="117" t="s">
        <v>2510</v>
      </c>
      <c r="D1466" s="451" t="s">
        <v>2511</v>
      </c>
      <c r="E1466" s="117" t="s">
        <v>1633</v>
      </c>
      <c r="F1466" s="142"/>
      <c r="G1466" s="167">
        <v>65</v>
      </c>
      <c r="H1466" s="168"/>
      <c r="I1466" s="169">
        <v>25</v>
      </c>
      <c r="J1466" s="169"/>
      <c r="K1466" s="169">
        <v>5.4</v>
      </c>
      <c r="L1466" s="452">
        <f t="shared" ref="L1466:L1497" si="106">SUM(H1466:K1466)*0</f>
        <v>0</v>
      </c>
      <c r="M1466" s="143">
        <f t="shared" ref="M1466:M1514" si="107">+L1466*G1466</f>
        <v>0</v>
      </c>
    </row>
    <row r="1467" spans="2:13" s="171" customFormat="1" outlineLevel="3">
      <c r="B1467" s="166" t="s">
        <v>2509</v>
      </c>
      <c r="C1467" s="117" t="s">
        <v>2512</v>
      </c>
      <c r="D1467" s="451" t="s">
        <v>2513</v>
      </c>
      <c r="E1467" s="117" t="s">
        <v>1633</v>
      </c>
      <c r="F1467" s="142"/>
      <c r="G1467" s="167">
        <v>6086</v>
      </c>
      <c r="H1467" s="168"/>
      <c r="I1467" s="169">
        <v>38</v>
      </c>
      <c r="J1467" s="169"/>
      <c r="K1467" s="169">
        <v>5.4</v>
      </c>
      <c r="L1467" s="452">
        <f t="shared" si="106"/>
        <v>0</v>
      </c>
      <c r="M1467" s="143">
        <f t="shared" si="107"/>
        <v>0</v>
      </c>
    </row>
    <row r="1468" spans="2:13" s="171" customFormat="1" outlineLevel="3">
      <c r="B1468" s="166" t="s">
        <v>2509</v>
      </c>
      <c r="C1468" s="117" t="s">
        <v>2514</v>
      </c>
      <c r="D1468" s="451" t="s">
        <v>2515</v>
      </c>
      <c r="E1468" s="117" t="s">
        <v>1633</v>
      </c>
      <c r="F1468" s="142"/>
      <c r="G1468" s="167">
        <v>5758</v>
      </c>
      <c r="H1468" s="168"/>
      <c r="I1468" s="169">
        <v>30.240000000000002</v>
      </c>
      <c r="J1468" s="169"/>
      <c r="K1468" s="169">
        <v>5.4</v>
      </c>
      <c r="L1468" s="452">
        <f t="shared" si="106"/>
        <v>0</v>
      </c>
      <c r="M1468" s="143">
        <f t="shared" si="107"/>
        <v>0</v>
      </c>
    </row>
    <row r="1469" spans="2:13" s="171" customFormat="1" outlineLevel="3">
      <c r="B1469" s="166" t="s">
        <v>2509</v>
      </c>
      <c r="C1469" s="117" t="s">
        <v>2516</v>
      </c>
      <c r="D1469" s="451" t="s">
        <v>2517</v>
      </c>
      <c r="E1469" s="117" t="s">
        <v>1633</v>
      </c>
      <c r="F1469" s="142"/>
      <c r="G1469" s="167">
        <v>227</v>
      </c>
      <c r="H1469" s="168"/>
      <c r="I1469" s="169">
        <v>42.84</v>
      </c>
      <c r="J1469" s="169"/>
      <c r="K1469" s="169">
        <v>5.4</v>
      </c>
      <c r="L1469" s="452">
        <f t="shared" si="106"/>
        <v>0</v>
      </c>
      <c r="M1469" s="143">
        <f t="shared" si="107"/>
        <v>0</v>
      </c>
    </row>
    <row r="1470" spans="2:13" s="171" customFormat="1" outlineLevel="3">
      <c r="B1470" s="166" t="s">
        <v>2509</v>
      </c>
      <c r="C1470" s="117" t="s">
        <v>2518</v>
      </c>
      <c r="D1470" s="451" t="s">
        <v>2519</v>
      </c>
      <c r="E1470" s="117" t="s">
        <v>1633</v>
      </c>
      <c r="F1470" s="142"/>
      <c r="G1470" s="167">
        <v>45</v>
      </c>
      <c r="H1470" s="168"/>
      <c r="I1470" s="169">
        <v>137.38999999999999</v>
      </c>
      <c r="J1470" s="169"/>
      <c r="K1470" s="169">
        <v>66</v>
      </c>
      <c r="L1470" s="452">
        <f t="shared" si="106"/>
        <v>0</v>
      </c>
      <c r="M1470" s="143">
        <f t="shared" si="107"/>
        <v>0</v>
      </c>
    </row>
    <row r="1471" spans="2:13" s="171" customFormat="1" outlineLevel="3">
      <c r="B1471" s="166" t="s">
        <v>2509</v>
      </c>
      <c r="C1471" s="117" t="s">
        <v>2520</v>
      </c>
      <c r="D1471" s="451" t="s">
        <v>2521</v>
      </c>
      <c r="E1471" s="117" t="s">
        <v>1633</v>
      </c>
      <c r="F1471" s="142"/>
      <c r="G1471" s="167">
        <v>30</v>
      </c>
      <c r="H1471" s="168"/>
      <c r="I1471" s="169">
        <v>54</v>
      </c>
      <c r="J1471" s="169"/>
      <c r="K1471" s="169">
        <v>5.4</v>
      </c>
      <c r="L1471" s="452">
        <f t="shared" si="106"/>
        <v>0</v>
      </c>
      <c r="M1471" s="143">
        <f t="shared" si="107"/>
        <v>0</v>
      </c>
    </row>
    <row r="1472" spans="2:13" s="171" customFormat="1" outlineLevel="3">
      <c r="B1472" s="166" t="s">
        <v>2509</v>
      </c>
      <c r="C1472" s="117" t="s">
        <v>2522</v>
      </c>
      <c r="D1472" s="451" t="s">
        <v>2523</v>
      </c>
      <c r="E1472" s="117" t="s">
        <v>1633</v>
      </c>
      <c r="F1472" s="142"/>
      <c r="G1472" s="167">
        <v>87</v>
      </c>
      <c r="H1472" s="168"/>
      <c r="I1472" s="169">
        <v>140</v>
      </c>
      <c r="J1472" s="169"/>
      <c r="K1472" s="169">
        <v>93.598500000000001</v>
      </c>
      <c r="L1472" s="452">
        <f t="shared" si="106"/>
        <v>0</v>
      </c>
      <c r="M1472" s="143">
        <f t="shared" si="107"/>
        <v>0</v>
      </c>
    </row>
    <row r="1473" spans="2:13" s="171" customFormat="1" outlineLevel="3">
      <c r="B1473" s="166" t="s">
        <v>2509</v>
      </c>
      <c r="C1473" s="117" t="s">
        <v>2524</v>
      </c>
      <c r="D1473" s="451" t="s">
        <v>2525</v>
      </c>
      <c r="E1473" s="117" t="s">
        <v>1633</v>
      </c>
      <c r="F1473" s="142"/>
      <c r="G1473" s="167">
        <v>30</v>
      </c>
      <c r="H1473" s="168"/>
      <c r="I1473" s="169">
        <v>54</v>
      </c>
      <c r="J1473" s="169"/>
      <c r="K1473" s="169">
        <v>5.4</v>
      </c>
      <c r="L1473" s="452">
        <f t="shared" si="106"/>
        <v>0</v>
      </c>
      <c r="M1473" s="143">
        <f t="shared" si="107"/>
        <v>0</v>
      </c>
    </row>
    <row r="1474" spans="2:13" s="171" customFormat="1" outlineLevel="3">
      <c r="B1474" s="166" t="s">
        <v>2509</v>
      </c>
      <c r="C1474" s="117" t="s">
        <v>2526</v>
      </c>
      <c r="D1474" s="451" t="s">
        <v>2527</v>
      </c>
      <c r="E1474" s="117" t="s">
        <v>1633</v>
      </c>
      <c r="F1474" s="142"/>
      <c r="G1474" s="167">
        <v>45</v>
      </c>
      <c r="H1474" s="168"/>
      <c r="I1474" s="169">
        <v>54</v>
      </c>
      <c r="J1474" s="169"/>
      <c r="K1474" s="169">
        <v>5.4</v>
      </c>
      <c r="L1474" s="452">
        <f t="shared" si="106"/>
        <v>0</v>
      </c>
      <c r="M1474" s="143">
        <f t="shared" si="107"/>
        <v>0</v>
      </c>
    </row>
    <row r="1475" spans="2:13" s="171" customFormat="1" outlineLevel="3">
      <c r="B1475" s="166" t="s">
        <v>2509</v>
      </c>
      <c r="C1475" s="117" t="s">
        <v>2528</v>
      </c>
      <c r="D1475" s="451" t="s">
        <v>2529</v>
      </c>
      <c r="E1475" s="117" t="s">
        <v>1633</v>
      </c>
      <c r="F1475" s="142"/>
      <c r="G1475" s="167">
        <v>20</v>
      </c>
      <c r="H1475" s="168"/>
      <c r="I1475" s="169">
        <v>25</v>
      </c>
      <c r="J1475" s="169"/>
      <c r="K1475" s="169">
        <v>7.8</v>
      </c>
      <c r="L1475" s="452">
        <f t="shared" si="106"/>
        <v>0</v>
      </c>
      <c r="M1475" s="143">
        <f t="shared" si="107"/>
        <v>0</v>
      </c>
    </row>
    <row r="1476" spans="2:13" s="171" customFormat="1" outlineLevel="3">
      <c r="B1476" s="166" t="s">
        <v>2509</v>
      </c>
      <c r="C1476" s="117" t="s">
        <v>2530</v>
      </c>
      <c r="D1476" s="451" t="s">
        <v>2531</v>
      </c>
      <c r="E1476" s="117" t="s">
        <v>1633</v>
      </c>
      <c r="F1476" s="142"/>
      <c r="G1476" s="167">
        <v>21</v>
      </c>
      <c r="H1476" s="168"/>
      <c r="I1476" s="169">
        <v>25</v>
      </c>
      <c r="J1476" s="169"/>
      <c r="K1476" s="169">
        <v>7.8</v>
      </c>
      <c r="L1476" s="452">
        <f t="shared" si="106"/>
        <v>0</v>
      </c>
      <c r="M1476" s="143">
        <f t="shared" si="107"/>
        <v>0</v>
      </c>
    </row>
    <row r="1477" spans="2:13" s="171" customFormat="1" outlineLevel="3">
      <c r="B1477" s="166" t="s">
        <v>2509</v>
      </c>
      <c r="C1477" s="117" t="s">
        <v>2532</v>
      </c>
      <c r="D1477" s="451" t="s">
        <v>2533</v>
      </c>
      <c r="E1477" s="117" t="s">
        <v>1633</v>
      </c>
      <c r="F1477" s="142"/>
      <c r="G1477" s="167">
        <v>24</v>
      </c>
      <c r="H1477" s="168"/>
      <c r="I1477" s="169">
        <v>25</v>
      </c>
      <c r="J1477" s="169"/>
      <c r="K1477" s="169">
        <v>7.8</v>
      </c>
      <c r="L1477" s="452">
        <f t="shared" si="106"/>
        <v>0</v>
      </c>
      <c r="M1477" s="143">
        <f t="shared" si="107"/>
        <v>0</v>
      </c>
    </row>
    <row r="1478" spans="2:13" s="171" customFormat="1" outlineLevel="3">
      <c r="B1478" s="166" t="s">
        <v>2509</v>
      </c>
      <c r="C1478" s="117" t="s">
        <v>2534</v>
      </c>
      <c r="D1478" s="451" t="s">
        <v>2535</v>
      </c>
      <c r="E1478" s="117" t="s">
        <v>1633</v>
      </c>
      <c r="F1478" s="142"/>
      <c r="G1478" s="167">
        <v>27</v>
      </c>
      <c r="H1478" s="168"/>
      <c r="I1478" s="169">
        <v>25</v>
      </c>
      <c r="J1478" s="169"/>
      <c r="K1478" s="169">
        <v>7.8</v>
      </c>
      <c r="L1478" s="452">
        <f t="shared" si="106"/>
        <v>0</v>
      </c>
      <c r="M1478" s="143">
        <f t="shared" si="107"/>
        <v>0</v>
      </c>
    </row>
    <row r="1479" spans="2:13" s="171" customFormat="1" outlineLevel="3">
      <c r="B1479" s="166" t="s">
        <v>2509</v>
      </c>
      <c r="C1479" s="117" t="s">
        <v>2536</v>
      </c>
      <c r="D1479" s="451" t="s">
        <v>2537</v>
      </c>
      <c r="E1479" s="117" t="s">
        <v>1633</v>
      </c>
      <c r="F1479" s="142"/>
      <c r="G1479" s="167">
        <v>30</v>
      </c>
      <c r="H1479" s="168"/>
      <c r="I1479" s="169">
        <v>38</v>
      </c>
      <c r="J1479" s="169"/>
      <c r="K1479" s="169">
        <v>7.8</v>
      </c>
      <c r="L1479" s="452">
        <f t="shared" si="106"/>
        <v>0</v>
      </c>
      <c r="M1479" s="143">
        <f t="shared" si="107"/>
        <v>0</v>
      </c>
    </row>
    <row r="1480" spans="2:13" s="171" customFormat="1" outlineLevel="3">
      <c r="B1480" s="166" t="s">
        <v>2509</v>
      </c>
      <c r="C1480" s="117" t="s">
        <v>2538</v>
      </c>
      <c r="D1480" s="451" t="s">
        <v>2539</v>
      </c>
      <c r="E1480" s="117" t="s">
        <v>1633</v>
      </c>
      <c r="F1480" s="142"/>
      <c r="G1480" s="167">
        <v>33</v>
      </c>
      <c r="H1480" s="168"/>
      <c r="I1480" s="169">
        <v>38</v>
      </c>
      <c r="J1480" s="169"/>
      <c r="K1480" s="169">
        <v>7.8</v>
      </c>
      <c r="L1480" s="452">
        <f t="shared" si="106"/>
        <v>0</v>
      </c>
      <c r="M1480" s="143">
        <f t="shared" si="107"/>
        <v>0</v>
      </c>
    </row>
    <row r="1481" spans="2:13" s="171" customFormat="1" outlineLevel="3">
      <c r="B1481" s="166" t="s">
        <v>2509</v>
      </c>
      <c r="C1481" s="117" t="s">
        <v>2540</v>
      </c>
      <c r="D1481" s="451" t="s">
        <v>2541</v>
      </c>
      <c r="E1481" s="117" t="s">
        <v>1633</v>
      </c>
      <c r="F1481" s="142"/>
      <c r="G1481" s="167">
        <v>36</v>
      </c>
      <c r="H1481" s="168"/>
      <c r="I1481" s="169">
        <v>38</v>
      </c>
      <c r="J1481" s="169"/>
      <c r="K1481" s="169">
        <v>7.8</v>
      </c>
      <c r="L1481" s="452">
        <f t="shared" si="106"/>
        <v>0</v>
      </c>
      <c r="M1481" s="143">
        <f t="shared" si="107"/>
        <v>0</v>
      </c>
    </row>
    <row r="1482" spans="2:13" s="171" customFormat="1" outlineLevel="3">
      <c r="B1482" s="166" t="s">
        <v>2509</v>
      </c>
      <c r="C1482" s="117" t="s">
        <v>2542</v>
      </c>
      <c r="D1482" s="451" t="s">
        <v>2543</v>
      </c>
      <c r="E1482" s="117" t="s">
        <v>1633</v>
      </c>
      <c r="F1482" s="142"/>
      <c r="G1482" s="167">
        <v>50</v>
      </c>
      <c r="H1482" s="168"/>
      <c r="I1482" s="169">
        <v>42.84</v>
      </c>
      <c r="J1482" s="169"/>
      <c r="K1482" s="169">
        <v>30</v>
      </c>
      <c r="L1482" s="452">
        <f t="shared" si="106"/>
        <v>0</v>
      </c>
      <c r="M1482" s="143">
        <f t="shared" si="107"/>
        <v>0</v>
      </c>
    </row>
    <row r="1483" spans="2:13" s="171" customFormat="1" outlineLevel="3">
      <c r="B1483" s="166" t="s">
        <v>2509</v>
      </c>
      <c r="C1483" s="117" t="s">
        <v>2544</v>
      </c>
      <c r="D1483" s="451" t="s">
        <v>2545</v>
      </c>
      <c r="E1483" s="117" t="s">
        <v>1633</v>
      </c>
      <c r="F1483" s="142"/>
      <c r="G1483" s="167">
        <v>65</v>
      </c>
      <c r="H1483" s="168"/>
      <c r="I1483" s="169">
        <v>140</v>
      </c>
      <c r="J1483" s="169"/>
      <c r="K1483" s="169">
        <v>30</v>
      </c>
      <c r="L1483" s="452">
        <f t="shared" si="106"/>
        <v>0</v>
      </c>
      <c r="M1483" s="143">
        <f t="shared" si="107"/>
        <v>0</v>
      </c>
    </row>
    <row r="1484" spans="2:13" s="171" customFormat="1" outlineLevel="3">
      <c r="B1484" s="166" t="s">
        <v>2509</v>
      </c>
      <c r="C1484" s="117" t="s">
        <v>2546</v>
      </c>
      <c r="D1484" s="451" t="s">
        <v>2547</v>
      </c>
      <c r="E1484" s="117" t="s">
        <v>1633</v>
      </c>
      <c r="F1484" s="142"/>
      <c r="G1484" s="167">
        <v>65</v>
      </c>
      <c r="H1484" s="168"/>
      <c r="I1484" s="169">
        <v>140</v>
      </c>
      <c r="J1484" s="169"/>
      <c r="K1484" s="169">
        <v>30</v>
      </c>
      <c r="L1484" s="452">
        <f t="shared" si="106"/>
        <v>0</v>
      </c>
      <c r="M1484" s="143">
        <f t="shared" si="107"/>
        <v>0</v>
      </c>
    </row>
    <row r="1485" spans="2:13" s="171" customFormat="1" outlineLevel="3">
      <c r="B1485" s="166" t="s">
        <v>2509</v>
      </c>
      <c r="C1485" s="117" t="s">
        <v>2548</v>
      </c>
      <c r="D1485" s="451" t="s">
        <v>2549</v>
      </c>
      <c r="E1485" s="117" t="s">
        <v>1633</v>
      </c>
      <c r="F1485" s="142"/>
      <c r="G1485" s="167">
        <v>78</v>
      </c>
      <c r="H1485" s="168"/>
      <c r="I1485" s="169">
        <v>38</v>
      </c>
      <c r="J1485" s="169"/>
      <c r="K1485" s="169">
        <v>7.8</v>
      </c>
      <c r="L1485" s="452">
        <f t="shared" si="106"/>
        <v>0</v>
      </c>
      <c r="M1485" s="143">
        <f t="shared" si="107"/>
        <v>0</v>
      </c>
    </row>
    <row r="1486" spans="2:13" s="171" customFormat="1" outlineLevel="3">
      <c r="B1486" s="166" t="s">
        <v>2509</v>
      </c>
      <c r="C1486" s="117" t="s">
        <v>2550</v>
      </c>
      <c r="D1486" s="451" t="s">
        <v>2551</v>
      </c>
      <c r="E1486" s="117" t="s">
        <v>1633</v>
      </c>
      <c r="F1486" s="142"/>
      <c r="G1486" s="167">
        <v>50</v>
      </c>
      <c r="H1486" s="168"/>
      <c r="I1486" s="169">
        <v>249.59</v>
      </c>
      <c r="J1486" s="169"/>
      <c r="K1486" s="169">
        <v>30</v>
      </c>
      <c r="L1486" s="452">
        <f t="shared" si="106"/>
        <v>0</v>
      </c>
      <c r="M1486" s="143">
        <f t="shared" si="107"/>
        <v>0</v>
      </c>
    </row>
    <row r="1487" spans="2:13" s="171" customFormat="1" outlineLevel="3">
      <c r="B1487" s="166" t="s">
        <v>2509</v>
      </c>
      <c r="C1487" s="117" t="s">
        <v>2552</v>
      </c>
      <c r="D1487" s="451" t="s">
        <v>2553</v>
      </c>
      <c r="E1487" s="117" t="s">
        <v>1633</v>
      </c>
      <c r="F1487" s="142"/>
      <c r="G1487" s="167">
        <v>53</v>
      </c>
      <c r="H1487" s="168"/>
      <c r="I1487" s="169">
        <v>25</v>
      </c>
      <c r="J1487" s="169"/>
      <c r="K1487" s="169">
        <v>7.8</v>
      </c>
      <c r="L1487" s="452">
        <f t="shared" si="106"/>
        <v>0</v>
      </c>
      <c r="M1487" s="143">
        <f t="shared" si="107"/>
        <v>0</v>
      </c>
    </row>
    <row r="1488" spans="2:13" s="171" customFormat="1" outlineLevel="3">
      <c r="B1488" s="166" t="s">
        <v>2509</v>
      </c>
      <c r="C1488" s="117" t="s">
        <v>2554</v>
      </c>
      <c r="D1488" s="451" t="s">
        <v>2555</v>
      </c>
      <c r="E1488" s="117" t="s">
        <v>1633</v>
      </c>
      <c r="F1488" s="142"/>
      <c r="G1488" s="167">
        <v>17</v>
      </c>
      <c r="H1488" s="168"/>
      <c r="I1488" s="169">
        <v>38</v>
      </c>
      <c r="J1488" s="169"/>
      <c r="K1488" s="169">
        <v>5.4</v>
      </c>
      <c r="L1488" s="452">
        <f t="shared" si="106"/>
        <v>0</v>
      </c>
      <c r="M1488" s="143">
        <f t="shared" si="107"/>
        <v>0</v>
      </c>
    </row>
    <row r="1489" spans="2:13" s="171" customFormat="1" outlineLevel="3">
      <c r="B1489" s="166" t="s">
        <v>2509</v>
      </c>
      <c r="C1489" s="117" t="s">
        <v>2556</v>
      </c>
      <c r="D1489" s="451" t="s">
        <v>2557</v>
      </c>
      <c r="E1489" s="117" t="s">
        <v>1633</v>
      </c>
      <c r="F1489" s="142"/>
      <c r="G1489" s="167">
        <v>20</v>
      </c>
      <c r="H1489" s="168"/>
      <c r="I1489" s="169">
        <v>54</v>
      </c>
      <c r="J1489" s="169"/>
      <c r="K1489" s="169">
        <v>30</v>
      </c>
      <c r="L1489" s="452">
        <f t="shared" si="106"/>
        <v>0</v>
      </c>
      <c r="M1489" s="143">
        <f t="shared" si="107"/>
        <v>0</v>
      </c>
    </row>
    <row r="1490" spans="2:13" s="171" customFormat="1" outlineLevel="3">
      <c r="B1490" s="166" t="s">
        <v>2509</v>
      </c>
      <c r="C1490" s="117" t="s">
        <v>2558</v>
      </c>
      <c r="D1490" s="451" t="s">
        <v>2559</v>
      </c>
      <c r="E1490" s="117" t="s">
        <v>1633</v>
      </c>
      <c r="F1490" s="142"/>
      <c r="G1490" s="167">
        <v>10</v>
      </c>
      <c r="H1490" s="168"/>
      <c r="I1490" s="169">
        <v>17</v>
      </c>
      <c r="J1490" s="169"/>
      <c r="K1490" s="169">
        <v>5.4</v>
      </c>
      <c r="L1490" s="452">
        <f t="shared" si="106"/>
        <v>0</v>
      </c>
      <c r="M1490" s="143">
        <f t="shared" si="107"/>
        <v>0</v>
      </c>
    </row>
    <row r="1491" spans="2:13" s="171" customFormat="1" outlineLevel="3">
      <c r="B1491" s="166" t="s">
        <v>2509</v>
      </c>
      <c r="C1491" s="117" t="s">
        <v>2560</v>
      </c>
      <c r="D1491" s="451" t="s">
        <v>2561</v>
      </c>
      <c r="E1491" s="117" t="s">
        <v>1633</v>
      </c>
      <c r="F1491" s="142"/>
      <c r="G1491" s="167">
        <v>35</v>
      </c>
      <c r="H1491" s="168"/>
      <c r="I1491" s="169">
        <v>17</v>
      </c>
      <c r="J1491" s="169"/>
      <c r="K1491" s="169">
        <v>5.4</v>
      </c>
      <c r="L1491" s="452">
        <f t="shared" si="106"/>
        <v>0</v>
      </c>
      <c r="M1491" s="143">
        <f t="shared" si="107"/>
        <v>0</v>
      </c>
    </row>
    <row r="1492" spans="2:13" s="171" customFormat="1" outlineLevel="3">
      <c r="B1492" s="166" t="s">
        <v>2509</v>
      </c>
      <c r="C1492" s="117" t="s">
        <v>2562</v>
      </c>
      <c r="D1492" s="451" t="s">
        <v>2563</v>
      </c>
      <c r="E1492" s="117" t="s">
        <v>1633</v>
      </c>
      <c r="F1492" s="142"/>
      <c r="G1492" s="167">
        <v>10</v>
      </c>
      <c r="H1492" s="168"/>
      <c r="I1492" s="169">
        <v>17</v>
      </c>
      <c r="J1492" s="169"/>
      <c r="K1492" s="169">
        <v>5.4</v>
      </c>
      <c r="L1492" s="452">
        <f t="shared" si="106"/>
        <v>0</v>
      </c>
      <c r="M1492" s="143">
        <f t="shared" si="107"/>
        <v>0</v>
      </c>
    </row>
    <row r="1493" spans="2:13" s="171" customFormat="1" outlineLevel="3">
      <c r="B1493" s="166" t="s">
        <v>2509</v>
      </c>
      <c r="C1493" s="117" t="s">
        <v>2564</v>
      </c>
      <c r="D1493" s="451" t="s">
        <v>2565</v>
      </c>
      <c r="E1493" s="117" t="s">
        <v>1633</v>
      </c>
      <c r="F1493" s="142"/>
      <c r="G1493" s="167">
        <v>10</v>
      </c>
      <c r="H1493" s="168"/>
      <c r="I1493" s="169">
        <v>17</v>
      </c>
      <c r="J1493" s="169"/>
      <c r="K1493" s="169">
        <v>5.4</v>
      </c>
      <c r="L1493" s="452">
        <f t="shared" si="106"/>
        <v>0</v>
      </c>
      <c r="M1493" s="143">
        <f t="shared" si="107"/>
        <v>0</v>
      </c>
    </row>
    <row r="1494" spans="2:13" s="171" customFormat="1" outlineLevel="3">
      <c r="B1494" s="166" t="s">
        <v>2509</v>
      </c>
      <c r="C1494" s="117" t="s">
        <v>2566</v>
      </c>
      <c r="D1494" s="451" t="s">
        <v>2567</v>
      </c>
      <c r="E1494" s="117" t="s">
        <v>1633</v>
      </c>
      <c r="F1494" s="142"/>
      <c r="G1494" s="167">
        <v>10</v>
      </c>
      <c r="H1494" s="168"/>
      <c r="I1494" s="169">
        <v>17</v>
      </c>
      <c r="J1494" s="169"/>
      <c r="K1494" s="169">
        <v>5.4</v>
      </c>
      <c r="L1494" s="452">
        <f t="shared" si="106"/>
        <v>0</v>
      </c>
      <c r="M1494" s="143">
        <f t="shared" si="107"/>
        <v>0</v>
      </c>
    </row>
    <row r="1495" spans="2:13" s="171" customFormat="1" outlineLevel="3">
      <c r="B1495" s="166" t="s">
        <v>2509</v>
      </c>
      <c r="C1495" s="117" t="s">
        <v>2568</v>
      </c>
      <c r="D1495" s="451" t="s">
        <v>2569</v>
      </c>
      <c r="E1495" s="117" t="s">
        <v>1633</v>
      </c>
      <c r="F1495" s="142"/>
      <c r="G1495" s="167">
        <v>10</v>
      </c>
      <c r="H1495" s="168"/>
      <c r="I1495" s="169">
        <v>17</v>
      </c>
      <c r="J1495" s="169"/>
      <c r="K1495" s="169">
        <v>5.4</v>
      </c>
      <c r="L1495" s="452">
        <f t="shared" si="106"/>
        <v>0</v>
      </c>
      <c r="M1495" s="143">
        <f t="shared" si="107"/>
        <v>0</v>
      </c>
    </row>
    <row r="1496" spans="2:13" s="171" customFormat="1" outlineLevel="3">
      <c r="B1496" s="166" t="s">
        <v>2509</v>
      </c>
      <c r="C1496" s="117" t="s">
        <v>2570</v>
      </c>
      <c r="D1496" s="451" t="s">
        <v>2571</v>
      </c>
      <c r="E1496" s="117" t="s">
        <v>1633</v>
      </c>
      <c r="F1496" s="142"/>
      <c r="G1496" s="167">
        <v>10</v>
      </c>
      <c r="H1496" s="168"/>
      <c r="I1496" s="169">
        <v>17</v>
      </c>
      <c r="J1496" s="169"/>
      <c r="K1496" s="169">
        <v>5.4</v>
      </c>
      <c r="L1496" s="452">
        <f t="shared" si="106"/>
        <v>0</v>
      </c>
      <c r="M1496" s="143">
        <f t="shared" si="107"/>
        <v>0</v>
      </c>
    </row>
    <row r="1497" spans="2:13" s="171" customFormat="1" outlineLevel="3">
      <c r="B1497" s="166" t="s">
        <v>2509</v>
      </c>
      <c r="C1497" s="117" t="s">
        <v>2572</v>
      </c>
      <c r="D1497" s="451" t="s">
        <v>2573</v>
      </c>
      <c r="E1497" s="117" t="s">
        <v>1633</v>
      </c>
      <c r="F1497" s="142"/>
      <c r="G1497" s="167">
        <v>48</v>
      </c>
      <c r="H1497" s="168"/>
      <c r="I1497" s="169">
        <v>38</v>
      </c>
      <c r="J1497" s="169"/>
      <c r="K1497" s="169">
        <v>5.4</v>
      </c>
      <c r="L1497" s="452">
        <f t="shared" si="106"/>
        <v>0</v>
      </c>
      <c r="M1497" s="143">
        <f t="shared" si="107"/>
        <v>0</v>
      </c>
    </row>
    <row r="1498" spans="2:13" s="171" customFormat="1" outlineLevel="3">
      <c r="B1498" s="166" t="s">
        <v>2509</v>
      </c>
      <c r="C1498" s="117" t="s">
        <v>2574</v>
      </c>
      <c r="D1498" s="451" t="s">
        <v>2575</v>
      </c>
      <c r="E1498" s="117" t="s">
        <v>1633</v>
      </c>
      <c r="F1498" s="142"/>
      <c r="G1498" s="167">
        <v>13</v>
      </c>
      <c r="H1498" s="168"/>
      <c r="I1498" s="169">
        <v>42.84</v>
      </c>
      <c r="J1498" s="169"/>
      <c r="K1498" s="169">
        <v>30</v>
      </c>
      <c r="L1498" s="452">
        <f t="shared" ref="L1498:L1514" si="108">SUM(H1498:K1498)*0</f>
        <v>0</v>
      </c>
      <c r="M1498" s="143">
        <f t="shared" si="107"/>
        <v>0</v>
      </c>
    </row>
    <row r="1499" spans="2:13" s="171" customFormat="1" outlineLevel="3">
      <c r="B1499" s="166" t="s">
        <v>2509</v>
      </c>
      <c r="C1499" s="117" t="s">
        <v>2576</v>
      </c>
      <c r="D1499" s="451" t="s">
        <v>2577</v>
      </c>
      <c r="E1499" s="117" t="s">
        <v>1633</v>
      </c>
      <c r="F1499" s="142"/>
      <c r="G1499" s="167">
        <v>33</v>
      </c>
      <c r="H1499" s="168"/>
      <c r="I1499" s="169">
        <v>38</v>
      </c>
      <c r="J1499" s="169"/>
      <c r="K1499" s="169">
        <v>5.4</v>
      </c>
      <c r="L1499" s="452">
        <f t="shared" si="108"/>
        <v>0</v>
      </c>
      <c r="M1499" s="143">
        <f t="shared" si="107"/>
        <v>0</v>
      </c>
    </row>
    <row r="1500" spans="2:13" s="171" customFormat="1" outlineLevel="3">
      <c r="B1500" s="166" t="s">
        <v>2509</v>
      </c>
      <c r="C1500" s="117" t="s">
        <v>2578</v>
      </c>
      <c r="D1500" s="451" t="s">
        <v>2579</v>
      </c>
      <c r="E1500" s="117" t="s">
        <v>1633</v>
      </c>
      <c r="F1500" s="142"/>
      <c r="G1500" s="167">
        <v>30</v>
      </c>
      <c r="H1500" s="168"/>
      <c r="I1500" s="169">
        <v>38</v>
      </c>
      <c r="J1500" s="169"/>
      <c r="K1500" s="169">
        <v>7.8</v>
      </c>
      <c r="L1500" s="452">
        <f t="shared" si="108"/>
        <v>0</v>
      </c>
      <c r="M1500" s="143">
        <f t="shared" si="107"/>
        <v>0</v>
      </c>
    </row>
    <row r="1501" spans="2:13" s="171" customFormat="1" outlineLevel="3">
      <c r="B1501" s="166" t="s">
        <v>2509</v>
      </c>
      <c r="C1501" s="117" t="s">
        <v>2580</v>
      </c>
      <c r="D1501" s="451" t="s">
        <v>2581</v>
      </c>
      <c r="E1501" s="117" t="s">
        <v>1633</v>
      </c>
      <c r="F1501" s="142"/>
      <c r="G1501" s="167">
        <v>30</v>
      </c>
      <c r="H1501" s="168"/>
      <c r="I1501" s="169">
        <v>17</v>
      </c>
      <c r="J1501" s="169"/>
      <c r="K1501" s="169">
        <v>7.8</v>
      </c>
      <c r="L1501" s="452">
        <f t="shared" si="108"/>
        <v>0</v>
      </c>
      <c r="M1501" s="143">
        <f t="shared" si="107"/>
        <v>0</v>
      </c>
    </row>
    <row r="1502" spans="2:13" s="171" customFormat="1" outlineLevel="3">
      <c r="B1502" s="166" t="s">
        <v>2509</v>
      </c>
      <c r="C1502" s="117" t="s">
        <v>2582</v>
      </c>
      <c r="D1502" s="451" t="s">
        <v>2583</v>
      </c>
      <c r="E1502" s="117" t="s">
        <v>1633</v>
      </c>
      <c r="F1502" s="142"/>
      <c r="G1502" s="167">
        <v>8</v>
      </c>
      <c r="H1502" s="168"/>
      <c r="I1502" s="169">
        <v>38</v>
      </c>
      <c r="J1502" s="169"/>
      <c r="K1502" s="169">
        <v>7.8</v>
      </c>
      <c r="L1502" s="452">
        <f t="shared" si="108"/>
        <v>0</v>
      </c>
      <c r="M1502" s="143">
        <f t="shared" si="107"/>
        <v>0</v>
      </c>
    </row>
    <row r="1503" spans="2:13" s="171" customFormat="1" outlineLevel="3">
      <c r="B1503" s="166" t="s">
        <v>2509</v>
      </c>
      <c r="C1503" s="117" t="s">
        <v>2584</v>
      </c>
      <c r="D1503" s="451" t="s">
        <v>2585</v>
      </c>
      <c r="E1503" s="117" t="s">
        <v>1633</v>
      </c>
      <c r="F1503" s="142"/>
      <c r="G1503" s="167">
        <v>8</v>
      </c>
      <c r="H1503" s="168"/>
      <c r="I1503" s="169">
        <v>38</v>
      </c>
      <c r="J1503" s="169"/>
      <c r="K1503" s="169">
        <v>7.8</v>
      </c>
      <c r="L1503" s="452">
        <f t="shared" si="108"/>
        <v>0</v>
      </c>
      <c r="M1503" s="143">
        <f t="shared" si="107"/>
        <v>0</v>
      </c>
    </row>
    <row r="1504" spans="2:13" s="171" customFormat="1" outlineLevel="3">
      <c r="B1504" s="166" t="s">
        <v>2509</v>
      </c>
      <c r="C1504" s="117" t="s">
        <v>2586</v>
      </c>
      <c r="D1504" s="451" t="s">
        <v>2587</v>
      </c>
      <c r="E1504" s="117" t="s">
        <v>1633</v>
      </c>
      <c r="F1504" s="142"/>
      <c r="G1504" s="167">
        <v>7</v>
      </c>
      <c r="H1504" s="168"/>
      <c r="I1504" s="169">
        <v>183.39</v>
      </c>
      <c r="J1504" s="169"/>
      <c r="K1504" s="169">
        <v>7.8</v>
      </c>
      <c r="L1504" s="452">
        <f t="shared" si="108"/>
        <v>0</v>
      </c>
      <c r="M1504" s="143">
        <f t="shared" si="107"/>
        <v>0</v>
      </c>
    </row>
    <row r="1505" spans="2:13" s="171" customFormat="1" outlineLevel="3">
      <c r="B1505" s="166" t="s">
        <v>2509</v>
      </c>
      <c r="C1505" s="117" t="s">
        <v>2588</v>
      </c>
      <c r="D1505" s="451" t="s">
        <v>2589</v>
      </c>
      <c r="E1505" s="117" t="s">
        <v>1633</v>
      </c>
      <c r="F1505" s="142"/>
      <c r="G1505" s="167">
        <v>9</v>
      </c>
      <c r="H1505" s="168"/>
      <c r="I1505" s="169">
        <v>38</v>
      </c>
      <c r="J1505" s="169"/>
      <c r="K1505" s="169">
        <v>7.8</v>
      </c>
      <c r="L1505" s="452">
        <f t="shared" si="108"/>
        <v>0</v>
      </c>
      <c r="M1505" s="143">
        <f t="shared" si="107"/>
        <v>0</v>
      </c>
    </row>
    <row r="1506" spans="2:13" s="171" customFormat="1" outlineLevel="3">
      <c r="B1506" s="166" t="s">
        <v>2509</v>
      </c>
      <c r="C1506" s="117" t="s">
        <v>2590</v>
      </c>
      <c r="D1506" s="451" t="s">
        <v>2591</v>
      </c>
      <c r="E1506" s="117" t="s">
        <v>1633</v>
      </c>
      <c r="F1506" s="142"/>
      <c r="G1506" s="167">
        <v>10</v>
      </c>
      <c r="H1506" s="168"/>
      <c r="I1506" s="169">
        <v>38</v>
      </c>
      <c r="J1506" s="169"/>
      <c r="K1506" s="169">
        <v>7.8</v>
      </c>
      <c r="L1506" s="452">
        <f t="shared" si="108"/>
        <v>0</v>
      </c>
      <c r="M1506" s="143">
        <f t="shared" si="107"/>
        <v>0</v>
      </c>
    </row>
    <row r="1507" spans="2:13" s="171" customFormat="1" outlineLevel="3">
      <c r="B1507" s="166" t="s">
        <v>2509</v>
      </c>
      <c r="C1507" s="117" t="s">
        <v>2592</v>
      </c>
      <c r="D1507" s="451" t="s">
        <v>2593</v>
      </c>
      <c r="E1507" s="117" t="s">
        <v>1633</v>
      </c>
      <c r="F1507" s="142"/>
      <c r="G1507" s="167">
        <v>8</v>
      </c>
      <c r="H1507" s="168"/>
      <c r="I1507" s="169">
        <v>25</v>
      </c>
      <c r="J1507" s="169"/>
      <c r="K1507" s="169">
        <v>7.8</v>
      </c>
      <c r="L1507" s="452">
        <f t="shared" si="108"/>
        <v>0</v>
      </c>
      <c r="M1507" s="143">
        <f t="shared" si="107"/>
        <v>0</v>
      </c>
    </row>
    <row r="1508" spans="2:13" s="171" customFormat="1" outlineLevel="3">
      <c r="B1508" s="166" t="s">
        <v>2509</v>
      </c>
      <c r="C1508" s="117" t="s">
        <v>2594</v>
      </c>
      <c r="D1508" s="451" t="s">
        <v>2595</v>
      </c>
      <c r="E1508" s="117" t="s">
        <v>1633</v>
      </c>
      <c r="F1508" s="142"/>
      <c r="G1508" s="167">
        <v>9</v>
      </c>
      <c r="H1508" s="168"/>
      <c r="I1508" s="169">
        <v>17</v>
      </c>
      <c r="J1508" s="169"/>
      <c r="K1508" s="169">
        <v>7.8</v>
      </c>
      <c r="L1508" s="452">
        <f t="shared" si="108"/>
        <v>0</v>
      </c>
      <c r="M1508" s="143">
        <f t="shared" si="107"/>
        <v>0</v>
      </c>
    </row>
    <row r="1509" spans="2:13" s="171" customFormat="1" outlineLevel="3">
      <c r="B1509" s="166" t="s">
        <v>2509</v>
      </c>
      <c r="C1509" s="117" t="s">
        <v>2596</v>
      </c>
      <c r="D1509" s="451" t="s">
        <v>2597</v>
      </c>
      <c r="E1509" s="117" t="s">
        <v>1633</v>
      </c>
      <c r="F1509" s="142"/>
      <c r="G1509" s="167">
        <v>13</v>
      </c>
      <c r="H1509" s="168"/>
      <c r="I1509" s="169">
        <v>17</v>
      </c>
      <c r="J1509" s="169"/>
      <c r="K1509" s="169">
        <v>7.8</v>
      </c>
      <c r="L1509" s="452">
        <f t="shared" si="108"/>
        <v>0</v>
      </c>
      <c r="M1509" s="143">
        <f t="shared" si="107"/>
        <v>0</v>
      </c>
    </row>
    <row r="1510" spans="2:13" s="171" customFormat="1" outlineLevel="3">
      <c r="B1510" s="166" t="s">
        <v>2509</v>
      </c>
      <c r="C1510" s="117" t="s">
        <v>2598</v>
      </c>
      <c r="D1510" s="451" t="s">
        <v>2599</v>
      </c>
      <c r="E1510" s="117" t="s">
        <v>1633</v>
      </c>
      <c r="F1510" s="142"/>
      <c r="G1510" s="167">
        <v>13</v>
      </c>
      <c r="H1510" s="168"/>
      <c r="I1510" s="169">
        <v>140</v>
      </c>
      <c r="J1510" s="169"/>
      <c r="K1510" s="169">
        <v>93.357000000000014</v>
      </c>
      <c r="L1510" s="452">
        <f t="shared" si="108"/>
        <v>0</v>
      </c>
      <c r="M1510" s="143">
        <f t="shared" si="107"/>
        <v>0</v>
      </c>
    </row>
    <row r="1511" spans="2:13" s="171" customFormat="1" outlineLevel="3">
      <c r="B1511" s="166" t="s">
        <v>2509</v>
      </c>
      <c r="C1511" s="117" t="s">
        <v>2600</v>
      </c>
      <c r="D1511" s="451" t="s">
        <v>2601</v>
      </c>
      <c r="E1511" s="117" t="s">
        <v>1633</v>
      </c>
      <c r="F1511" s="142"/>
      <c r="G1511" s="167">
        <v>13</v>
      </c>
      <c r="H1511" s="168"/>
      <c r="I1511" s="169">
        <v>17</v>
      </c>
      <c r="J1511" s="169"/>
      <c r="K1511" s="169">
        <v>7.8</v>
      </c>
      <c r="L1511" s="452">
        <f t="shared" si="108"/>
        <v>0</v>
      </c>
      <c r="M1511" s="143">
        <f t="shared" si="107"/>
        <v>0</v>
      </c>
    </row>
    <row r="1512" spans="2:13" s="171" customFormat="1" outlineLevel="3">
      <c r="B1512" s="166" t="s">
        <v>2509</v>
      </c>
      <c r="C1512" s="117" t="s">
        <v>2602</v>
      </c>
      <c r="D1512" s="451" t="s">
        <v>2603</v>
      </c>
      <c r="E1512" s="117" t="s">
        <v>1633</v>
      </c>
      <c r="F1512" s="142"/>
      <c r="G1512" s="167">
        <v>250</v>
      </c>
      <c r="H1512" s="168"/>
      <c r="I1512" s="169">
        <v>38</v>
      </c>
      <c r="J1512" s="169"/>
      <c r="K1512" s="169">
        <v>30</v>
      </c>
      <c r="L1512" s="452">
        <f t="shared" si="108"/>
        <v>0</v>
      </c>
      <c r="M1512" s="143">
        <f t="shared" si="107"/>
        <v>0</v>
      </c>
    </row>
    <row r="1513" spans="2:13" s="171" customFormat="1" outlineLevel="3">
      <c r="B1513" s="166" t="s">
        <v>2509</v>
      </c>
      <c r="C1513" s="117" t="s">
        <v>2604</v>
      </c>
      <c r="D1513" s="451" t="s">
        <v>2605</v>
      </c>
      <c r="E1513" s="117" t="s">
        <v>1633</v>
      </c>
      <c r="F1513" s="142"/>
      <c r="G1513" s="167">
        <v>50</v>
      </c>
      <c r="H1513" s="168"/>
      <c r="I1513" s="169">
        <v>38</v>
      </c>
      <c r="J1513" s="169"/>
      <c r="K1513" s="169">
        <v>30</v>
      </c>
      <c r="L1513" s="452">
        <f t="shared" si="108"/>
        <v>0</v>
      </c>
      <c r="M1513" s="143">
        <f t="shared" si="107"/>
        <v>0</v>
      </c>
    </row>
    <row r="1514" spans="2:13" s="171" customFormat="1" outlineLevel="3">
      <c r="B1514" s="166" t="s">
        <v>2509</v>
      </c>
      <c r="C1514" s="117" t="s">
        <v>2606</v>
      </c>
      <c r="D1514" s="451" t="s">
        <v>2607</v>
      </c>
      <c r="E1514" s="117" t="s">
        <v>1633</v>
      </c>
      <c r="F1514" s="142"/>
      <c r="G1514" s="167">
        <v>150</v>
      </c>
      <c r="H1514" s="168"/>
      <c r="I1514" s="169">
        <v>38</v>
      </c>
      <c r="J1514" s="169"/>
      <c r="K1514" s="169">
        <v>30</v>
      </c>
      <c r="L1514" s="452">
        <f t="shared" si="108"/>
        <v>0</v>
      </c>
      <c r="M1514" s="143">
        <f t="shared" si="107"/>
        <v>0</v>
      </c>
    </row>
    <row r="1515" spans="2:13" outlineLevel="3">
      <c r="B1515" s="116"/>
      <c r="C1515" s="129"/>
      <c r="D1515" s="453" t="s">
        <v>2608</v>
      </c>
      <c r="E1515" s="129"/>
      <c r="F1515" s="130"/>
      <c r="G1515" s="131">
        <f>+SUM(G1516:G1526)</f>
        <v>15383.24</v>
      </c>
      <c r="H1515" s="183">
        <f>+G1515-G1465</f>
        <v>1624.2399999999998</v>
      </c>
      <c r="I1515" s="120"/>
      <c r="J1515" s="120"/>
      <c r="K1515" s="120"/>
      <c r="L1515" s="450"/>
      <c r="M1515" s="134"/>
    </row>
    <row r="1516" spans="2:13" outlineLevel="3">
      <c r="B1516" s="116" t="s">
        <v>2509</v>
      </c>
      <c r="C1516" s="129"/>
      <c r="D1516" s="154" t="s">
        <v>2609</v>
      </c>
      <c r="E1516" s="129" t="s">
        <v>550</v>
      </c>
      <c r="F1516" s="130"/>
      <c r="G1516" s="131">
        <v>285</v>
      </c>
      <c r="H1516" s="118"/>
      <c r="I1516" s="120">
        <v>79.951619999999991</v>
      </c>
      <c r="J1516" s="120"/>
      <c r="K1516" s="120">
        <v>66</v>
      </c>
      <c r="L1516" s="450">
        <f t="shared" ref="L1516:L1526" si="109">SUM(H1516:K1516)</f>
        <v>145.95161999999999</v>
      </c>
      <c r="M1516" s="134">
        <f t="shared" ref="M1516:M1526" si="110">+L1516*G1516</f>
        <v>41596.2117</v>
      </c>
    </row>
    <row r="1517" spans="2:13" outlineLevel="3">
      <c r="B1517" s="116" t="s">
        <v>2509</v>
      </c>
      <c r="C1517" s="129"/>
      <c r="D1517" s="154" t="s">
        <v>2610</v>
      </c>
      <c r="E1517" s="129" t="s">
        <v>550</v>
      </c>
      <c r="F1517" s="130"/>
      <c r="G1517" s="131">
        <v>250</v>
      </c>
      <c r="H1517" s="118"/>
      <c r="I1517" s="120">
        <v>67.024780000000007</v>
      </c>
      <c r="J1517" s="120"/>
      <c r="K1517" s="120">
        <v>30</v>
      </c>
      <c r="L1517" s="450">
        <f t="shared" si="109"/>
        <v>97.024780000000007</v>
      </c>
      <c r="M1517" s="134">
        <f t="shared" si="110"/>
        <v>24256.195000000003</v>
      </c>
    </row>
    <row r="1518" spans="2:13" outlineLevel="3">
      <c r="B1518" s="116" t="s">
        <v>2509</v>
      </c>
      <c r="C1518" s="129"/>
      <c r="D1518" s="154" t="s">
        <v>2611</v>
      </c>
      <c r="E1518" s="129" t="s">
        <v>550</v>
      </c>
      <c r="F1518" s="130"/>
      <c r="G1518" s="131">
        <v>135</v>
      </c>
      <c r="H1518" s="118"/>
      <c r="I1518" s="120">
        <v>54.418280000000003</v>
      </c>
      <c r="J1518" s="120"/>
      <c r="K1518" s="120">
        <v>30</v>
      </c>
      <c r="L1518" s="450">
        <f t="shared" si="109"/>
        <v>84.41828000000001</v>
      </c>
      <c r="M1518" s="134">
        <f t="shared" si="110"/>
        <v>11396.467800000002</v>
      </c>
    </row>
    <row r="1519" spans="2:13" outlineLevel="3">
      <c r="B1519" s="116" t="s">
        <v>2509</v>
      </c>
      <c r="C1519" s="129"/>
      <c r="D1519" s="154" t="s">
        <v>2612</v>
      </c>
      <c r="E1519" s="129" t="s">
        <v>550</v>
      </c>
      <c r="F1519" s="130"/>
      <c r="G1519" s="131">
        <v>235</v>
      </c>
      <c r="H1519" s="118"/>
      <c r="I1519" s="120">
        <v>27.671599999999998</v>
      </c>
      <c r="J1519" s="120"/>
      <c r="K1519" s="120">
        <v>30</v>
      </c>
      <c r="L1519" s="450">
        <f t="shared" si="109"/>
        <v>57.671599999999998</v>
      </c>
      <c r="M1519" s="134">
        <f t="shared" si="110"/>
        <v>13552.825999999999</v>
      </c>
    </row>
    <row r="1520" spans="2:13" outlineLevel="3">
      <c r="B1520" s="116" t="s">
        <v>2509</v>
      </c>
      <c r="C1520" s="129"/>
      <c r="D1520" s="154" t="s">
        <v>2613</v>
      </c>
      <c r="E1520" s="129" t="s">
        <v>550</v>
      </c>
      <c r="F1520" s="130"/>
      <c r="G1520" s="131">
        <v>240</v>
      </c>
      <c r="H1520" s="118"/>
      <c r="I1520" s="120">
        <v>20.757119999999997</v>
      </c>
      <c r="J1520" s="120"/>
      <c r="K1520" s="120">
        <v>30</v>
      </c>
      <c r="L1520" s="450">
        <f t="shared" si="109"/>
        <v>50.75712</v>
      </c>
      <c r="M1520" s="134">
        <f t="shared" si="110"/>
        <v>12181.7088</v>
      </c>
    </row>
    <row r="1521" spans="2:13" outlineLevel="3">
      <c r="B1521" s="116" t="s">
        <v>2509</v>
      </c>
      <c r="C1521" s="129"/>
      <c r="D1521" s="154" t="s">
        <v>2614</v>
      </c>
      <c r="E1521" s="129" t="s">
        <v>550</v>
      </c>
      <c r="F1521" s="130"/>
      <c r="G1521" s="131">
        <v>1150</v>
      </c>
      <c r="H1521" s="118"/>
      <c r="I1521" s="120">
        <v>14.630379999999999</v>
      </c>
      <c r="J1521" s="120"/>
      <c r="K1521" s="120">
        <v>30</v>
      </c>
      <c r="L1521" s="450">
        <f t="shared" si="109"/>
        <v>44.630380000000002</v>
      </c>
      <c r="M1521" s="134">
        <f t="shared" si="110"/>
        <v>51324.937000000005</v>
      </c>
    </row>
    <row r="1522" spans="2:13" outlineLevel="3">
      <c r="B1522" s="116" t="s">
        <v>2509</v>
      </c>
      <c r="C1522" s="129"/>
      <c r="D1522" s="154" t="s">
        <v>2615</v>
      </c>
      <c r="E1522" s="129" t="s">
        <v>550</v>
      </c>
      <c r="F1522" s="130"/>
      <c r="G1522" s="131">
        <v>1250</v>
      </c>
      <c r="H1522" s="118"/>
      <c r="I1522" s="120">
        <v>9.1739599999999992</v>
      </c>
      <c r="J1522" s="120"/>
      <c r="K1522" s="120">
        <v>7.8</v>
      </c>
      <c r="L1522" s="450">
        <f t="shared" si="109"/>
        <v>16.973959999999998</v>
      </c>
      <c r="M1522" s="134">
        <f t="shared" si="110"/>
        <v>21217.449999999997</v>
      </c>
    </row>
    <row r="1523" spans="2:13" outlineLevel="3">
      <c r="B1523" s="116" t="s">
        <v>2509</v>
      </c>
      <c r="C1523" s="129"/>
      <c r="D1523" s="154" t="s">
        <v>2616</v>
      </c>
      <c r="E1523" s="129" t="s">
        <v>550</v>
      </c>
      <c r="F1523" s="130"/>
      <c r="G1523" s="131">
        <v>8995</v>
      </c>
      <c r="H1523" s="118"/>
      <c r="I1523" s="120">
        <v>6.0450399999999993</v>
      </c>
      <c r="J1523" s="120"/>
      <c r="K1523" s="120">
        <v>7.8</v>
      </c>
      <c r="L1523" s="450">
        <f t="shared" si="109"/>
        <v>13.845039999999999</v>
      </c>
      <c r="M1523" s="134">
        <f t="shared" si="110"/>
        <v>124536.13479999999</v>
      </c>
    </row>
    <row r="1524" spans="2:13" outlineLevel="3">
      <c r="B1524" s="116" t="s">
        <v>2509</v>
      </c>
      <c r="C1524" s="129"/>
      <c r="D1524" s="154" t="s">
        <v>2617</v>
      </c>
      <c r="E1524" s="129" t="s">
        <v>550</v>
      </c>
      <c r="F1524" s="130"/>
      <c r="G1524" s="131">
        <v>900</v>
      </c>
      <c r="H1524" s="118"/>
      <c r="I1524" s="120">
        <v>3.5594599999999996</v>
      </c>
      <c r="J1524" s="120"/>
      <c r="K1524" s="120">
        <v>7.8</v>
      </c>
      <c r="L1524" s="450">
        <f t="shared" si="109"/>
        <v>11.359459999999999</v>
      </c>
      <c r="M1524" s="134">
        <f t="shared" si="110"/>
        <v>10223.513999999999</v>
      </c>
    </row>
    <row r="1525" spans="2:13" outlineLevel="3">
      <c r="B1525" s="116" t="s">
        <v>2509</v>
      </c>
      <c r="C1525" s="129"/>
      <c r="D1525" s="154" t="s">
        <v>2618</v>
      </c>
      <c r="E1525" s="129" t="s">
        <v>550</v>
      </c>
      <c r="F1525" s="130"/>
      <c r="G1525" s="131">
        <v>801.24</v>
      </c>
      <c r="H1525" s="118"/>
      <c r="I1525" s="120">
        <v>2.4073000000000002</v>
      </c>
      <c r="J1525" s="120"/>
      <c r="K1525" s="120">
        <v>7.8</v>
      </c>
      <c r="L1525" s="450">
        <f t="shared" si="109"/>
        <v>10.2073</v>
      </c>
      <c r="M1525" s="134">
        <f t="shared" si="110"/>
        <v>8178.4970519999997</v>
      </c>
    </row>
    <row r="1526" spans="2:13" outlineLevel="3">
      <c r="B1526" s="116" t="s">
        <v>2509</v>
      </c>
      <c r="C1526" s="129"/>
      <c r="D1526" s="154" t="s">
        <v>2619</v>
      </c>
      <c r="E1526" s="129" t="s">
        <v>550</v>
      </c>
      <c r="F1526" s="130"/>
      <c r="G1526" s="131">
        <v>1142</v>
      </c>
      <c r="H1526" s="118"/>
      <c r="I1526" s="120">
        <v>1.59182</v>
      </c>
      <c r="J1526" s="120"/>
      <c r="K1526" s="120">
        <v>7.8</v>
      </c>
      <c r="L1526" s="450">
        <f t="shared" si="109"/>
        <v>9.3918199999999992</v>
      </c>
      <c r="M1526" s="134">
        <f t="shared" si="110"/>
        <v>10725.458439999999</v>
      </c>
    </row>
    <row r="1527" spans="2:13" outlineLevel="3">
      <c r="B1527" s="116"/>
      <c r="C1527" s="129"/>
      <c r="D1527" s="154"/>
      <c r="E1527" s="129"/>
      <c r="F1527" s="130"/>
      <c r="G1527" s="131"/>
      <c r="H1527" s="118"/>
      <c r="I1527" s="120"/>
      <c r="J1527" s="120"/>
      <c r="K1527" s="120"/>
      <c r="L1527" s="450"/>
      <c r="M1527" s="134"/>
    </row>
    <row r="1528" spans="2:13" outlineLevel="2">
      <c r="B1528" s="116"/>
      <c r="C1528" s="126" t="s">
        <v>2620</v>
      </c>
      <c r="D1528" s="260" t="s">
        <v>2621</v>
      </c>
      <c r="E1528" s="118" t="s">
        <v>99</v>
      </c>
      <c r="F1528" s="161"/>
      <c r="G1528" s="116"/>
      <c r="H1528" s="118"/>
      <c r="I1528" s="120"/>
      <c r="J1528" s="120"/>
      <c r="K1528" s="120"/>
      <c r="L1528" s="121"/>
      <c r="M1528" s="264">
        <f>SUM(M1529:M1567)</f>
        <v>223724.87555624836</v>
      </c>
    </row>
    <row r="1529" spans="2:13" outlineLevel="3">
      <c r="B1529" s="116" t="s">
        <v>2361</v>
      </c>
      <c r="C1529" s="129" t="s">
        <v>2622</v>
      </c>
      <c r="D1529" s="154" t="s">
        <v>2623</v>
      </c>
      <c r="E1529" s="129" t="s">
        <v>1633</v>
      </c>
      <c r="F1529" s="130"/>
      <c r="G1529" s="131">
        <v>471</v>
      </c>
      <c r="H1529" s="118"/>
      <c r="I1529" s="120">
        <v>3.1979604799999999</v>
      </c>
      <c r="J1529" s="120"/>
      <c r="K1529" s="120">
        <v>4.58</v>
      </c>
      <c r="L1529" s="450">
        <f t="shared" ref="L1529:L1567" si="111">SUM(H1529:K1529)</f>
        <v>7.77796048</v>
      </c>
      <c r="M1529" s="134">
        <f t="shared" ref="M1529:M1567" si="112">+L1529*G1529</f>
        <v>3663.4193860800001</v>
      </c>
    </row>
    <row r="1530" spans="2:13" outlineLevel="3">
      <c r="B1530" s="116" t="s">
        <v>2361</v>
      </c>
      <c r="C1530" s="129" t="s">
        <v>2624</v>
      </c>
      <c r="D1530" s="154" t="s">
        <v>2625</v>
      </c>
      <c r="E1530" s="129" t="s">
        <v>1633</v>
      </c>
      <c r="F1530" s="130"/>
      <c r="G1530" s="131">
        <v>132</v>
      </c>
      <c r="H1530" s="118"/>
      <c r="I1530" s="120">
        <v>3.1979604799999999</v>
      </c>
      <c r="J1530" s="120"/>
      <c r="K1530" s="120">
        <v>4.58</v>
      </c>
      <c r="L1530" s="450">
        <f t="shared" si="111"/>
        <v>7.77796048</v>
      </c>
      <c r="M1530" s="134">
        <f t="shared" si="112"/>
        <v>1026.6907833600001</v>
      </c>
    </row>
    <row r="1531" spans="2:13" outlineLevel="3">
      <c r="B1531" s="116" t="s">
        <v>2361</v>
      </c>
      <c r="C1531" s="129" t="s">
        <v>2626</v>
      </c>
      <c r="D1531" s="154" t="s">
        <v>2627</v>
      </c>
      <c r="E1531" s="129" t="s">
        <v>1633</v>
      </c>
      <c r="F1531" s="130"/>
      <c r="G1531" s="131">
        <v>1913</v>
      </c>
      <c r="H1531" s="118"/>
      <c r="I1531" s="120">
        <v>4.985566079999999</v>
      </c>
      <c r="J1531" s="120"/>
      <c r="K1531" s="120">
        <v>4.96</v>
      </c>
      <c r="L1531" s="450">
        <f t="shared" si="111"/>
        <v>9.945566079999999</v>
      </c>
      <c r="M1531" s="134">
        <f t="shared" si="112"/>
        <v>19025.867911039997</v>
      </c>
    </row>
    <row r="1532" spans="2:13" outlineLevel="3">
      <c r="B1532" s="116" t="s">
        <v>2361</v>
      </c>
      <c r="C1532" s="129" t="s">
        <v>2628</v>
      </c>
      <c r="D1532" s="154" t="s">
        <v>2629</v>
      </c>
      <c r="E1532" s="129" t="s">
        <v>1633</v>
      </c>
      <c r="F1532" s="130"/>
      <c r="G1532" s="131">
        <v>7</v>
      </c>
      <c r="H1532" s="118"/>
      <c r="I1532" s="120">
        <v>6.5184002400000001</v>
      </c>
      <c r="J1532" s="120"/>
      <c r="K1532" s="120">
        <v>5.95</v>
      </c>
      <c r="L1532" s="450">
        <f t="shared" si="111"/>
        <v>12.468400240000001</v>
      </c>
      <c r="M1532" s="134">
        <f t="shared" si="112"/>
        <v>87.278801680000015</v>
      </c>
    </row>
    <row r="1533" spans="2:13" outlineLevel="3">
      <c r="B1533" s="116" t="s">
        <v>2361</v>
      </c>
      <c r="C1533" s="129" t="s">
        <v>2630</v>
      </c>
      <c r="D1533" s="154" t="s">
        <v>2631</v>
      </c>
      <c r="E1533" s="129" t="s">
        <v>1633</v>
      </c>
      <c r="F1533" s="130"/>
      <c r="G1533" s="131">
        <v>50</v>
      </c>
      <c r="H1533" s="118"/>
      <c r="I1533" s="120">
        <v>15.636642559999999</v>
      </c>
      <c r="J1533" s="120"/>
      <c r="K1533" s="120">
        <v>7</v>
      </c>
      <c r="L1533" s="450">
        <f t="shared" si="111"/>
        <v>22.636642559999999</v>
      </c>
      <c r="M1533" s="134">
        <f t="shared" si="112"/>
        <v>1131.832128</v>
      </c>
    </row>
    <row r="1534" spans="2:13" outlineLevel="3">
      <c r="B1534" s="116" t="s">
        <v>2361</v>
      </c>
      <c r="C1534" s="129" t="s">
        <v>2632</v>
      </c>
      <c r="D1534" s="154" t="s">
        <v>2633</v>
      </c>
      <c r="E1534" s="129" t="s">
        <v>1633</v>
      </c>
      <c r="F1534" s="130"/>
      <c r="G1534" s="131">
        <v>200</v>
      </c>
      <c r="H1534" s="118"/>
      <c r="I1534" s="120">
        <v>29.580900800000002</v>
      </c>
      <c r="J1534" s="120"/>
      <c r="K1534" s="120">
        <v>17.940000000000001</v>
      </c>
      <c r="L1534" s="450">
        <f t="shared" si="111"/>
        <v>47.520900800000007</v>
      </c>
      <c r="M1534" s="134">
        <f t="shared" si="112"/>
        <v>9504.1801600000017</v>
      </c>
    </row>
    <row r="1535" spans="2:13" outlineLevel="3">
      <c r="B1535" s="116" t="s">
        <v>2361</v>
      </c>
      <c r="C1535" s="129" t="s">
        <v>2634</v>
      </c>
      <c r="D1535" s="154" t="s">
        <v>2635</v>
      </c>
      <c r="E1535" s="129" t="s">
        <v>890</v>
      </c>
      <c r="F1535" s="130"/>
      <c r="G1535" s="131">
        <v>322</v>
      </c>
      <c r="H1535" s="118"/>
      <c r="I1535" s="120">
        <v>12.9334933680625</v>
      </c>
      <c r="J1535" s="120"/>
      <c r="K1535" s="120">
        <v>6.05</v>
      </c>
      <c r="L1535" s="450">
        <f t="shared" si="111"/>
        <v>18.983493368062501</v>
      </c>
      <c r="M1535" s="134">
        <f t="shared" si="112"/>
        <v>6112.6848645161253</v>
      </c>
    </row>
    <row r="1536" spans="2:13" outlineLevel="3">
      <c r="B1536" s="116" t="s">
        <v>2361</v>
      </c>
      <c r="C1536" s="129" t="s">
        <v>2636</v>
      </c>
      <c r="D1536" s="154" t="s">
        <v>2637</v>
      </c>
      <c r="E1536" s="129" t="s">
        <v>890</v>
      </c>
      <c r="F1536" s="130"/>
      <c r="G1536" s="131">
        <v>192</v>
      </c>
      <c r="H1536" s="118"/>
      <c r="I1536" s="120">
        <v>12.9334933680625</v>
      </c>
      <c r="J1536" s="120"/>
      <c r="K1536" s="120">
        <v>9.9</v>
      </c>
      <c r="L1536" s="450">
        <f t="shared" si="111"/>
        <v>22.833493368062499</v>
      </c>
      <c r="M1536" s="134">
        <f t="shared" si="112"/>
        <v>4384.0307266679993</v>
      </c>
    </row>
    <row r="1537" spans="2:13" outlineLevel="3">
      <c r="B1537" s="116" t="s">
        <v>2361</v>
      </c>
      <c r="C1537" s="129" t="s">
        <v>2638</v>
      </c>
      <c r="D1537" s="154" t="s">
        <v>2639</v>
      </c>
      <c r="E1537" s="129" t="s">
        <v>890</v>
      </c>
      <c r="F1537" s="130"/>
      <c r="G1537" s="131">
        <v>183</v>
      </c>
      <c r="H1537" s="118"/>
      <c r="I1537" s="120">
        <v>17.286924490750007</v>
      </c>
      <c r="J1537" s="120"/>
      <c r="K1537" s="120">
        <v>13.2</v>
      </c>
      <c r="L1537" s="450">
        <f t="shared" si="111"/>
        <v>30.486924490750006</v>
      </c>
      <c r="M1537" s="134">
        <f t="shared" si="112"/>
        <v>5579.1071818072514</v>
      </c>
    </row>
    <row r="1538" spans="2:13" outlineLevel="3">
      <c r="B1538" s="116" t="s">
        <v>2361</v>
      </c>
      <c r="C1538" s="129" t="s">
        <v>2640</v>
      </c>
      <c r="D1538" s="154" t="s">
        <v>2641</v>
      </c>
      <c r="E1538" s="129" t="s">
        <v>890</v>
      </c>
      <c r="F1538" s="130"/>
      <c r="G1538" s="131">
        <v>50</v>
      </c>
      <c r="H1538" s="118"/>
      <c r="I1538" s="120">
        <v>18.362861225499998</v>
      </c>
      <c r="J1538" s="120"/>
      <c r="K1538" s="120">
        <v>19.8</v>
      </c>
      <c r="L1538" s="450">
        <f t="shared" si="111"/>
        <v>38.162861225499995</v>
      </c>
      <c r="M1538" s="134">
        <f t="shared" si="112"/>
        <v>1908.1430612749998</v>
      </c>
    </row>
    <row r="1539" spans="2:13" outlineLevel="3">
      <c r="B1539" s="116" t="s">
        <v>2361</v>
      </c>
      <c r="C1539" s="129" t="s">
        <v>2642</v>
      </c>
      <c r="D1539" s="154" t="s">
        <v>2643</v>
      </c>
      <c r="E1539" s="129" t="s">
        <v>890</v>
      </c>
      <c r="F1539" s="130"/>
      <c r="G1539" s="131">
        <v>65</v>
      </c>
      <c r="H1539" s="118"/>
      <c r="I1539" s="120">
        <v>30.0241672466125</v>
      </c>
      <c r="J1539" s="120"/>
      <c r="K1539" s="120">
        <v>21.34</v>
      </c>
      <c r="L1539" s="450">
        <f t="shared" si="111"/>
        <v>51.364167246612496</v>
      </c>
      <c r="M1539" s="134">
        <f t="shared" si="112"/>
        <v>3338.6708710298121</v>
      </c>
    </row>
    <row r="1540" spans="2:13" outlineLevel="3">
      <c r="B1540" s="116" t="s">
        <v>2361</v>
      </c>
      <c r="C1540" s="129" t="s">
        <v>2644</v>
      </c>
      <c r="D1540" s="154" t="s">
        <v>2645</v>
      </c>
      <c r="E1540" s="129" t="s">
        <v>890</v>
      </c>
      <c r="F1540" s="130"/>
      <c r="G1540" s="131">
        <v>65</v>
      </c>
      <c r="H1540" s="118"/>
      <c r="I1540" s="120">
        <v>36.952821226600001</v>
      </c>
      <c r="J1540" s="120"/>
      <c r="K1540" s="120">
        <v>26.264615384615368</v>
      </c>
      <c r="L1540" s="450">
        <f t="shared" si="111"/>
        <v>63.217436611215369</v>
      </c>
      <c r="M1540" s="134">
        <f t="shared" si="112"/>
        <v>4109.133379728999</v>
      </c>
    </row>
    <row r="1541" spans="2:13" outlineLevel="3">
      <c r="B1541" s="116" t="s">
        <v>2361</v>
      </c>
      <c r="C1541" s="129" t="s">
        <v>2646</v>
      </c>
      <c r="D1541" s="154" t="s">
        <v>2647</v>
      </c>
      <c r="E1541" s="129" t="s">
        <v>890</v>
      </c>
      <c r="F1541" s="130"/>
      <c r="G1541" s="131">
        <v>165</v>
      </c>
      <c r="H1541" s="118"/>
      <c r="I1541" s="120">
        <v>46.191026533249996</v>
      </c>
      <c r="J1541" s="120"/>
      <c r="K1541" s="120">
        <v>32.830769230769263</v>
      </c>
      <c r="L1541" s="450">
        <f t="shared" si="111"/>
        <v>79.021795764019259</v>
      </c>
      <c r="M1541" s="134">
        <f t="shared" si="112"/>
        <v>13038.596301063179</v>
      </c>
    </row>
    <row r="1542" spans="2:13" s="174" customFormat="1" outlineLevel="3">
      <c r="B1542" s="269" t="s">
        <v>2361</v>
      </c>
      <c r="C1542" s="244"/>
      <c r="D1542" s="454" t="s">
        <v>2648</v>
      </c>
      <c r="E1542" s="244" t="s">
        <v>890</v>
      </c>
      <c r="F1542" s="271"/>
      <c r="G1542" s="254">
        <v>500</v>
      </c>
      <c r="H1542" s="255"/>
      <c r="I1542" s="256">
        <v>3.8379999999999996</v>
      </c>
      <c r="J1542" s="256"/>
      <c r="K1542" s="256"/>
      <c r="L1542" s="455">
        <f t="shared" si="111"/>
        <v>3.8379999999999996</v>
      </c>
      <c r="M1542" s="258">
        <f t="shared" si="112"/>
        <v>1918.9999999999998</v>
      </c>
    </row>
    <row r="1543" spans="2:13" s="174" customFormat="1" outlineLevel="3">
      <c r="B1543" s="269" t="s">
        <v>2361</v>
      </c>
      <c r="C1543" s="244"/>
      <c r="D1543" s="454" t="s">
        <v>2649</v>
      </c>
      <c r="E1543" s="244" t="s">
        <v>890</v>
      </c>
      <c r="F1543" s="271"/>
      <c r="G1543" s="254">
        <v>150</v>
      </c>
      <c r="H1543" s="255"/>
      <c r="I1543" s="256">
        <v>6.5739999999999998</v>
      </c>
      <c r="J1543" s="256"/>
      <c r="K1543" s="256"/>
      <c r="L1543" s="455">
        <f t="shared" si="111"/>
        <v>6.5739999999999998</v>
      </c>
      <c r="M1543" s="258">
        <f t="shared" si="112"/>
        <v>986.1</v>
      </c>
    </row>
    <row r="1544" spans="2:13" s="174" customFormat="1" outlineLevel="3">
      <c r="B1544" s="269" t="s">
        <v>2361</v>
      </c>
      <c r="C1544" s="244"/>
      <c r="D1544" s="454" t="s">
        <v>2650</v>
      </c>
      <c r="E1544" s="244" t="s">
        <v>890</v>
      </c>
      <c r="F1544" s="271"/>
      <c r="G1544" s="254">
        <v>100</v>
      </c>
      <c r="H1544" s="255"/>
      <c r="I1544" s="256">
        <v>13.071999999999999</v>
      </c>
      <c r="J1544" s="256"/>
      <c r="K1544" s="256"/>
      <c r="L1544" s="455">
        <f t="shared" si="111"/>
        <v>13.071999999999999</v>
      </c>
      <c r="M1544" s="258">
        <f t="shared" si="112"/>
        <v>1307.1999999999998</v>
      </c>
    </row>
    <row r="1545" spans="2:13" s="174" customFormat="1" outlineLevel="3">
      <c r="B1545" s="269" t="s">
        <v>2361</v>
      </c>
      <c r="C1545" s="244"/>
      <c r="D1545" s="454" t="s">
        <v>2651</v>
      </c>
      <c r="E1545" s="244" t="s">
        <v>890</v>
      </c>
      <c r="F1545" s="271"/>
      <c r="G1545" s="254">
        <v>50</v>
      </c>
      <c r="H1545" s="255"/>
      <c r="I1545" s="256">
        <v>14.706</v>
      </c>
      <c r="J1545" s="256"/>
      <c r="K1545" s="256"/>
      <c r="L1545" s="455">
        <f t="shared" si="111"/>
        <v>14.706</v>
      </c>
      <c r="M1545" s="258">
        <f t="shared" si="112"/>
        <v>735.3</v>
      </c>
    </row>
    <row r="1546" spans="2:13" s="174" customFormat="1" outlineLevel="3">
      <c r="B1546" s="269" t="s">
        <v>2361</v>
      </c>
      <c r="C1546" s="244"/>
      <c r="D1546" s="454" t="s">
        <v>2652</v>
      </c>
      <c r="E1546" s="244" t="s">
        <v>890</v>
      </c>
      <c r="F1546" s="271"/>
      <c r="G1546" s="254">
        <v>120</v>
      </c>
      <c r="H1546" s="255"/>
      <c r="I1546" s="256">
        <v>18.695999999999998</v>
      </c>
      <c r="J1546" s="256"/>
      <c r="K1546" s="256"/>
      <c r="L1546" s="455">
        <f t="shared" si="111"/>
        <v>18.695999999999998</v>
      </c>
      <c r="M1546" s="258">
        <f t="shared" si="112"/>
        <v>2243.5199999999995</v>
      </c>
    </row>
    <row r="1547" spans="2:13" s="174" customFormat="1" outlineLevel="3">
      <c r="B1547" s="269" t="s">
        <v>2361</v>
      </c>
      <c r="C1547" s="244"/>
      <c r="D1547" s="454" t="s">
        <v>2653</v>
      </c>
      <c r="E1547" s="244" t="s">
        <v>890</v>
      </c>
      <c r="F1547" s="271"/>
      <c r="G1547" s="254">
        <v>120</v>
      </c>
      <c r="H1547" s="255"/>
      <c r="I1547" s="256">
        <v>72.807999999999993</v>
      </c>
      <c r="J1547" s="256"/>
      <c r="K1547" s="256"/>
      <c r="L1547" s="455">
        <f t="shared" si="111"/>
        <v>72.807999999999993</v>
      </c>
      <c r="M1547" s="258">
        <f t="shared" si="112"/>
        <v>8736.9599999999991</v>
      </c>
    </row>
    <row r="1548" spans="2:13" s="174" customFormat="1" outlineLevel="3">
      <c r="B1548" s="269" t="s">
        <v>2361</v>
      </c>
      <c r="C1548" s="244"/>
      <c r="D1548" s="454" t="s">
        <v>2654</v>
      </c>
      <c r="E1548" s="244" t="s">
        <v>890</v>
      </c>
      <c r="F1548" s="271"/>
      <c r="G1548" s="254">
        <v>100</v>
      </c>
      <c r="H1548" s="255"/>
      <c r="I1548" s="256">
        <v>75.125999999999991</v>
      </c>
      <c r="J1548" s="256"/>
      <c r="K1548" s="256"/>
      <c r="L1548" s="455">
        <f t="shared" si="111"/>
        <v>75.125999999999991</v>
      </c>
      <c r="M1548" s="258">
        <f t="shared" si="112"/>
        <v>7512.5999999999995</v>
      </c>
    </row>
    <row r="1549" spans="2:13" s="174" customFormat="1" outlineLevel="3">
      <c r="B1549" s="269" t="s">
        <v>2361</v>
      </c>
      <c r="C1549" s="244"/>
      <c r="D1549" s="454" t="s">
        <v>2655</v>
      </c>
      <c r="E1549" s="244" t="s">
        <v>890</v>
      </c>
      <c r="F1549" s="271"/>
      <c r="G1549" s="254">
        <v>500</v>
      </c>
      <c r="H1549" s="255"/>
      <c r="I1549" s="256">
        <v>4.2559999999999993</v>
      </c>
      <c r="J1549" s="256"/>
      <c r="K1549" s="256"/>
      <c r="L1549" s="455">
        <f t="shared" si="111"/>
        <v>4.2559999999999993</v>
      </c>
      <c r="M1549" s="258">
        <f t="shared" si="112"/>
        <v>2127.9999999999995</v>
      </c>
    </row>
    <row r="1550" spans="2:13" s="174" customFormat="1" outlineLevel="3">
      <c r="B1550" s="269" t="s">
        <v>2361</v>
      </c>
      <c r="C1550" s="244"/>
      <c r="D1550" s="454" t="s">
        <v>2656</v>
      </c>
      <c r="E1550" s="244" t="s">
        <v>890</v>
      </c>
      <c r="F1550" s="271"/>
      <c r="G1550" s="254">
        <v>150</v>
      </c>
      <c r="H1550" s="255"/>
      <c r="I1550" s="256">
        <v>6.1559999999999997</v>
      </c>
      <c r="J1550" s="256"/>
      <c r="K1550" s="256"/>
      <c r="L1550" s="455">
        <f t="shared" si="111"/>
        <v>6.1559999999999997</v>
      </c>
      <c r="M1550" s="258">
        <f t="shared" si="112"/>
        <v>923.4</v>
      </c>
    </row>
    <row r="1551" spans="2:13" s="174" customFormat="1" outlineLevel="3">
      <c r="B1551" s="269" t="s">
        <v>2361</v>
      </c>
      <c r="C1551" s="244"/>
      <c r="D1551" s="454" t="s">
        <v>2657</v>
      </c>
      <c r="E1551" s="244" t="s">
        <v>890</v>
      </c>
      <c r="F1551" s="271"/>
      <c r="G1551" s="254">
        <v>100</v>
      </c>
      <c r="H1551" s="255"/>
      <c r="I1551" s="256">
        <v>13.071999999999999</v>
      </c>
      <c r="J1551" s="256"/>
      <c r="K1551" s="256"/>
      <c r="L1551" s="455">
        <f t="shared" si="111"/>
        <v>13.071999999999999</v>
      </c>
      <c r="M1551" s="258">
        <f t="shared" si="112"/>
        <v>1307.1999999999998</v>
      </c>
    </row>
    <row r="1552" spans="2:13" s="174" customFormat="1" outlineLevel="3">
      <c r="B1552" s="269" t="s">
        <v>2361</v>
      </c>
      <c r="C1552" s="244"/>
      <c r="D1552" s="454" t="s">
        <v>2658</v>
      </c>
      <c r="E1552" s="244" t="s">
        <v>890</v>
      </c>
      <c r="F1552" s="271"/>
      <c r="G1552" s="254">
        <v>50</v>
      </c>
      <c r="H1552" s="255"/>
      <c r="I1552" s="256">
        <v>14.363999999999999</v>
      </c>
      <c r="J1552" s="256"/>
      <c r="K1552" s="256"/>
      <c r="L1552" s="455">
        <f t="shared" si="111"/>
        <v>14.363999999999999</v>
      </c>
      <c r="M1552" s="258">
        <f t="shared" si="112"/>
        <v>718.19999999999993</v>
      </c>
    </row>
    <row r="1553" spans="2:13" s="174" customFormat="1" outlineLevel="3">
      <c r="B1553" s="269" t="s">
        <v>2361</v>
      </c>
      <c r="C1553" s="244"/>
      <c r="D1553" s="454" t="s">
        <v>2659</v>
      </c>
      <c r="E1553" s="244" t="s">
        <v>890</v>
      </c>
      <c r="F1553" s="271"/>
      <c r="G1553" s="254">
        <v>120</v>
      </c>
      <c r="H1553" s="255"/>
      <c r="I1553" s="256">
        <v>18.62</v>
      </c>
      <c r="J1553" s="256"/>
      <c r="K1553" s="256"/>
      <c r="L1553" s="455">
        <f t="shared" si="111"/>
        <v>18.62</v>
      </c>
      <c r="M1553" s="258">
        <f t="shared" si="112"/>
        <v>2234.4</v>
      </c>
    </row>
    <row r="1554" spans="2:13" s="174" customFormat="1" outlineLevel="3">
      <c r="B1554" s="269" t="s">
        <v>2361</v>
      </c>
      <c r="C1554" s="244"/>
      <c r="D1554" s="454" t="s">
        <v>2660</v>
      </c>
      <c r="E1554" s="244" t="s">
        <v>890</v>
      </c>
      <c r="F1554" s="271"/>
      <c r="G1554" s="254">
        <v>120</v>
      </c>
      <c r="H1554" s="255"/>
      <c r="I1554" s="256">
        <v>72.807999999999993</v>
      </c>
      <c r="J1554" s="256"/>
      <c r="K1554" s="256"/>
      <c r="L1554" s="455">
        <f t="shared" si="111"/>
        <v>72.807999999999993</v>
      </c>
      <c r="M1554" s="258">
        <f t="shared" si="112"/>
        <v>8736.9599999999991</v>
      </c>
    </row>
    <row r="1555" spans="2:13" s="174" customFormat="1" outlineLevel="3">
      <c r="B1555" s="269" t="s">
        <v>2361</v>
      </c>
      <c r="C1555" s="244"/>
      <c r="D1555" s="454" t="s">
        <v>2661</v>
      </c>
      <c r="E1555" s="244" t="s">
        <v>890</v>
      </c>
      <c r="F1555" s="271"/>
      <c r="G1555" s="254">
        <v>100</v>
      </c>
      <c r="H1555" s="255"/>
      <c r="I1555" s="256">
        <v>82.877999999999986</v>
      </c>
      <c r="J1555" s="256"/>
      <c r="K1555" s="256"/>
      <c r="L1555" s="455">
        <f t="shared" si="111"/>
        <v>82.877999999999986</v>
      </c>
      <c r="M1555" s="258">
        <f t="shared" si="112"/>
        <v>8287.7999999999993</v>
      </c>
    </row>
    <row r="1556" spans="2:13" s="174" customFormat="1" outlineLevel="3">
      <c r="B1556" s="269" t="s">
        <v>2361</v>
      </c>
      <c r="C1556" s="244" t="s">
        <v>2662</v>
      </c>
      <c r="D1556" s="454" t="s">
        <v>2663</v>
      </c>
      <c r="E1556" s="244" t="s">
        <v>1633</v>
      </c>
      <c r="F1556" s="271"/>
      <c r="G1556" s="254">
        <v>152</v>
      </c>
      <c r="H1556" s="255"/>
      <c r="I1556" s="256">
        <v>135</v>
      </c>
      <c r="J1556" s="256"/>
      <c r="K1556" s="256">
        <v>41.8</v>
      </c>
      <c r="L1556" s="455">
        <f t="shared" si="111"/>
        <v>176.8</v>
      </c>
      <c r="M1556" s="258">
        <f t="shared" si="112"/>
        <v>26873.600000000002</v>
      </c>
    </row>
    <row r="1557" spans="2:13" outlineLevel="3">
      <c r="B1557" s="116" t="s">
        <v>2361</v>
      </c>
      <c r="C1557" s="129" t="s">
        <v>2664</v>
      </c>
      <c r="D1557" s="154" t="s">
        <v>2665</v>
      </c>
      <c r="E1557" s="129" t="s">
        <v>1633</v>
      </c>
      <c r="F1557" s="130"/>
      <c r="G1557" s="131">
        <v>32</v>
      </c>
      <c r="H1557" s="118"/>
      <c r="I1557" s="120">
        <v>153</v>
      </c>
      <c r="J1557" s="120"/>
      <c r="K1557" s="120">
        <v>55</v>
      </c>
      <c r="L1557" s="450">
        <f t="shared" si="111"/>
        <v>208</v>
      </c>
      <c r="M1557" s="134">
        <f t="shared" si="112"/>
        <v>6656</v>
      </c>
    </row>
    <row r="1558" spans="2:13" outlineLevel="3">
      <c r="B1558" s="116" t="s">
        <v>2361</v>
      </c>
      <c r="C1558" s="129" t="s">
        <v>2666</v>
      </c>
      <c r="D1558" s="154" t="s">
        <v>2667</v>
      </c>
      <c r="E1558" s="129" t="s">
        <v>1633</v>
      </c>
      <c r="F1558" s="130"/>
      <c r="G1558" s="131">
        <v>55</v>
      </c>
      <c r="H1558" s="118"/>
      <c r="I1558" s="120">
        <v>184.5</v>
      </c>
      <c r="J1558" s="120"/>
      <c r="K1558" s="120">
        <v>66</v>
      </c>
      <c r="L1558" s="450">
        <f t="shared" si="111"/>
        <v>250.5</v>
      </c>
      <c r="M1558" s="134">
        <f t="shared" si="112"/>
        <v>13777.5</v>
      </c>
    </row>
    <row r="1559" spans="2:13" outlineLevel="3">
      <c r="B1559" s="116" t="s">
        <v>2361</v>
      </c>
      <c r="C1559" s="129" t="s">
        <v>2668</v>
      </c>
      <c r="D1559" s="154" t="s">
        <v>2669</v>
      </c>
      <c r="E1559" s="129" t="s">
        <v>1633</v>
      </c>
      <c r="F1559" s="130"/>
      <c r="G1559" s="131">
        <v>90</v>
      </c>
      <c r="H1559" s="118"/>
      <c r="I1559" s="120">
        <v>199.875</v>
      </c>
      <c r="J1559" s="120"/>
      <c r="K1559" s="120">
        <v>66</v>
      </c>
      <c r="L1559" s="450">
        <f t="shared" si="111"/>
        <v>265.875</v>
      </c>
      <c r="M1559" s="134">
        <f t="shared" si="112"/>
        <v>23928.75</v>
      </c>
    </row>
    <row r="1560" spans="2:13" outlineLevel="3">
      <c r="B1560" s="116" t="s">
        <v>2361</v>
      </c>
      <c r="C1560" s="129" t="s">
        <v>2670</v>
      </c>
      <c r="D1560" s="154" t="s">
        <v>2671</v>
      </c>
      <c r="E1560" s="129" t="s">
        <v>1633</v>
      </c>
      <c r="F1560" s="130"/>
      <c r="G1560" s="131">
        <v>65</v>
      </c>
      <c r="H1560" s="118"/>
      <c r="I1560" s="120">
        <v>276.75</v>
      </c>
      <c r="J1560" s="120"/>
      <c r="K1560" s="120">
        <v>88</v>
      </c>
      <c r="L1560" s="450">
        <f t="shared" si="111"/>
        <v>364.75</v>
      </c>
      <c r="M1560" s="134">
        <f t="shared" si="112"/>
        <v>23708.75</v>
      </c>
    </row>
    <row r="1561" spans="2:13" s="174" customFormat="1" outlineLevel="3">
      <c r="B1561" s="269" t="s">
        <v>2361</v>
      </c>
      <c r="C1561" s="244"/>
      <c r="D1561" s="454" t="s">
        <v>2672</v>
      </c>
      <c r="E1561" s="244" t="s">
        <v>890</v>
      </c>
      <c r="F1561" s="271"/>
      <c r="G1561" s="254">
        <v>1</v>
      </c>
      <c r="H1561" s="255"/>
      <c r="I1561" s="256">
        <v>741</v>
      </c>
      <c r="J1561" s="256"/>
      <c r="K1561" s="256"/>
      <c r="L1561" s="455">
        <f t="shared" si="111"/>
        <v>741</v>
      </c>
      <c r="M1561" s="258">
        <f t="shared" si="112"/>
        <v>741</v>
      </c>
    </row>
    <row r="1562" spans="2:13" s="174" customFormat="1" outlineLevel="3">
      <c r="B1562" s="269" t="s">
        <v>2361</v>
      </c>
      <c r="C1562" s="244"/>
      <c r="D1562" s="454" t="s">
        <v>2673</v>
      </c>
      <c r="E1562" s="244" t="s">
        <v>890</v>
      </c>
      <c r="F1562" s="271"/>
      <c r="G1562" s="254">
        <v>1</v>
      </c>
      <c r="H1562" s="255"/>
      <c r="I1562" s="256">
        <v>741</v>
      </c>
      <c r="J1562" s="256"/>
      <c r="K1562" s="256"/>
      <c r="L1562" s="455">
        <f t="shared" si="111"/>
        <v>741</v>
      </c>
      <c r="M1562" s="258">
        <f t="shared" si="112"/>
        <v>741</v>
      </c>
    </row>
    <row r="1563" spans="2:13" s="174" customFormat="1" outlineLevel="3">
      <c r="B1563" s="269" t="s">
        <v>2361</v>
      </c>
      <c r="C1563" s="244"/>
      <c r="D1563" s="454" t="s">
        <v>2674</v>
      </c>
      <c r="E1563" s="244" t="s">
        <v>890</v>
      </c>
      <c r="F1563" s="271"/>
      <c r="G1563" s="254">
        <v>4</v>
      </c>
      <c r="H1563" s="255"/>
      <c r="I1563" s="256">
        <v>608</v>
      </c>
      <c r="J1563" s="256"/>
      <c r="K1563" s="256"/>
      <c r="L1563" s="455">
        <f t="shared" si="111"/>
        <v>608</v>
      </c>
      <c r="M1563" s="258">
        <f t="shared" si="112"/>
        <v>2432</v>
      </c>
    </row>
    <row r="1564" spans="2:13" s="174" customFormat="1" outlineLevel="3">
      <c r="B1564" s="269" t="s">
        <v>2361</v>
      </c>
      <c r="C1564" s="244"/>
      <c r="D1564" s="454" t="s">
        <v>2675</v>
      </c>
      <c r="E1564" s="244" t="s">
        <v>890</v>
      </c>
      <c r="F1564" s="271"/>
      <c r="G1564" s="254">
        <v>4</v>
      </c>
      <c r="H1564" s="255"/>
      <c r="I1564" s="256">
        <v>551</v>
      </c>
      <c r="J1564" s="256"/>
      <c r="K1564" s="256"/>
      <c r="L1564" s="455">
        <f t="shared" si="111"/>
        <v>551</v>
      </c>
      <c r="M1564" s="258">
        <f t="shared" si="112"/>
        <v>2204</v>
      </c>
    </row>
    <row r="1565" spans="2:13" s="174" customFormat="1" outlineLevel="3">
      <c r="B1565" s="269" t="s">
        <v>2361</v>
      </c>
      <c r="C1565" s="244"/>
      <c r="D1565" s="454" t="s">
        <v>2676</v>
      </c>
      <c r="E1565" s="244" t="s">
        <v>890</v>
      </c>
      <c r="F1565" s="271"/>
      <c r="G1565" s="254">
        <v>1</v>
      </c>
      <c r="H1565" s="255"/>
      <c r="I1565" s="256">
        <v>532</v>
      </c>
      <c r="J1565" s="256"/>
      <c r="K1565" s="256"/>
      <c r="L1565" s="455">
        <f t="shared" si="111"/>
        <v>532</v>
      </c>
      <c r="M1565" s="258">
        <f t="shared" si="112"/>
        <v>532</v>
      </c>
    </row>
    <row r="1566" spans="2:13" s="174" customFormat="1" outlineLevel="3">
      <c r="B1566" s="269" t="s">
        <v>2361</v>
      </c>
      <c r="C1566" s="244"/>
      <c r="D1566" s="454" t="s">
        <v>2677</v>
      </c>
      <c r="E1566" s="244" t="s">
        <v>890</v>
      </c>
      <c r="F1566" s="271"/>
      <c r="G1566" s="254">
        <v>1</v>
      </c>
      <c r="H1566" s="255"/>
      <c r="I1566" s="256">
        <v>361</v>
      </c>
      <c r="J1566" s="256"/>
      <c r="K1566" s="256"/>
      <c r="L1566" s="455">
        <f t="shared" si="111"/>
        <v>361</v>
      </c>
      <c r="M1566" s="258">
        <f t="shared" si="112"/>
        <v>361</v>
      </c>
    </row>
    <row r="1567" spans="2:13" s="174" customFormat="1" outlineLevel="3">
      <c r="B1567" s="269" t="s">
        <v>2361</v>
      </c>
      <c r="C1567" s="244"/>
      <c r="D1567" s="454" t="s">
        <v>2678</v>
      </c>
      <c r="E1567" s="244" t="s">
        <v>890</v>
      </c>
      <c r="F1567" s="271"/>
      <c r="G1567" s="254">
        <v>3</v>
      </c>
      <c r="H1567" s="255"/>
      <c r="I1567" s="256">
        <v>361</v>
      </c>
      <c r="J1567" s="256"/>
      <c r="K1567" s="256"/>
      <c r="L1567" s="455">
        <f t="shared" si="111"/>
        <v>361</v>
      </c>
      <c r="M1567" s="258">
        <f t="shared" si="112"/>
        <v>1083</v>
      </c>
    </row>
    <row r="1568" spans="2:13" s="174" customFormat="1" outlineLevel="3">
      <c r="B1568" s="269"/>
      <c r="C1568" s="244"/>
      <c r="D1568" s="454"/>
      <c r="E1568" s="244"/>
      <c r="F1568" s="271"/>
      <c r="G1568" s="254"/>
      <c r="H1568" s="255"/>
      <c r="I1568" s="256"/>
      <c r="J1568" s="256"/>
      <c r="K1568" s="256"/>
      <c r="L1568" s="455"/>
      <c r="M1568" s="258"/>
    </row>
    <row r="1569" spans="2:13" outlineLevel="2">
      <c r="B1569" s="116"/>
      <c r="C1569" s="126" t="s">
        <v>2679</v>
      </c>
      <c r="D1569" s="260" t="s">
        <v>2680</v>
      </c>
      <c r="E1569" s="118" t="s">
        <v>99</v>
      </c>
      <c r="F1569" s="161"/>
      <c r="G1569" s="116"/>
      <c r="H1569" s="118"/>
      <c r="I1569" s="120"/>
      <c r="J1569" s="120"/>
      <c r="K1569" s="120"/>
      <c r="L1569" s="121"/>
      <c r="M1569" s="264">
        <f>SUM(M1570:M1575)</f>
        <v>24606.227142857144</v>
      </c>
    </row>
    <row r="1570" spans="2:13" outlineLevel="3">
      <c r="B1570" s="116" t="s">
        <v>2361</v>
      </c>
      <c r="C1570" s="129" t="s">
        <v>2681</v>
      </c>
      <c r="D1570" s="154" t="s">
        <v>2682</v>
      </c>
      <c r="E1570" s="129" t="s">
        <v>890</v>
      </c>
      <c r="F1570" s="130"/>
      <c r="G1570" s="131">
        <v>115</v>
      </c>
      <c r="H1570" s="118"/>
      <c r="I1570" s="120">
        <v>7</v>
      </c>
      <c r="J1570" s="120"/>
      <c r="K1570" s="120">
        <v>23.53</v>
      </c>
      <c r="L1570" s="450">
        <f t="shared" ref="L1570:L1575" si="113">SUM(H1570:K1570)</f>
        <v>30.53</v>
      </c>
      <c r="M1570" s="134">
        <f t="shared" ref="M1570:M1575" si="114">+L1570*G1570</f>
        <v>3510.9500000000003</v>
      </c>
    </row>
    <row r="1571" spans="2:13" outlineLevel="3">
      <c r="B1571" s="116" t="s">
        <v>2361</v>
      </c>
      <c r="C1571" s="129" t="s">
        <v>2683</v>
      </c>
      <c r="D1571" s="154" t="s">
        <v>2684</v>
      </c>
      <c r="E1571" s="129" t="s">
        <v>890</v>
      </c>
      <c r="F1571" s="130"/>
      <c r="G1571" s="131">
        <v>282</v>
      </c>
      <c r="H1571" s="118"/>
      <c r="I1571" s="120">
        <v>15</v>
      </c>
      <c r="J1571" s="120"/>
      <c r="K1571" s="120">
        <v>27.32</v>
      </c>
      <c r="L1571" s="450">
        <f t="shared" si="113"/>
        <v>42.32</v>
      </c>
      <c r="M1571" s="134">
        <f t="shared" si="114"/>
        <v>11934.24</v>
      </c>
    </row>
    <row r="1572" spans="2:13" outlineLevel="3">
      <c r="B1572" s="116" t="s">
        <v>2361</v>
      </c>
      <c r="C1572" s="129" t="s">
        <v>2685</v>
      </c>
      <c r="D1572" s="154" t="s">
        <v>2686</v>
      </c>
      <c r="E1572" s="129" t="s">
        <v>890</v>
      </c>
      <c r="F1572" s="130"/>
      <c r="G1572" s="131">
        <v>26</v>
      </c>
      <c r="H1572" s="118"/>
      <c r="I1572" s="120">
        <v>37</v>
      </c>
      <c r="J1572" s="120"/>
      <c r="K1572" s="120">
        <v>28.23</v>
      </c>
      <c r="L1572" s="450">
        <f t="shared" si="113"/>
        <v>65.23</v>
      </c>
      <c r="M1572" s="134">
        <f t="shared" si="114"/>
        <v>1695.98</v>
      </c>
    </row>
    <row r="1573" spans="2:13" outlineLevel="3">
      <c r="B1573" s="116" t="s">
        <v>2361</v>
      </c>
      <c r="C1573" s="129" t="s">
        <v>2687</v>
      </c>
      <c r="D1573" s="154" t="s">
        <v>2688</v>
      </c>
      <c r="E1573" s="129" t="s">
        <v>890</v>
      </c>
      <c r="F1573" s="130"/>
      <c r="G1573" s="131">
        <v>2</v>
      </c>
      <c r="H1573" s="118"/>
      <c r="I1573" s="120">
        <v>47</v>
      </c>
      <c r="J1573" s="120"/>
      <c r="K1573" s="120">
        <v>48.33</v>
      </c>
      <c r="L1573" s="450">
        <f t="shared" si="113"/>
        <v>95.33</v>
      </c>
      <c r="M1573" s="134">
        <f t="shared" si="114"/>
        <v>190.66</v>
      </c>
    </row>
    <row r="1574" spans="2:13" outlineLevel="3">
      <c r="B1574" s="116" t="s">
        <v>2361</v>
      </c>
      <c r="C1574" s="129" t="s">
        <v>2689</v>
      </c>
      <c r="D1574" s="154" t="s">
        <v>2690</v>
      </c>
      <c r="E1574" s="129" t="s">
        <v>890</v>
      </c>
      <c r="F1574" s="130"/>
      <c r="G1574" s="131">
        <v>32</v>
      </c>
      <c r="H1574" s="118"/>
      <c r="I1574" s="120">
        <v>53.714285714285715</v>
      </c>
      <c r="J1574" s="120"/>
      <c r="K1574" s="120">
        <v>50.35</v>
      </c>
      <c r="L1574" s="450">
        <f t="shared" si="113"/>
        <v>104.06428571428572</v>
      </c>
      <c r="M1574" s="134">
        <f t="shared" si="114"/>
        <v>3330.0571428571429</v>
      </c>
    </row>
    <row r="1575" spans="2:13" outlineLevel="3">
      <c r="B1575" s="116" t="s">
        <v>2361</v>
      </c>
      <c r="C1575" s="129" t="s">
        <v>2691</v>
      </c>
      <c r="D1575" s="154" t="s">
        <v>2692</v>
      </c>
      <c r="E1575" s="129" t="s">
        <v>890</v>
      </c>
      <c r="F1575" s="130"/>
      <c r="G1575" s="131">
        <v>153</v>
      </c>
      <c r="H1575" s="118"/>
      <c r="I1575" s="120">
        <v>4.5999999999999996</v>
      </c>
      <c r="J1575" s="120"/>
      <c r="K1575" s="120">
        <v>21.18</v>
      </c>
      <c r="L1575" s="450">
        <f t="shared" si="113"/>
        <v>25.78</v>
      </c>
      <c r="M1575" s="134">
        <f t="shared" si="114"/>
        <v>3944.34</v>
      </c>
    </row>
    <row r="1576" spans="2:13" outlineLevel="2">
      <c r="B1576" s="116"/>
      <c r="C1576" s="129"/>
      <c r="D1576" s="154"/>
      <c r="E1576" s="129"/>
      <c r="F1576" s="130"/>
      <c r="G1576" s="131"/>
      <c r="H1576" s="118"/>
      <c r="I1576" s="120"/>
      <c r="J1576" s="120"/>
      <c r="K1576" s="120"/>
      <c r="L1576" s="450"/>
      <c r="M1576" s="134"/>
    </row>
    <row r="1577" spans="2:13" outlineLevel="1">
      <c r="B1577" s="116"/>
      <c r="C1577" s="123" t="s">
        <v>2693</v>
      </c>
      <c r="D1577" s="449" t="s">
        <v>2694</v>
      </c>
      <c r="E1577" s="118" t="s">
        <v>96</v>
      </c>
      <c r="F1577" s="262"/>
      <c r="G1577" s="116"/>
      <c r="H1577" s="118"/>
      <c r="I1577" s="120"/>
      <c r="J1577" s="120"/>
      <c r="K1577" s="120"/>
      <c r="L1577" s="121"/>
      <c r="M1577" s="263">
        <f>+M1578+M1602</f>
        <v>306987.65000000002</v>
      </c>
    </row>
    <row r="1578" spans="2:13" outlineLevel="2">
      <c r="B1578" s="116"/>
      <c r="C1578" s="126" t="s">
        <v>2695</v>
      </c>
      <c r="D1578" s="260" t="s">
        <v>2696</v>
      </c>
      <c r="E1578" s="118" t="s">
        <v>99</v>
      </c>
      <c r="F1578" s="161"/>
      <c r="G1578" s="116"/>
      <c r="H1578" s="118"/>
      <c r="I1578" s="120"/>
      <c r="J1578" s="120"/>
      <c r="K1578" s="120"/>
      <c r="L1578" s="121"/>
      <c r="M1578" s="264">
        <f>SUM(M1579:M1601)</f>
        <v>213101.6</v>
      </c>
    </row>
    <row r="1579" spans="2:13" s="174" customFormat="1" outlineLevel="3">
      <c r="B1579" s="269" t="s">
        <v>2697</v>
      </c>
      <c r="C1579" s="244" t="s">
        <v>2698</v>
      </c>
      <c r="D1579" s="454" t="s">
        <v>2699</v>
      </c>
      <c r="E1579" s="244" t="s">
        <v>890</v>
      </c>
      <c r="F1579" s="271"/>
      <c r="G1579" s="254">
        <v>1</v>
      </c>
      <c r="H1579" s="255"/>
      <c r="I1579" s="256">
        <v>9089.4</v>
      </c>
      <c r="J1579" s="256"/>
      <c r="K1579" s="256">
        <v>275</v>
      </c>
      <c r="L1579" s="455">
        <f t="shared" ref="L1579:L1601" si="115">SUM(H1579:K1579)</f>
        <v>9364.4</v>
      </c>
      <c r="M1579" s="258">
        <f t="shared" ref="M1579:M1601" si="116">+L1579*G1579</f>
        <v>9364.4</v>
      </c>
    </row>
    <row r="1580" spans="2:13" s="174" customFormat="1" outlineLevel="3">
      <c r="B1580" s="269" t="s">
        <v>2697</v>
      </c>
      <c r="C1580" s="244" t="s">
        <v>2700</v>
      </c>
      <c r="D1580" s="454" t="s">
        <v>2701</v>
      </c>
      <c r="E1580" s="244" t="s">
        <v>890</v>
      </c>
      <c r="F1580" s="271"/>
      <c r="G1580" s="254">
        <v>1</v>
      </c>
      <c r="H1580" s="255"/>
      <c r="I1580" s="256">
        <v>5408</v>
      </c>
      <c r="J1580" s="256"/>
      <c r="K1580" s="256">
        <v>275</v>
      </c>
      <c r="L1580" s="455">
        <f t="shared" si="115"/>
        <v>5683</v>
      </c>
      <c r="M1580" s="258">
        <f t="shared" si="116"/>
        <v>5683</v>
      </c>
    </row>
    <row r="1581" spans="2:13" s="174" customFormat="1" outlineLevel="3">
      <c r="B1581" s="269" t="s">
        <v>2697</v>
      </c>
      <c r="C1581" s="244" t="s">
        <v>2702</v>
      </c>
      <c r="D1581" s="454" t="s">
        <v>2703</v>
      </c>
      <c r="E1581" s="244" t="s">
        <v>890</v>
      </c>
      <c r="F1581" s="271"/>
      <c r="G1581" s="254">
        <v>1</v>
      </c>
      <c r="H1581" s="255"/>
      <c r="I1581" s="256">
        <v>7131.5</v>
      </c>
      <c r="J1581" s="256"/>
      <c r="K1581" s="256">
        <v>275</v>
      </c>
      <c r="L1581" s="455">
        <f t="shared" si="115"/>
        <v>7406.5</v>
      </c>
      <c r="M1581" s="258">
        <f t="shared" si="116"/>
        <v>7406.5</v>
      </c>
    </row>
    <row r="1582" spans="2:13" s="174" customFormat="1" outlineLevel="3">
      <c r="B1582" s="269" t="s">
        <v>2697</v>
      </c>
      <c r="C1582" s="244" t="s">
        <v>2704</v>
      </c>
      <c r="D1582" s="454" t="s">
        <v>2705</v>
      </c>
      <c r="E1582" s="244" t="s">
        <v>890</v>
      </c>
      <c r="F1582" s="271"/>
      <c r="G1582" s="254">
        <v>1</v>
      </c>
      <c r="H1582" s="255"/>
      <c r="I1582" s="256">
        <v>1636.9</v>
      </c>
      <c r="J1582" s="256"/>
      <c r="K1582" s="256">
        <v>275</v>
      </c>
      <c r="L1582" s="455">
        <f t="shared" si="115"/>
        <v>1911.9</v>
      </c>
      <c r="M1582" s="258">
        <f t="shared" si="116"/>
        <v>1911.9</v>
      </c>
    </row>
    <row r="1583" spans="2:13" s="174" customFormat="1" outlineLevel="3">
      <c r="B1583" s="269" t="s">
        <v>2697</v>
      </c>
      <c r="C1583" s="244" t="s">
        <v>2706</v>
      </c>
      <c r="D1583" s="454" t="s">
        <v>2707</v>
      </c>
      <c r="E1583" s="244" t="s">
        <v>890</v>
      </c>
      <c r="F1583" s="271"/>
      <c r="G1583" s="254">
        <v>1</v>
      </c>
      <c r="H1583" s="255"/>
      <c r="I1583" s="256">
        <v>1518.4</v>
      </c>
      <c r="J1583" s="256"/>
      <c r="K1583" s="256">
        <v>275</v>
      </c>
      <c r="L1583" s="455">
        <f t="shared" si="115"/>
        <v>1793.4</v>
      </c>
      <c r="M1583" s="258">
        <f t="shared" si="116"/>
        <v>1793.4</v>
      </c>
    </row>
    <row r="1584" spans="2:13" s="174" customFormat="1" outlineLevel="3">
      <c r="B1584" s="269" t="s">
        <v>2697</v>
      </c>
      <c r="C1584" s="244" t="s">
        <v>2708</v>
      </c>
      <c r="D1584" s="454" t="s">
        <v>2709</v>
      </c>
      <c r="E1584" s="244" t="s">
        <v>890</v>
      </c>
      <c r="F1584" s="271"/>
      <c r="G1584" s="254">
        <v>1</v>
      </c>
      <c r="H1584" s="255"/>
      <c r="I1584" s="256">
        <v>1331.4</v>
      </c>
      <c r="J1584" s="256"/>
      <c r="K1584" s="256">
        <v>275</v>
      </c>
      <c r="L1584" s="455">
        <f t="shared" si="115"/>
        <v>1606.4</v>
      </c>
      <c r="M1584" s="258">
        <f t="shared" si="116"/>
        <v>1606.4</v>
      </c>
    </row>
    <row r="1585" spans="2:13" s="174" customFormat="1" outlineLevel="3">
      <c r="B1585" s="269" t="s">
        <v>2697</v>
      </c>
      <c r="C1585" s="244" t="s">
        <v>2710</v>
      </c>
      <c r="D1585" s="454" t="s">
        <v>2711</v>
      </c>
      <c r="E1585" s="244" t="s">
        <v>890</v>
      </c>
      <c r="F1585" s="271"/>
      <c r="G1585" s="254">
        <v>1</v>
      </c>
      <c r="H1585" s="255"/>
      <c r="I1585" s="256">
        <v>1331.4</v>
      </c>
      <c r="J1585" s="256"/>
      <c r="K1585" s="256">
        <v>275</v>
      </c>
      <c r="L1585" s="455">
        <f t="shared" si="115"/>
        <v>1606.4</v>
      </c>
      <c r="M1585" s="258">
        <f t="shared" si="116"/>
        <v>1606.4</v>
      </c>
    </row>
    <row r="1586" spans="2:13" s="174" customFormat="1" outlineLevel="3">
      <c r="B1586" s="269" t="s">
        <v>2697</v>
      </c>
      <c r="C1586" s="244" t="s">
        <v>2712</v>
      </c>
      <c r="D1586" s="454" t="s">
        <v>2713</v>
      </c>
      <c r="E1586" s="244" t="s">
        <v>890</v>
      </c>
      <c r="F1586" s="271"/>
      <c r="G1586" s="254">
        <v>1</v>
      </c>
      <c r="H1586" s="255"/>
      <c r="I1586" s="256">
        <v>1331.4</v>
      </c>
      <c r="J1586" s="256"/>
      <c r="K1586" s="256">
        <v>275</v>
      </c>
      <c r="L1586" s="455">
        <f t="shared" si="115"/>
        <v>1606.4</v>
      </c>
      <c r="M1586" s="258">
        <f t="shared" si="116"/>
        <v>1606.4</v>
      </c>
    </row>
    <row r="1587" spans="2:13" s="174" customFormat="1" outlineLevel="3">
      <c r="B1587" s="269" t="s">
        <v>2697</v>
      </c>
      <c r="C1587" s="244" t="s">
        <v>2714</v>
      </c>
      <c r="D1587" s="454" t="s">
        <v>2715</v>
      </c>
      <c r="E1587" s="244" t="s">
        <v>890</v>
      </c>
      <c r="F1587" s="271"/>
      <c r="G1587" s="254">
        <v>1</v>
      </c>
      <c r="H1587" s="255"/>
      <c r="I1587" s="256">
        <v>1331.4</v>
      </c>
      <c r="J1587" s="256"/>
      <c r="K1587" s="256">
        <v>275</v>
      </c>
      <c r="L1587" s="455">
        <f t="shared" si="115"/>
        <v>1606.4</v>
      </c>
      <c r="M1587" s="258">
        <f t="shared" si="116"/>
        <v>1606.4</v>
      </c>
    </row>
    <row r="1588" spans="2:13" s="174" customFormat="1" outlineLevel="3">
      <c r="B1588" s="269" t="s">
        <v>2697</v>
      </c>
      <c r="C1588" s="244" t="s">
        <v>2716</v>
      </c>
      <c r="D1588" s="454" t="s">
        <v>2717</v>
      </c>
      <c r="E1588" s="244" t="s">
        <v>890</v>
      </c>
      <c r="F1588" s="271"/>
      <c r="G1588" s="254">
        <v>1</v>
      </c>
      <c r="H1588" s="255"/>
      <c r="I1588" s="256">
        <v>5184</v>
      </c>
      <c r="J1588" s="256"/>
      <c r="K1588" s="256">
        <v>275</v>
      </c>
      <c r="L1588" s="455">
        <f t="shared" si="115"/>
        <v>5459</v>
      </c>
      <c r="M1588" s="258">
        <f t="shared" si="116"/>
        <v>5459</v>
      </c>
    </row>
    <row r="1589" spans="2:13" s="174" customFormat="1" outlineLevel="3">
      <c r="B1589" s="269" t="s">
        <v>2697</v>
      </c>
      <c r="C1589" s="244" t="s">
        <v>2718</v>
      </c>
      <c r="D1589" s="454" t="s">
        <v>2719</v>
      </c>
      <c r="E1589" s="244" t="s">
        <v>890</v>
      </c>
      <c r="F1589" s="271"/>
      <c r="G1589" s="254">
        <v>1</v>
      </c>
      <c r="H1589" s="255"/>
      <c r="I1589" s="256">
        <v>1380</v>
      </c>
      <c r="J1589" s="256"/>
      <c r="K1589" s="256">
        <v>275</v>
      </c>
      <c r="L1589" s="455">
        <f t="shared" si="115"/>
        <v>1655</v>
      </c>
      <c r="M1589" s="258">
        <f t="shared" si="116"/>
        <v>1655</v>
      </c>
    </row>
    <row r="1590" spans="2:13" s="174" customFormat="1" outlineLevel="3">
      <c r="B1590" s="269" t="s">
        <v>2697</v>
      </c>
      <c r="C1590" s="244" t="s">
        <v>2720</v>
      </c>
      <c r="D1590" s="454" t="s">
        <v>2721</v>
      </c>
      <c r="E1590" s="244" t="s">
        <v>890</v>
      </c>
      <c r="F1590" s="271"/>
      <c r="G1590" s="254">
        <v>1</v>
      </c>
      <c r="H1590" s="255"/>
      <c r="I1590" s="256">
        <v>921</v>
      </c>
      <c r="J1590" s="256"/>
      <c r="K1590" s="256">
        <v>275</v>
      </c>
      <c r="L1590" s="455">
        <f t="shared" si="115"/>
        <v>1196</v>
      </c>
      <c r="M1590" s="258">
        <f t="shared" si="116"/>
        <v>1196</v>
      </c>
    </row>
    <row r="1591" spans="2:13" outlineLevel="3">
      <c r="B1591" s="116" t="s">
        <v>2697</v>
      </c>
      <c r="C1591" s="129" t="s">
        <v>2722</v>
      </c>
      <c r="D1591" s="154" t="s">
        <v>2723</v>
      </c>
      <c r="E1591" s="129" t="s">
        <v>890</v>
      </c>
      <c r="F1591" s="130"/>
      <c r="G1591" s="131">
        <v>1</v>
      </c>
      <c r="H1591" s="118"/>
      <c r="I1591" s="120">
        <v>700</v>
      </c>
      <c r="J1591" s="120"/>
      <c r="K1591" s="120">
        <v>275</v>
      </c>
      <c r="L1591" s="450">
        <f t="shared" si="115"/>
        <v>975</v>
      </c>
      <c r="M1591" s="134">
        <f t="shared" si="116"/>
        <v>975</v>
      </c>
    </row>
    <row r="1592" spans="2:13" s="174" customFormat="1" outlineLevel="3">
      <c r="B1592" s="269" t="s">
        <v>2697</v>
      </c>
      <c r="C1592" s="244" t="s">
        <v>2724</v>
      </c>
      <c r="D1592" s="454" t="s">
        <v>2725</v>
      </c>
      <c r="E1592" s="244" t="s">
        <v>890</v>
      </c>
      <c r="F1592" s="271"/>
      <c r="G1592" s="254">
        <v>1</v>
      </c>
      <c r="H1592" s="255"/>
      <c r="I1592" s="256">
        <v>1504.5</v>
      </c>
      <c r="J1592" s="256"/>
      <c r="K1592" s="256">
        <v>275</v>
      </c>
      <c r="L1592" s="455">
        <f t="shared" si="115"/>
        <v>1779.5</v>
      </c>
      <c r="M1592" s="258">
        <f t="shared" si="116"/>
        <v>1779.5</v>
      </c>
    </row>
    <row r="1593" spans="2:13" s="174" customFormat="1" outlineLevel="3">
      <c r="B1593" s="269" t="s">
        <v>2697</v>
      </c>
      <c r="C1593" s="244" t="s">
        <v>2726</v>
      </c>
      <c r="D1593" s="454" t="s">
        <v>2727</v>
      </c>
      <c r="E1593" s="244" t="s">
        <v>890</v>
      </c>
      <c r="F1593" s="271"/>
      <c r="G1593" s="254">
        <v>1</v>
      </c>
      <c r="H1593" s="255"/>
      <c r="I1593" s="256">
        <v>4878.3999999999996</v>
      </c>
      <c r="J1593" s="256"/>
      <c r="K1593" s="256">
        <v>275</v>
      </c>
      <c r="L1593" s="455">
        <f t="shared" si="115"/>
        <v>5153.3999999999996</v>
      </c>
      <c r="M1593" s="258">
        <f t="shared" si="116"/>
        <v>5153.3999999999996</v>
      </c>
    </row>
    <row r="1594" spans="2:13" s="174" customFormat="1" outlineLevel="3">
      <c r="B1594" s="269" t="s">
        <v>2697</v>
      </c>
      <c r="C1594" s="244" t="s">
        <v>2728</v>
      </c>
      <c r="D1594" s="454" t="s">
        <v>2729</v>
      </c>
      <c r="E1594" s="244" t="s">
        <v>890</v>
      </c>
      <c r="F1594" s="271"/>
      <c r="G1594" s="254">
        <v>1</v>
      </c>
      <c r="H1594" s="255"/>
      <c r="I1594" s="256">
        <v>1091.5</v>
      </c>
      <c r="J1594" s="256"/>
      <c r="K1594" s="256">
        <v>275</v>
      </c>
      <c r="L1594" s="455">
        <f t="shared" si="115"/>
        <v>1366.5</v>
      </c>
      <c r="M1594" s="258">
        <f t="shared" si="116"/>
        <v>1366.5</v>
      </c>
    </row>
    <row r="1595" spans="2:13" s="174" customFormat="1" outlineLevel="3">
      <c r="B1595" s="269" t="s">
        <v>2697</v>
      </c>
      <c r="C1595" s="244" t="s">
        <v>2730</v>
      </c>
      <c r="D1595" s="454" t="s">
        <v>2731</v>
      </c>
      <c r="E1595" s="244" t="s">
        <v>890</v>
      </c>
      <c r="F1595" s="271"/>
      <c r="G1595" s="254">
        <v>1</v>
      </c>
      <c r="H1595" s="255"/>
      <c r="I1595" s="256">
        <v>1926.4</v>
      </c>
      <c r="J1595" s="256"/>
      <c r="K1595" s="256">
        <v>275</v>
      </c>
      <c r="L1595" s="455">
        <f t="shared" si="115"/>
        <v>2201.4</v>
      </c>
      <c r="M1595" s="258">
        <f t="shared" si="116"/>
        <v>2201.4</v>
      </c>
    </row>
    <row r="1596" spans="2:13" s="174" customFormat="1" outlineLevel="3">
      <c r="B1596" s="269">
        <v>1057.5</v>
      </c>
      <c r="C1596" s="244" t="s">
        <v>2732</v>
      </c>
      <c r="D1596" s="454" t="s">
        <v>2733</v>
      </c>
      <c r="E1596" s="244" t="s">
        <v>890</v>
      </c>
      <c r="F1596" s="271"/>
      <c r="G1596" s="254">
        <v>1</v>
      </c>
      <c r="H1596" s="255"/>
      <c r="I1596" s="256">
        <v>1057.5</v>
      </c>
      <c r="J1596" s="256"/>
      <c r="K1596" s="256">
        <v>275</v>
      </c>
      <c r="L1596" s="455">
        <f t="shared" si="115"/>
        <v>1332.5</v>
      </c>
      <c r="M1596" s="258">
        <f t="shared" si="116"/>
        <v>1332.5</v>
      </c>
    </row>
    <row r="1597" spans="2:13" s="174" customFormat="1" outlineLevel="3">
      <c r="B1597" s="269" t="s">
        <v>2697</v>
      </c>
      <c r="C1597" s="244" t="s">
        <v>2734</v>
      </c>
      <c r="D1597" s="454" t="s">
        <v>2735</v>
      </c>
      <c r="E1597" s="244" t="s">
        <v>890</v>
      </c>
      <c r="F1597" s="271"/>
      <c r="G1597" s="254">
        <v>1</v>
      </c>
      <c r="H1597" s="255"/>
      <c r="I1597" s="256">
        <v>1057.5</v>
      </c>
      <c r="J1597" s="256"/>
      <c r="K1597" s="256">
        <v>275</v>
      </c>
      <c r="L1597" s="455">
        <f t="shared" si="115"/>
        <v>1332.5</v>
      </c>
      <c r="M1597" s="258">
        <f t="shared" si="116"/>
        <v>1332.5</v>
      </c>
    </row>
    <row r="1598" spans="2:13" s="174" customFormat="1" outlineLevel="3">
      <c r="B1598" s="269" t="s">
        <v>2697</v>
      </c>
      <c r="C1598" s="244" t="s">
        <v>2736</v>
      </c>
      <c r="D1598" s="454" t="s">
        <v>2737</v>
      </c>
      <c r="E1598" s="244" t="s">
        <v>890</v>
      </c>
      <c r="F1598" s="271"/>
      <c r="G1598" s="254">
        <v>1</v>
      </c>
      <c r="H1598" s="255"/>
      <c r="I1598" s="256">
        <v>578</v>
      </c>
      <c r="J1598" s="256"/>
      <c r="K1598" s="256">
        <v>275</v>
      </c>
      <c r="L1598" s="455">
        <f t="shared" si="115"/>
        <v>853</v>
      </c>
      <c r="M1598" s="258">
        <f t="shared" si="116"/>
        <v>853</v>
      </c>
    </row>
    <row r="1599" spans="2:13" s="174" customFormat="1" outlineLevel="3">
      <c r="B1599" s="269" t="s">
        <v>2697</v>
      </c>
      <c r="C1599" s="244" t="s">
        <v>2738</v>
      </c>
      <c r="D1599" s="454" t="s">
        <v>2739</v>
      </c>
      <c r="E1599" s="244" t="s">
        <v>890</v>
      </c>
      <c r="F1599" s="271"/>
      <c r="G1599" s="254">
        <v>1</v>
      </c>
      <c r="H1599" s="255"/>
      <c r="I1599" s="256">
        <v>1908.5</v>
      </c>
      <c r="J1599" s="256"/>
      <c r="K1599" s="256">
        <v>275</v>
      </c>
      <c r="L1599" s="455">
        <f t="shared" si="115"/>
        <v>2183.5</v>
      </c>
      <c r="M1599" s="258">
        <f t="shared" si="116"/>
        <v>2183.5</v>
      </c>
    </row>
    <row r="1600" spans="2:13" s="174" customFormat="1" outlineLevel="3">
      <c r="B1600" s="269" t="s">
        <v>2697</v>
      </c>
      <c r="C1600" s="244" t="s">
        <v>2740</v>
      </c>
      <c r="D1600" s="454" t="s">
        <v>2741</v>
      </c>
      <c r="E1600" s="244" t="s">
        <v>890</v>
      </c>
      <c r="F1600" s="271"/>
      <c r="G1600" s="254">
        <v>112</v>
      </c>
      <c r="H1600" s="255"/>
      <c r="I1600" s="256">
        <v>964.3</v>
      </c>
      <c r="J1600" s="256"/>
      <c r="K1600" s="256">
        <v>275</v>
      </c>
      <c r="L1600" s="455">
        <f t="shared" si="115"/>
        <v>1239.3</v>
      </c>
      <c r="M1600" s="258">
        <f t="shared" si="116"/>
        <v>138801.60000000001</v>
      </c>
    </row>
    <row r="1601" spans="2:13" s="174" customFormat="1" outlineLevel="3">
      <c r="B1601" s="269" t="s">
        <v>2697</v>
      </c>
      <c r="C1601" s="244" t="s">
        <v>2740</v>
      </c>
      <c r="D1601" s="454" t="s">
        <v>2742</v>
      </c>
      <c r="E1601" s="244" t="s">
        <v>890</v>
      </c>
      <c r="F1601" s="271"/>
      <c r="G1601" s="254">
        <v>13</v>
      </c>
      <c r="H1601" s="255"/>
      <c r="I1601" s="256">
        <v>973.3</v>
      </c>
      <c r="J1601" s="256"/>
      <c r="K1601" s="256">
        <v>275</v>
      </c>
      <c r="L1601" s="455">
        <f t="shared" si="115"/>
        <v>1248.3</v>
      </c>
      <c r="M1601" s="258">
        <f t="shared" si="116"/>
        <v>16227.9</v>
      </c>
    </row>
    <row r="1602" spans="2:13" outlineLevel="2">
      <c r="B1602" s="116"/>
      <c r="C1602" s="126" t="s">
        <v>2743</v>
      </c>
      <c r="D1602" s="260" t="s">
        <v>2744</v>
      </c>
      <c r="E1602" s="118" t="s">
        <v>99</v>
      </c>
      <c r="F1602" s="161"/>
      <c r="G1602" s="116"/>
      <c r="H1602" s="118"/>
      <c r="I1602" s="120"/>
      <c r="J1602" s="120"/>
      <c r="K1602" s="120"/>
      <c r="L1602" s="121"/>
      <c r="M1602" s="264">
        <f>SUM(M1603:M1613)</f>
        <v>93886.05</v>
      </c>
    </row>
    <row r="1603" spans="2:13" outlineLevel="3">
      <c r="B1603" s="116" t="s">
        <v>2745</v>
      </c>
      <c r="C1603" s="129" t="s">
        <v>2746</v>
      </c>
      <c r="D1603" s="154" t="s">
        <v>2747</v>
      </c>
      <c r="E1603" s="129" t="s">
        <v>890</v>
      </c>
      <c r="F1603" s="130"/>
      <c r="G1603" s="131">
        <v>681</v>
      </c>
      <c r="H1603" s="118"/>
      <c r="I1603" s="120">
        <v>10.85</v>
      </c>
      <c r="J1603" s="120"/>
      <c r="K1603" s="120"/>
      <c r="L1603" s="450">
        <f t="shared" ref="L1603:L1613" si="117">SUM(H1603:K1603)</f>
        <v>10.85</v>
      </c>
      <c r="M1603" s="134">
        <f t="shared" ref="M1603:M1613" si="118">+L1603*G1603</f>
        <v>7388.8499999999995</v>
      </c>
    </row>
    <row r="1604" spans="2:13" outlineLevel="3">
      <c r="B1604" s="116" t="s">
        <v>2745</v>
      </c>
      <c r="C1604" s="129" t="s">
        <v>2748</v>
      </c>
      <c r="D1604" s="154" t="s">
        <v>2749</v>
      </c>
      <c r="E1604" s="129" t="s">
        <v>890</v>
      </c>
      <c r="F1604" s="130"/>
      <c r="G1604" s="131">
        <v>391</v>
      </c>
      <c r="H1604" s="118"/>
      <c r="I1604" s="120">
        <v>15.42</v>
      </c>
      <c r="J1604" s="120"/>
      <c r="K1604" s="120"/>
      <c r="L1604" s="450">
        <f t="shared" si="117"/>
        <v>15.42</v>
      </c>
      <c r="M1604" s="134">
        <f t="shared" si="118"/>
        <v>6029.22</v>
      </c>
    </row>
    <row r="1605" spans="2:13" outlineLevel="3">
      <c r="B1605" s="116" t="s">
        <v>2745</v>
      </c>
      <c r="C1605" s="129" t="s">
        <v>2750</v>
      </c>
      <c r="D1605" s="154" t="s">
        <v>2751</v>
      </c>
      <c r="E1605" s="129" t="s">
        <v>890</v>
      </c>
      <c r="F1605" s="130"/>
      <c r="G1605" s="131">
        <v>168</v>
      </c>
      <c r="H1605" s="118"/>
      <c r="I1605" s="120">
        <v>21</v>
      </c>
      <c r="J1605" s="120"/>
      <c r="K1605" s="120"/>
      <c r="L1605" s="450">
        <f t="shared" si="117"/>
        <v>21</v>
      </c>
      <c r="M1605" s="134">
        <f t="shared" si="118"/>
        <v>3528</v>
      </c>
    </row>
    <row r="1606" spans="2:13" outlineLevel="3">
      <c r="B1606" s="116" t="s">
        <v>2745</v>
      </c>
      <c r="C1606" s="129" t="s">
        <v>2752</v>
      </c>
      <c r="D1606" s="154" t="s">
        <v>2753</v>
      </c>
      <c r="E1606" s="129" t="s">
        <v>890</v>
      </c>
      <c r="F1606" s="130"/>
      <c r="G1606" s="131">
        <v>354</v>
      </c>
      <c r="H1606" s="118"/>
      <c r="I1606" s="120">
        <v>12.37</v>
      </c>
      <c r="J1606" s="120"/>
      <c r="K1606" s="120"/>
      <c r="L1606" s="450">
        <f t="shared" si="117"/>
        <v>12.37</v>
      </c>
      <c r="M1606" s="134">
        <f t="shared" si="118"/>
        <v>4378.9799999999996</v>
      </c>
    </row>
    <row r="1607" spans="2:13" outlineLevel="3">
      <c r="B1607" s="116" t="s">
        <v>2745</v>
      </c>
      <c r="C1607" s="129" t="s">
        <v>2754</v>
      </c>
      <c r="D1607" s="154" t="s">
        <v>2755</v>
      </c>
      <c r="E1607" s="129" t="s">
        <v>890</v>
      </c>
      <c r="F1607" s="130"/>
      <c r="G1607" s="131">
        <v>177</v>
      </c>
      <c r="H1607" s="118"/>
      <c r="I1607" s="120">
        <v>19</v>
      </c>
      <c r="J1607" s="120"/>
      <c r="K1607" s="120"/>
      <c r="L1607" s="450">
        <f t="shared" si="117"/>
        <v>19</v>
      </c>
      <c r="M1607" s="134">
        <f t="shared" si="118"/>
        <v>3363</v>
      </c>
    </row>
    <row r="1608" spans="2:13" outlineLevel="3">
      <c r="B1608" s="116" t="s">
        <v>2745</v>
      </c>
      <c r="C1608" s="129" t="s">
        <v>2756</v>
      </c>
      <c r="D1608" s="154" t="s">
        <v>2757</v>
      </c>
      <c r="E1608" s="129" t="s">
        <v>890</v>
      </c>
      <c r="F1608" s="130"/>
      <c r="G1608" s="131">
        <v>2601</v>
      </c>
      <c r="H1608" s="118"/>
      <c r="I1608" s="120">
        <v>13</v>
      </c>
      <c r="J1608" s="120"/>
      <c r="K1608" s="120"/>
      <c r="L1608" s="450">
        <f t="shared" si="117"/>
        <v>13</v>
      </c>
      <c r="M1608" s="134">
        <f t="shared" si="118"/>
        <v>33813</v>
      </c>
    </row>
    <row r="1609" spans="2:13" outlineLevel="3">
      <c r="B1609" s="116" t="s">
        <v>2745</v>
      </c>
      <c r="C1609" s="129" t="s">
        <v>2758</v>
      </c>
      <c r="D1609" s="154" t="s">
        <v>2759</v>
      </c>
      <c r="E1609" s="129" t="s">
        <v>890</v>
      </c>
      <c r="F1609" s="130"/>
      <c r="G1609" s="131">
        <v>57</v>
      </c>
      <c r="H1609" s="118"/>
      <c r="I1609" s="120">
        <v>23</v>
      </c>
      <c r="J1609" s="120"/>
      <c r="K1609" s="120"/>
      <c r="L1609" s="450">
        <f t="shared" si="117"/>
        <v>23</v>
      </c>
      <c r="M1609" s="134">
        <f t="shared" si="118"/>
        <v>1311</v>
      </c>
    </row>
    <row r="1610" spans="2:13" outlineLevel="3">
      <c r="B1610" s="116" t="s">
        <v>2745</v>
      </c>
      <c r="C1610" s="129" t="s">
        <v>2760</v>
      </c>
      <c r="D1610" s="154" t="s">
        <v>2761</v>
      </c>
      <c r="E1610" s="129" t="s">
        <v>890</v>
      </c>
      <c r="F1610" s="130"/>
      <c r="G1610" s="131">
        <v>125</v>
      </c>
      <c r="H1610" s="118"/>
      <c r="I1610" s="120">
        <v>5</v>
      </c>
      <c r="J1610" s="120"/>
      <c r="K1610" s="120"/>
      <c r="L1610" s="450">
        <f t="shared" si="117"/>
        <v>5</v>
      </c>
      <c r="M1610" s="134">
        <f t="shared" si="118"/>
        <v>625</v>
      </c>
    </row>
    <row r="1611" spans="2:13" outlineLevel="3">
      <c r="B1611" s="116" t="s">
        <v>2745</v>
      </c>
      <c r="C1611" s="129" t="s">
        <v>2762</v>
      </c>
      <c r="D1611" s="154" t="s">
        <v>2763</v>
      </c>
      <c r="E1611" s="129" t="s">
        <v>890</v>
      </c>
      <c r="F1611" s="130"/>
      <c r="G1611" s="131">
        <v>125</v>
      </c>
      <c r="H1611" s="118"/>
      <c r="I1611" s="120">
        <v>12</v>
      </c>
      <c r="J1611" s="120"/>
      <c r="K1611" s="120"/>
      <c r="L1611" s="450">
        <f t="shared" si="117"/>
        <v>12</v>
      </c>
      <c r="M1611" s="134">
        <f t="shared" si="118"/>
        <v>1500</v>
      </c>
    </row>
    <row r="1612" spans="2:13" outlineLevel="3">
      <c r="B1612" s="116" t="s">
        <v>2745</v>
      </c>
      <c r="C1612" s="129" t="s">
        <v>2764</v>
      </c>
      <c r="D1612" s="154" t="s">
        <v>2765</v>
      </c>
      <c r="E1612" s="129" t="s">
        <v>890</v>
      </c>
      <c r="F1612" s="130"/>
      <c r="G1612" s="131">
        <v>125</v>
      </c>
      <c r="H1612" s="118"/>
      <c r="I1612" s="120">
        <v>25</v>
      </c>
      <c r="J1612" s="120"/>
      <c r="K1612" s="120"/>
      <c r="L1612" s="450">
        <f t="shared" si="117"/>
        <v>25</v>
      </c>
      <c r="M1612" s="134">
        <f t="shared" si="118"/>
        <v>3125</v>
      </c>
    </row>
    <row r="1613" spans="2:13" outlineLevel="3">
      <c r="B1613" s="116" t="s">
        <v>2745</v>
      </c>
      <c r="C1613" s="129" t="s">
        <v>2766</v>
      </c>
      <c r="D1613" s="154" t="s">
        <v>2767</v>
      </c>
      <c r="E1613" s="129" t="s">
        <v>890</v>
      </c>
      <c r="F1613" s="130"/>
      <c r="G1613" s="131">
        <v>4804</v>
      </c>
      <c r="H1613" s="118"/>
      <c r="I1613" s="120"/>
      <c r="J1613" s="120"/>
      <c r="K1613" s="120">
        <v>6</v>
      </c>
      <c r="L1613" s="450">
        <f t="shared" si="117"/>
        <v>6</v>
      </c>
      <c r="M1613" s="134">
        <f t="shared" si="118"/>
        <v>28824</v>
      </c>
    </row>
    <row r="1614" spans="2:13" outlineLevel="2">
      <c r="B1614" s="116"/>
      <c r="C1614" s="129"/>
      <c r="D1614" s="154"/>
      <c r="E1614" s="129"/>
      <c r="F1614" s="130"/>
      <c r="G1614" s="131"/>
      <c r="H1614" s="118"/>
      <c r="I1614" s="120"/>
      <c r="J1614" s="120"/>
      <c r="K1614" s="120"/>
      <c r="L1614" s="450"/>
      <c r="M1614" s="134"/>
    </row>
    <row r="1615" spans="2:13" outlineLevel="1">
      <c r="B1615" s="116"/>
      <c r="C1615" s="123" t="s">
        <v>2768</v>
      </c>
      <c r="D1615" s="449" t="s">
        <v>2769</v>
      </c>
      <c r="E1615" s="118" t="s">
        <v>96</v>
      </c>
      <c r="F1615" s="262"/>
      <c r="G1615" s="116"/>
      <c r="H1615" s="118"/>
      <c r="I1615" s="120"/>
      <c r="J1615" s="120"/>
      <c r="K1615" s="120"/>
      <c r="L1615" s="121"/>
      <c r="M1615" s="263">
        <f>+M1616+M1638+M1643</f>
        <v>115817.12750979999</v>
      </c>
    </row>
    <row r="1616" spans="2:13" outlineLevel="2">
      <c r="B1616" s="116"/>
      <c r="C1616" s="126" t="s">
        <v>2770</v>
      </c>
      <c r="D1616" s="260" t="s">
        <v>2771</v>
      </c>
      <c r="E1616" s="118" t="s">
        <v>99</v>
      </c>
      <c r="F1616" s="161"/>
      <c r="G1616" s="456">
        <f>+SUM(G1617:G1624)</f>
        <v>819</v>
      </c>
      <c r="H1616" s="118"/>
      <c r="I1616" s="120"/>
      <c r="J1616" s="120"/>
      <c r="K1616" s="120"/>
      <c r="L1616" s="121"/>
      <c r="M1616" s="264">
        <f>SUM(M1617:M1636)</f>
        <v>74923.87750979999</v>
      </c>
    </row>
    <row r="1617" spans="2:13" s="171" customFormat="1" outlineLevel="3">
      <c r="B1617" s="166" t="s">
        <v>2509</v>
      </c>
      <c r="C1617" s="117" t="s">
        <v>2772</v>
      </c>
      <c r="D1617" s="451" t="s">
        <v>2773</v>
      </c>
      <c r="E1617" s="117" t="s">
        <v>1633</v>
      </c>
      <c r="F1617" s="142"/>
      <c r="G1617" s="167">
        <v>30</v>
      </c>
      <c r="H1617" s="168"/>
      <c r="I1617" s="169">
        <v>42</v>
      </c>
      <c r="J1617" s="169"/>
      <c r="K1617" s="169">
        <v>8.3000000000000007</v>
      </c>
      <c r="L1617" s="452">
        <f t="shared" ref="L1617:L1624" si="119">SUM(H1617:K1617)*0</f>
        <v>0</v>
      </c>
      <c r="M1617" s="143">
        <f t="shared" ref="M1617:M1624" si="120">+L1617*G1617</f>
        <v>0</v>
      </c>
    </row>
    <row r="1618" spans="2:13" s="171" customFormat="1" outlineLevel="3">
      <c r="B1618" s="166" t="s">
        <v>2509</v>
      </c>
      <c r="C1618" s="117" t="s">
        <v>2774</v>
      </c>
      <c r="D1618" s="451" t="s">
        <v>2775</v>
      </c>
      <c r="E1618" s="117" t="s">
        <v>1633</v>
      </c>
      <c r="F1618" s="142"/>
      <c r="G1618" s="167">
        <v>28</v>
      </c>
      <c r="H1618" s="168"/>
      <c r="I1618" s="169">
        <v>42</v>
      </c>
      <c r="J1618" s="169"/>
      <c r="K1618" s="169">
        <v>8.3000000000000007</v>
      </c>
      <c r="L1618" s="452">
        <f t="shared" si="119"/>
        <v>0</v>
      </c>
      <c r="M1618" s="143">
        <f t="shared" si="120"/>
        <v>0</v>
      </c>
    </row>
    <row r="1619" spans="2:13" s="171" customFormat="1" outlineLevel="3">
      <c r="B1619" s="166" t="s">
        <v>2509</v>
      </c>
      <c r="C1619" s="117" t="s">
        <v>2776</v>
      </c>
      <c r="D1619" s="451" t="s">
        <v>2777</v>
      </c>
      <c r="E1619" s="117" t="s">
        <v>1633</v>
      </c>
      <c r="F1619" s="142"/>
      <c r="G1619" s="167">
        <v>55</v>
      </c>
      <c r="H1619" s="168"/>
      <c r="I1619" s="169">
        <v>42</v>
      </c>
      <c r="J1619" s="169"/>
      <c r="K1619" s="169">
        <v>8.3000000000000007</v>
      </c>
      <c r="L1619" s="452">
        <f t="shared" si="119"/>
        <v>0</v>
      </c>
      <c r="M1619" s="143">
        <f t="shared" si="120"/>
        <v>0</v>
      </c>
    </row>
    <row r="1620" spans="2:13" s="171" customFormat="1" outlineLevel="3">
      <c r="B1620" s="166" t="s">
        <v>2509</v>
      </c>
      <c r="C1620" s="117" t="s">
        <v>2778</v>
      </c>
      <c r="D1620" s="451" t="s">
        <v>2779</v>
      </c>
      <c r="E1620" s="117" t="s">
        <v>1633</v>
      </c>
      <c r="F1620" s="142"/>
      <c r="G1620" s="167">
        <v>30</v>
      </c>
      <c r="H1620" s="168"/>
      <c r="I1620" s="169">
        <v>42</v>
      </c>
      <c r="J1620" s="169"/>
      <c r="K1620" s="169">
        <v>5.04</v>
      </c>
      <c r="L1620" s="452">
        <f t="shared" si="119"/>
        <v>0</v>
      </c>
      <c r="M1620" s="143">
        <f t="shared" si="120"/>
        <v>0</v>
      </c>
    </row>
    <row r="1621" spans="2:13" s="171" customFormat="1" outlineLevel="3">
      <c r="B1621" s="166" t="s">
        <v>2509</v>
      </c>
      <c r="C1621" s="117" t="s">
        <v>2780</v>
      </c>
      <c r="D1621" s="451" t="s">
        <v>2781</v>
      </c>
      <c r="E1621" s="117" t="s">
        <v>1633</v>
      </c>
      <c r="F1621" s="142"/>
      <c r="G1621" s="167">
        <v>5</v>
      </c>
      <c r="H1621" s="168"/>
      <c r="I1621" s="169">
        <v>42</v>
      </c>
      <c r="J1621" s="169"/>
      <c r="K1621" s="169">
        <v>5.04</v>
      </c>
      <c r="L1621" s="452">
        <f t="shared" si="119"/>
        <v>0</v>
      </c>
      <c r="M1621" s="143">
        <f t="shared" si="120"/>
        <v>0</v>
      </c>
    </row>
    <row r="1622" spans="2:13" s="171" customFormat="1" outlineLevel="3">
      <c r="B1622" s="166" t="s">
        <v>2509</v>
      </c>
      <c r="C1622" s="117" t="s">
        <v>2782</v>
      </c>
      <c r="D1622" s="451" t="s">
        <v>2783</v>
      </c>
      <c r="E1622" s="117" t="s">
        <v>1633</v>
      </c>
      <c r="F1622" s="142"/>
      <c r="G1622" s="167">
        <v>305</v>
      </c>
      <c r="H1622" s="168"/>
      <c r="I1622" s="169">
        <v>42</v>
      </c>
      <c r="J1622" s="169"/>
      <c r="K1622" s="169">
        <v>5.04</v>
      </c>
      <c r="L1622" s="452">
        <f t="shared" si="119"/>
        <v>0</v>
      </c>
      <c r="M1622" s="143">
        <f t="shared" si="120"/>
        <v>0</v>
      </c>
    </row>
    <row r="1623" spans="2:13" s="171" customFormat="1" outlineLevel="3">
      <c r="B1623" s="166" t="s">
        <v>2509</v>
      </c>
      <c r="C1623" s="117" t="s">
        <v>2784</v>
      </c>
      <c r="D1623" s="451" t="s">
        <v>2785</v>
      </c>
      <c r="E1623" s="117" t="s">
        <v>1633</v>
      </c>
      <c r="F1623" s="142"/>
      <c r="G1623" s="167">
        <v>255</v>
      </c>
      <c r="H1623" s="168"/>
      <c r="I1623" s="169">
        <v>42</v>
      </c>
      <c r="J1623" s="169"/>
      <c r="K1623" s="169">
        <v>3.68</v>
      </c>
      <c r="L1623" s="452">
        <f t="shared" si="119"/>
        <v>0</v>
      </c>
      <c r="M1623" s="143">
        <f t="shared" si="120"/>
        <v>0</v>
      </c>
    </row>
    <row r="1624" spans="2:13" s="171" customFormat="1" outlineLevel="3">
      <c r="B1624" s="166" t="s">
        <v>2509</v>
      </c>
      <c r="C1624" s="117" t="s">
        <v>2786</v>
      </c>
      <c r="D1624" s="451" t="s">
        <v>2787</v>
      </c>
      <c r="E1624" s="117" t="s">
        <v>1633</v>
      </c>
      <c r="F1624" s="142"/>
      <c r="G1624" s="167">
        <v>111</v>
      </c>
      <c r="H1624" s="168"/>
      <c r="I1624" s="169">
        <v>42</v>
      </c>
      <c r="J1624" s="169"/>
      <c r="K1624" s="169">
        <v>8.3000000000000007</v>
      </c>
      <c r="L1624" s="452">
        <f t="shared" si="119"/>
        <v>0</v>
      </c>
      <c r="M1624" s="143">
        <f t="shared" si="120"/>
        <v>0</v>
      </c>
    </row>
    <row r="1625" spans="2:13" outlineLevel="3">
      <c r="B1625" s="116"/>
      <c r="C1625" s="129"/>
      <c r="D1625" s="457" t="s">
        <v>2788</v>
      </c>
      <c r="E1625" s="129"/>
      <c r="F1625" s="130"/>
      <c r="G1625" s="456">
        <f>+SUM(G1626:G1636)</f>
        <v>9706.0600000000013</v>
      </c>
      <c r="H1625" s="118"/>
      <c r="I1625" s="120"/>
      <c r="J1625" s="120"/>
      <c r="K1625" s="120"/>
      <c r="L1625" s="450">
        <v>0</v>
      </c>
      <c r="M1625" s="134">
        <v>0</v>
      </c>
    </row>
    <row r="1626" spans="2:13" outlineLevel="3">
      <c r="B1626" s="116" t="s">
        <v>2509</v>
      </c>
      <c r="C1626" s="129"/>
      <c r="D1626" s="154" t="s">
        <v>2789</v>
      </c>
      <c r="E1626" s="129" t="s">
        <v>550</v>
      </c>
      <c r="F1626" s="130"/>
      <c r="G1626" s="131">
        <v>70</v>
      </c>
      <c r="H1626" s="118"/>
      <c r="I1626" s="120">
        <v>54.418280000000003</v>
      </c>
      <c r="J1626" s="120"/>
      <c r="K1626" s="120"/>
      <c r="L1626" s="450">
        <v>54.418280000000003</v>
      </c>
      <c r="M1626" s="134">
        <v>3809.2796000000003</v>
      </c>
    </row>
    <row r="1627" spans="2:13" outlineLevel="3">
      <c r="B1627" s="116" t="s">
        <v>2509</v>
      </c>
      <c r="C1627" s="129"/>
      <c r="D1627" s="154" t="s">
        <v>2790</v>
      </c>
      <c r="E1627" s="129" t="s">
        <v>550</v>
      </c>
      <c r="F1627" s="130"/>
      <c r="G1627" s="131">
        <v>380</v>
      </c>
      <c r="H1627" s="118"/>
      <c r="I1627" s="120">
        <v>20.757119999999997</v>
      </c>
      <c r="J1627" s="120"/>
      <c r="K1627" s="120"/>
      <c r="L1627" s="450">
        <v>20.757119999999997</v>
      </c>
      <c r="M1627" s="134">
        <v>7887.7055999999984</v>
      </c>
    </row>
    <row r="1628" spans="2:13" outlineLevel="3">
      <c r="B1628" s="116" t="s">
        <v>2509</v>
      </c>
      <c r="C1628" s="129"/>
      <c r="D1628" s="154" t="s">
        <v>2791</v>
      </c>
      <c r="E1628" s="129" t="s">
        <v>550</v>
      </c>
      <c r="F1628" s="130"/>
      <c r="G1628" s="131">
        <v>125</v>
      </c>
      <c r="H1628" s="118"/>
      <c r="I1628" s="120">
        <v>54.418280000000003</v>
      </c>
      <c r="J1628" s="120"/>
      <c r="K1628" s="120"/>
      <c r="L1628" s="450">
        <v>54.418280000000003</v>
      </c>
      <c r="M1628" s="134">
        <v>6802.2850000000008</v>
      </c>
    </row>
    <row r="1629" spans="2:13" outlineLevel="3">
      <c r="B1629" s="116" t="s">
        <v>2509</v>
      </c>
      <c r="C1629" s="129"/>
      <c r="D1629" s="154" t="s">
        <v>2792</v>
      </c>
      <c r="E1629" s="129" t="s">
        <v>550</v>
      </c>
      <c r="F1629" s="130"/>
      <c r="G1629" s="131">
        <v>100</v>
      </c>
      <c r="H1629" s="118"/>
      <c r="I1629" s="120">
        <v>38.957599999999999</v>
      </c>
      <c r="J1629" s="120"/>
      <c r="K1629" s="120"/>
      <c r="L1629" s="450">
        <v>38.957599999999999</v>
      </c>
      <c r="M1629" s="134">
        <v>3895.7599999999998</v>
      </c>
    </row>
    <row r="1630" spans="2:13" outlineLevel="3">
      <c r="B1630" s="116" t="s">
        <v>2509</v>
      </c>
      <c r="C1630" s="129"/>
      <c r="D1630" s="154" t="s">
        <v>2793</v>
      </c>
      <c r="E1630" s="129" t="s">
        <v>550</v>
      </c>
      <c r="F1630" s="130"/>
      <c r="G1630" s="131">
        <v>140</v>
      </c>
      <c r="H1630" s="118"/>
      <c r="I1630" s="120">
        <v>20.757119999999997</v>
      </c>
      <c r="J1630" s="120"/>
      <c r="K1630" s="120"/>
      <c r="L1630" s="450">
        <v>20.757119999999997</v>
      </c>
      <c r="M1630" s="134">
        <v>2905.9967999999994</v>
      </c>
    </row>
    <row r="1631" spans="2:13" outlineLevel="3">
      <c r="B1631" s="116" t="s">
        <v>2509</v>
      </c>
      <c r="C1631" s="129"/>
      <c r="D1631" s="154" t="s">
        <v>2794</v>
      </c>
      <c r="E1631" s="129" t="s">
        <v>550</v>
      </c>
      <c r="F1631" s="130"/>
      <c r="G1631" s="131">
        <v>10</v>
      </c>
      <c r="H1631" s="118"/>
      <c r="I1631" s="120">
        <v>14.630379999999999</v>
      </c>
      <c r="J1631" s="120"/>
      <c r="K1631" s="120"/>
      <c r="L1631" s="450">
        <v>14.630379999999999</v>
      </c>
      <c r="M1631" s="134">
        <v>146.3038</v>
      </c>
    </row>
    <row r="1632" spans="2:13" outlineLevel="3">
      <c r="B1632" s="116" t="s">
        <v>2509</v>
      </c>
      <c r="C1632" s="129"/>
      <c r="D1632" s="154" t="s">
        <v>2795</v>
      </c>
      <c r="E1632" s="129" t="s">
        <v>550</v>
      </c>
      <c r="F1632" s="130"/>
      <c r="G1632" s="131">
        <v>39.79</v>
      </c>
      <c r="H1632" s="118"/>
      <c r="I1632" s="120">
        <v>9.1739599999999992</v>
      </c>
      <c r="J1632" s="120"/>
      <c r="K1632" s="120"/>
      <c r="L1632" s="450">
        <v>9.1739599999999992</v>
      </c>
      <c r="M1632" s="134">
        <v>365.03186839999995</v>
      </c>
    </row>
    <row r="1633" spans="2:13" outlineLevel="3">
      <c r="B1633" s="116" t="s">
        <v>2509</v>
      </c>
      <c r="C1633" s="129"/>
      <c r="D1633" s="154" t="s">
        <v>2796</v>
      </c>
      <c r="E1633" s="129" t="s">
        <v>550</v>
      </c>
      <c r="F1633" s="130"/>
      <c r="G1633" s="131">
        <v>7703</v>
      </c>
      <c r="H1633" s="118"/>
      <c r="I1633" s="120">
        <v>6.0450399999999993</v>
      </c>
      <c r="J1633" s="120"/>
      <c r="K1633" s="120"/>
      <c r="L1633" s="450">
        <v>6.0450399999999993</v>
      </c>
      <c r="M1633" s="134">
        <v>46564.943119999996</v>
      </c>
    </row>
    <row r="1634" spans="2:13" outlineLevel="3">
      <c r="B1634" s="116" t="s">
        <v>2509</v>
      </c>
      <c r="C1634" s="129"/>
      <c r="D1634" s="154" t="s">
        <v>2797</v>
      </c>
      <c r="E1634" s="129" t="s">
        <v>550</v>
      </c>
      <c r="F1634" s="130"/>
      <c r="G1634" s="131">
        <v>205.69</v>
      </c>
      <c r="H1634" s="118"/>
      <c r="I1634" s="120">
        <v>3.5594599999999996</v>
      </c>
      <c r="J1634" s="120"/>
      <c r="K1634" s="120"/>
      <c r="L1634" s="450">
        <v>3.5594599999999996</v>
      </c>
      <c r="M1634" s="134">
        <v>732.14532739999993</v>
      </c>
    </row>
    <row r="1635" spans="2:13" outlineLevel="3">
      <c r="B1635" s="116" t="s">
        <v>2509</v>
      </c>
      <c r="C1635" s="129"/>
      <c r="D1635" s="154" t="s">
        <v>2798</v>
      </c>
      <c r="E1635" s="129" t="s">
        <v>550</v>
      </c>
      <c r="F1635" s="130"/>
      <c r="G1635" s="131">
        <v>404.58</v>
      </c>
      <c r="H1635" s="118"/>
      <c r="I1635" s="120">
        <v>2.4073000000000002</v>
      </c>
      <c r="J1635" s="120"/>
      <c r="K1635" s="120"/>
      <c r="L1635" s="450">
        <v>2.4073000000000002</v>
      </c>
      <c r="M1635" s="134">
        <v>973.94543400000009</v>
      </c>
    </row>
    <row r="1636" spans="2:13" outlineLevel="3">
      <c r="B1636" s="116" t="s">
        <v>2509</v>
      </c>
      <c r="C1636" s="129"/>
      <c r="D1636" s="154" t="s">
        <v>2799</v>
      </c>
      <c r="E1636" s="129" t="s">
        <v>550</v>
      </c>
      <c r="F1636" s="130"/>
      <c r="G1636" s="131">
        <v>528</v>
      </c>
      <c r="H1636" s="118"/>
      <c r="I1636" s="120">
        <v>1.59182</v>
      </c>
      <c r="J1636" s="120"/>
      <c r="K1636" s="120"/>
      <c r="L1636" s="450">
        <v>1.59182</v>
      </c>
      <c r="M1636" s="134">
        <v>840.48095999999998</v>
      </c>
    </row>
    <row r="1637" spans="2:13" outlineLevel="3">
      <c r="B1637" s="116"/>
      <c r="C1637" s="129"/>
      <c r="D1637" s="154"/>
      <c r="E1637" s="129"/>
      <c r="F1637" s="130"/>
      <c r="G1637" s="131"/>
      <c r="H1637" s="118"/>
      <c r="I1637" s="120"/>
      <c r="J1637" s="120"/>
      <c r="K1637" s="120"/>
      <c r="L1637" s="450"/>
      <c r="M1637" s="134"/>
    </row>
    <row r="1638" spans="2:13" outlineLevel="2">
      <c r="B1638" s="116"/>
      <c r="C1638" s="126" t="s">
        <v>2800</v>
      </c>
      <c r="D1638" s="260" t="s">
        <v>2801</v>
      </c>
      <c r="E1638" s="118" t="s">
        <v>99</v>
      </c>
      <c r="F1638" s="161"/>
      <c r="G1638" s="116"/>
      <c r="H1638" s="118"/>
      <c r="I1638" s="120"/>
      <c r="J1638" s="120"/>
      <c r="K1638" s="120"/>
      <c r="L1638" s="121"/>
      <c r="M1638" s="264">
        <f>SUM(M1639:M1642)</f>
        <v>18643.25</v>
      </c>
    </row>
    <row r="1639" spans="2:13" outlineLevel="3">
      <c r="B1639" s="116" t="s">
        <v>2361</v>
      </c>
      <c r="C1639" s="129" t="s">
        <v>2802</v>
      </c>
      <c r="D1639" s="154" t="s">
        <v>2803</v>
      </c>
      <c r="E1639" s="129" t="s">
        <v>890</v>
      </c>
      <c r="F1639" s="130"/>
      <c r="G1639" s="131">
        <v>3</v>
      </c>
      <c r="H1639" s="118"/>
      <c r="I1639" s="120"/>
      <c r="J1639" s="120"/>
      <c r="K1639" s="120">
        <v>1658.85</v>
      </c>
      <c r="L1639" s="450">
        <f>SUM(H1639:K1639)</f>
        <v>1658.85</v>
      </c>
      <c r="M1639" s="134">
        <f>+L1639*G1639</f>
        <v>4976.5499999999993</v>
      </c>
    </row>
    <row r="1640" spans="2:13" outlineLevel="3">
      <c r="B1640" s="116" t="s">
        <v>2361</v>
      </c>
      <c r="C1640" s="129" t="s">
        <v>2804</v>
      </c>
      <c r="D1640" s="154" t="s">
        <v>2805</v>
      </c>
      <c r="E1640" s="129" t="s">
        <v>890</v>
      </c>
      <c r="F1640" s="130"/>
      <c r="G1640" s="131">
        <v>2</v>
      </c>
      <c r="H1640" s="118"/>
      <c r="I1640" s="120"/>
      <c r="J1640" s="120"/>
      <c r="K1640" s="120">
        <v>1658.85</v>
      </c>
      <c r="L1640" s="450">
        <f>SUM(H1640:K1640)</f>
        <v>1658.85</v>
      </c>
      <c r="M1640" s="134">
        <f>+L1640*G1640</f>
        <v>3317.7</v>
      </c>
    </row>
    <row r="1641" spans="2:13" outlineLevel="3">
      <c r="B1641" s="116" t="s">
        <v>2361</v>
      </c>
      <c r="C1641" s="129" t="s">
        <v>2806</v>
      </c>
      <c r="D1641" s="154" t="s">
        <v>2807</v>
      </c>
      <c r="E1641" s="129" t="s">
        <v>890</v>
      </c>
      <c r="F1641" s="130"/>
      <c r="G1641" s="131">
        <v>30</v>
      </c>
      <c r="H1641" s="118"/>
      <c r="I1641" s="120"/>
      <c r="J1641" s="120"/>
      <c r="K1641" s="120">
        <v>250</v>
      </c>
      <c r="L1641" s="450">
        <f>SUM(H1641:K1641)</f>
        <v>250</v>
      </c>
      <c r="M1641" s="134">
        <f>+L1641*G1641</f>
        <v>7500</v>
      </c>
    </row>
    <row r="1642" spans="2:13" outlineLevel="3">
      <c r="B1642" s="116" t="s">
        <v>2361</v>
      </c>
      <c r="C1642" s="129" t="s">
        <v>2808</v>
      </c>
      <c r="D1642" s="154" t="s">
        <v>2809</v>
      </c>
      <c r="E1642" s="129" t="s">
        <v>890</v>
      </c>
      <c r="F1642" s="130"/>
      <c r="G1642" s="131">
        <v>11</v>
      </c>
      <c r="H1642" s="118"/>
      <c r="I1642" s="120"/>
      <c r="J1642" s="120"/>
      <c r="K1642" s="120">
        <v>259</v>
      </c>
      <c r="L1642" s="450">
        <f>SUM(H1642:K1642)</f>
        <v>259</v>
      </c>
      <c r="M1642" s="134">
        <f>+L1642*G1642</f>
        <v>2849</v>
      </c>
    </row>
    <row r="1643" spans="2:13" outlineLevel="2">
      <c r="B1643" s="116"/>
      <c r="C1643" s="126" t="s">
        <v>2810</v>
      </c>
      <c r="D1643" s="260" t="s">
        <v>2811</v>
      </c>
      <c r="E1643" s="118" t="s">
        <v>99</v>
      </c>
      <c r="F1643" s="161"/>
      <c r="G1643" s="116"/>
      <c r="H1643" s="118"/>
      <c r="I1643" s="120"/>
      <c r="J1643" s="120"/>
      <c r="K1643" s="120"/>
      <c r="L1643" s="121"/>
      <c r="M1643" s="264">
        <f>SUM(M1644:M1646)</f>
        <v>22250</v>
      </c>
    </row>
    <row r="1644" spans="2:13" outlineLevel="3">
      <c r="B1644" s="116" t="s">
        <v>2361</v>
      </c>
      <c r="C1644" s="129" t="s">
        <v>2812</v>
      </c>
      <c r="D1644" s="154" t="s">
        <v>2813</v>
      </c>
      <c r="E1644" s="129" t="s">
        <v>890</v>
      </c>
      <c r="F1644" s="130"/>
      <c r="G1644" s="131">
        <v>125</v>
      </c>
      <c r="H1644" s="118"/>
      <c r="I1644" s="120"/>
      <c r="J1644" s="120"/>
      <c r="K1644" s="120">
        <v>150</v>
      </c>
      <c r="L1644" s="450">
        <f>SUM(H1644:K1644)</f>
        <v>150</v>
      </c>
      <c r="M1644" s="134">
        <f>+L1644*G1644</f>
        <v>18750</v>
      </c>
    </row>
    <row r="1645" spans="2:13" outlineLevel="3">
      <c r="B1645" s="116" t="s">
        <v>2361</v>
      </c>
      <c r="C1645" s="129" t="s">
        <v>2814</v>
      </c>
      <c r="D1645" s="154" t="s">
        <v>2815</v>
      </c>
      <c r="E1645" s="129" t="s">
        <v>890</v>
      </c>
      <c r="F1645" s="130"/>
      <c r="G1645" s="131">
        <v>5</v>
      </c>
      <c r="H1645" s="118"/>
      <c r="I1645" s="120"/>
      <c r="J1645" s="120"/>
      <c r="K1645" s="120">
        <v>350</v>
      </c>
      <c r="L1645" s="450">
        <f>SUM(H1645:K1645)</f>
        <v>350</v>
      </c>
      <c r="M1645" s="134">
        <f>+L1645*G1645</f>
        <v>1750</v>
      </c>
    </row>
    <row r="1646" spans="2:13" outlineLevel="3">
      <c r="B1646" s="116" t="s">
        <v>2361</v>
      </c>
      <c r="C1646" s="129" t="s">
        <v>2816</v>
      </c>
      <c r="D1646" s="154" t="s">
        <v>2817</v>
      </c>
      <c r="E1646" s="129" t="s">
        <v>890</v>
      </c>
      <c r="F1646" s="130"/>
      <c r="G1646" s="131">
        <v>7</v>
      </c>
      <c r="H1646" s="118"/>
      <c r="I1646" s="120"/>
      <c r="J1646" s="120"/>
      <c r="K1646" s="120">
        <v>250</v>
      </c>
      <c r="L1646" s="450">
        <f>SUM(H1646:K1646)</f>
        <v>250</v>
      </c>
      <c r="M1646" s="134">
        <f>+L1646*G1646</f>
        <v>1750</v>
      </c>
    </row>
    <row r="1647" spans="2:13" outlineLevel="2">
      <c r="B1647" s="116"/>
      <c r="C1647" s="129"/>
      <c r="D1647" s="154"/>
      <c r="E1647" s="129"/>
      <c r="F1647" s="130"/>
      <c r="G1647" s="131"/>
      <c r="H1647" s="118"/>
      <c r="I1647" s="120"/>
      <c r="J1647" s="120"/>
      <c r="K1647" s="120"/>
      <c r="L1647" s="450"/>
      <c r="M1647" s="134"/>
    </row>
    <row r="1648" spans="2:13" outlineLevel="1">
      <c r="B1648" s="116"/>
      <c r="C1648" s="123" t="s">
        <v>2818</v>
      </c>
      <c r="D1648" s="449" t="s">
        <v>2819</v>
      </c>
      <c r="E1648" s="118" t="s">
        <v>96</v>
      </c>
      <c r="F1648" s="262"/>
      <c r="G1648" s="116"/>
      <c r="H1648" s="118"/>
      <c r="I1648" s="120"/>
      <c r="J1648" s="120"/>
      <c r="K1648" s="120"/>
      <c r="L1648" s="121"/>
      <c r="M1648" s="263">
        <f>+M1649+M1665+M1673+M1681+M1683+M1685+M1687+M1689+M1691</f>
        <v>199960.55325300721</v>
      </c>
    </row>
    <row r="1649" spans="2:13" outlineLevel="2">
      <c r="B1649" s="116"/>
      <c r="C1649" s="126" t="s">
        <v>2820</v>
      </c>
      <c r="D1649" s="260" t="s">
        <v>2821</v>
      </c>
      <c r="E1649" s="118" t="s">
        <v>99</v>
      </c>
      <c r="F1649" s="161"/>
      <c r="G1649" s="116"/>
      <c r="H1649" s="118"/>
      <c r="I1649" s="120"/>
      <c r="J1649" s="120"/>
      <c r="K1649" s="120"/>
      <c r="L1649" s="121"/>
      <c r="M1649" s="264">
        <f>SUM(M1650:M1664)</f>
        <v>101552.13963999998</v>
      </c>
    </row>
    <row r="1650" spans="2:13" outlineLevel="3">
      <c r="B1650" s="116" t="s">
        <v>2361</v>
      </c>
      <c r="C1650" s="129" t="s">
        <v>2822</v>
      </c>
      <c r="D1650" s="154" t="s">
        <v>2823</v>
      </c>
      <c r="E1650" s="129" t="s">
        <v>2364</v>
      </c>
      <c r="F1650" s="130"/>
      <c r="G1650" s="131">
        <v>266</v>
      </c>
      <c r="H1650" s="118"/>
      <c r="I1650" s="120">
        <v>23.708400000000001</v>
      </c>
      <c r="J1650" s="120"/>
      <c r="K1650" s="120">
        <v>28.6</v>
      </c>
      <c r="L1650" s="450">
        <f t="shared" ref="L1650:L1664" si="121">SUM(H1650:K1650)</f>
        <v>52.308400000000006</v>
      </c>
      <c r="M1650" s="134">
        <f t="shared" ref="M1650:M1664" si="122">+L1650*G1650</f>
        <v>13914.034400000002</v>
      </c>
    </row>
    <row r="1651" spans="2:13" outlineLevel="3">
      <c r="B1651" s="116" t="s">
        <v>2361</v>
      </c>
      <c r="C1651" s="129" t="s">
        <v>2824</v>
      </c>
      <c r="D1651" s="154" t="s">
        <v>2825</v>
      </c>
      <c r="E1651" s="129" t="s">
        <v>2364</v>
      </c>
      <c r="F1651" s="130"/>
      <c r="G1651" s="131">
        <v>528</v>
      </c>
      <c r="H1651" s="118"/>
      <c r="I1651" s="120">
        <v>46</v>
      </c>
      <c r="J1651" s="120"/>
      <c r="K1651" s="120">
        <v>28.6</v>
      </c>
      <c r="L1651" s="450">
        <f t="shared" si="121"/>
        <v>74.599999999999994</v>
      </c>
      <c r="M1651" s="134">
        <f t="shared" si="122"/>
        <v>39388.799999999996</v>
      </c>
    </row>
    <row r="1652" spans="2:13" outlineLevel="3">
      <c r="B1652" s="116" t="s">
        <v>2361</v>
      </c>
      <c r="C1652" s="129" t="s">
        <v>2826</v>
      </c>
      <c r="D1652" s="154" t="s">
        <v>2827</v>
      </c>
      <c r="E1652" s="129" t="s">
        <v>2364</v>
      </c>
      <c r="F1652" s="130"/>
      <c r="G1652" s="131">
        <v>139</v>
      </c>
      <c r="H1652" s="118"/>
      <c r="I1652" s="120">
        <v>23.708400000000001</v>
      </c>
      <c r="J1652" s="120"/>
      <c r="K1652" s="120">
        <v>28.6</v>
      </c>
      <c r="L1652" s="450">
        <f t="shared" si="121"/>
        <v>52.308400000000006</v>
      </c>
      <c r="M1652" s="134">
        <f t="shared" si="122"/>
        <v>7270.8676000000005</v>
      </c>
    </row>
    <row r="1653" spans="2:13" outlineLevel="3">
      <c r="B1653" s="116" t="s">
        <v>2361</v>
      </c>
      <c r="C1653" s="129" t="s">
        <v>2828</v>
      </c>
      <c r="D1653" s="154" t="s">
        <v>2829</v>
      </c>
      <c r="E1653" s="129" t="s">
        <v>2364</v>
      </c>
      <c r="F1653" s="130"/>
      <c r="G1653" s="131">
        <v>1</v>
      </c>
      <c r="H1653" s="118"/>
      <c r="I1653" s="120">
        <v>23.708400000000001</v>
      </c>
      <c r="J1653" s="120"/>
      <c r="K1653" s="120">
        <v>28.6</v>
      </c>
      <c r="L1653" s="450">
        <f t="shared" si="121"/>
        <v>52.308400000000006</v>
      </c>
      <c r="M1653" s="134">
        <f t="shared" si="122"/>
        <v>52.308400000000006</v>
      </c>
    </row>
    <row r="1654" spans="2:13" outlineLevel="3">
      <c r="B1654" s="116" t="s">
        <v>2361</v>
      </c>
      <c r="C1654" s="129" t="s">
        <v>2830</v>
      </c>
      <c r="D1654" s="154" t="s">
        <v>2831</v>
      </c>
      <c r="E1654" s="129" t="s">
        <v>2364</v>
      </c>
      <c r="F1654" s="130"/>
      <c r="G1654" s="131">
        <v>1</v>
      </c>
      <c r="H1654" s="118"/>
      <c r="I1654" s="120">
        <v>46</v>
      </c>
      <c r="J1654" s="120"/>
      <c r="K1654" s="120">
        <v>28.6</v>
      </c>
      <c r="L1654" s="450">
        <f t="shared" si="121"/>
        <v>74.599999999999994</v>
      </c>
      <c r="M1654" s="134">
        <f t="shared" si="122"/>
        <v>74.599999999999994</v>
      </c>
    </row>
    <row r="1655" spans="2:13" outlineLevel="3">
      <c r="B1655" s="116" t="s">
        <v>2361</v>
      </c>
      <c r="C1655" s="129" t="s">
        <v>2832</v>
      </c>
      <c r="D1655" s="154" t="s">
        <v>2833</v>
      </c>
      <c r="E1655" s="129" t="s">
        <v>2364</v>
      </c>
      <c r="F1655" s="130"/>
      <c r="G1655" s="131">
        <v>24</v>
      </c>
      <c r="H1655" s="118"/>
      <c r="I1655" s="120">
        <v>46</v>
      </c>
      <c r="J1655" s="120"/>
      <c r="K1655" s="120">
        <v>28.6</v>
      </c>
      <c r="L1655" s="450">
        <f t="shared" si="121"/>
        <v>74.599999999999994</v>
      </c>
      <c r="M1655" s="134">
        <f t="shared" si="122"/>
        <v>1790.3999999999999</v>
      </c>
    </row>
    <row r="1656" spans="2:13" outlineLevel="3">
      <c r="B1656" s="116" t="s">
        <v>2361</v>
      </c>
      <c r="C1656" s="129" t="s">
        <v>2834</v>
      </c>
      <c r="D1656" s="154" t="s">
        <v>2835</v>
      </c>
      <c r="E1656" s="129" t="s">
        <v>2364</v>
      </c>
      <c r="F1656" s="130"/>
      <c r="G1656" s="131">
        <v>125</v>
      </c>
      <c r="H1656" s="118"/>
      <c r="I1656" s="120">
        <v>46</v>
      </c>
      <c r="J1656" s="120"/>
      <c r="K1656" s="120">
        <v>28.6</v>
      </c>
      <c r="L1656" s="450">
        <f t="shared" si="121"/>
        <v>74.599999999999994</v>
      </c>
      <c r="M1656" s="134">
        <f t="shared" si="122"/>
        <v>9325</v>
      </c>
    </row>
    <row r="1657" spans="2:13" outlineLevel="3">
      <c r="B1657" s="116" t="s">
        <v>2361</v>
      </c>
      <c r="C1657" s="129" t="s">
        <v>2836</v>
      </c>
      <c r="D1657" s="154" t="s">
        <v>2837</v>
      </c>
      <c r="E1657" s="129" t="s">
        <v>2364</v>
      </c>
      <c r="F1657" s="130"/>
      <c r="G1657" s="131">
        <v>49</v>
      </c>
      <c r="H1657" s="118"/>
      <c r="I1657" s="120">
        <v>46</v>
      </c>
      <c r="J1657" s="120"/>
      <c r="K1657" s="120">
        <v>28.6</v>
      </c>
      <c r="L1657" s="450">
        <f t="shared" si="121"/>
        <v>74.599999999999994</v>
      </c>
      <c r="M1657" s="134">
        <f t="shared" si="122"/>
        <v>3655.3999999999996</v>
      </c>
    </row>
    <row r="1658" spans="2:13" outlineLevel="3">
      <c r="B1658" s="116" t="s">
        <v>2361</v>
      </c>
      <c r="C1658" s="129" t="s">
        <v>2838</v>
      </c>
      <c r="D1658" s="154" t="s">
        <v>2839</v>
      </c>
      <c r="E1658" s="129" t="s">
        <v>2364</v>
      </c>
      <c r="F1658" s="130"/>
      <c r="G1658" s="131">
        <v>5</v>
      </c>
      <c r="H1658" s="118"/>
      <c r="I1658" s="120">
        <v>25.966919999999998</v>
      </c>
      <c r="J1658" s="120"/>
      <c r="K1658" s="120">
        <v>28.6</v>
      </c>
      <c r="L1658" s="450">
        <f t="shared" si="121"/>
        <v>54.566919999999996</v>
      </c>
      <c r="M1658" s="134">
        <f t="shared" si="122"/>
        <v>272.83459999999997</v>
      </c>
    </row>
    <row r="1659" spans="2:13" outlineLevel="3">
      <c r="B1659" s="116" t="s">
        <v>2361</v>
      </c>
      <c r="C1659" s="129" t="s">
        <v>2840</v>
      </c>
      <c r="D1659" s="154" t="s">
        <v>2841</v>
      </c>
      <c r="E1659" s="129" t="s">
        <v>2364</v>
      </c>
      <c r="F1659" s="130"/>
      <c r="G1659" s="131">
        <v>324</v>
      </c>
      <c r="H1659" s="118"/>
      <c r="I1659" s="120">
        <v>25.966919999999998</v>
      </c>
      <c r="J1659" s="120"/>
      <c r="K1659" s="120">
        <v>28.6</v>
      </c>
      <c r="L1659" s="450">
        <f t="shared" si="121"/>
        <v>54.566919999999996</v>
      </c>
      <c r="M1659" s="134">
        <f t="shared" si="122"/>
        <v>17679.682079999999</v>
      </c>
    </row>
    <row r="1660" spans="2:13" outlineLevel="3">
      <c r="B1660" s="116" t="s">
        <v>2361</v>
      </c>
      <c r="C1660" s="129" t="s">
        <v>2842</v>
      </c>
      <c r="D1660" s="154" t="s">
        <v>2843</v>
      </c>
      <c r="E1660" s="129" t="s">
        <v>2364</v>
      </c>
      <c r="F1660" s="130"/>
      <c r="G1660" s="131">
        <v>126</v>
      </c>
      <c r="H1660" s="118"/>
      <c r="I1660" s="120">
        <v>25.966919999999998</v>
      </c>
      <c r="J1660" s="120"/>
      <c r="K1660" s="120">
        <v>28.6</v>
      </c>
      <c r="L1660" s="450">
        <f t="shared" si="121"/>
        <v>54.566919999999996</v>
      </c>
      <c r="M1660" s="134">
        <f t="shared" si="122"/>
        <v>6875.4319199999991</v>
      </c>
    </row>
    <row r="1661" spans="2:13" outlineLevel="3">
      <c r="B1661" s="116" t="s">
        <v>2361</v>
      </c>
      <c r="C1661" s="129" t="s">
        <v>2844</v>
      </c>
      <c r="D1661" s="154" t="s">
        <v>2845</v>
      </c>
      <c r="E1661" s="129" t="s">
        <v>2364</v>
      </c>
      <c r="F1661" s="130"/>
      <c r="G1661" s="131">
        <v>2</v>
      </c>
      <c r="H1661" s="118"/>
      <c r="I1661" s="120">
        <v>25.966919999999998</v>
      </c>
      <c r="J1661" s="120"/>
      <c r="K1661" s="120">
        <v>28.6</v>
      </c>
      <c r="L1661" s="450">
        <f t="shared" si="121"/>
        <v>54.566919999999996</v>
      </c>
      <c r="M1661" s="134">
        <f t="shared" si="122"/>
        <v>109.13383999999999</v>
      </c>
    </row>
    <row r="1662" spans="2:13" outlineLevel="3">
      <c r="B1662" s="116" t="s">
        <v>2361</v>
      </c>
      <c r="C1662" s="129" t="s">
        <v>2846</v>
      </c>
      <c r="D1662" s="154" t="s">
        <v>2847</v>
      </c>
      <c r="E1662" s="129" t="s">
        <v>2364</v>
      </c>
      <c r="F1662" s="130"/>
      <c r="G1662" s="131">
        <v>19</v>
      </c>
      <c r="H1662" s="118"/>
      <c r="I1662" s="120">
        <v>25.966919999999998</v>
      </c>
      <c r="J1662" s="120"/>
      <c r="K1662" s="120">
        <v>28.6</v>
      </c>
      <c r="L1662" s="450">
        <f t="shared" si="121"/>
        <v>54.566919999999996</v>
      </c>
      <c r="M1662" s="134">
        <f t="shared" si="122"/>
        <v>1036.7714799999999</v>
      </c>
    </row>
    <row r="1663" spans="2:13" outlineLevel="3">
      <c r="B1663" s="116" t="s">
        <v>2361</v>
      </c>
      <c r="C1663" s="129" t="s">
        <v>2848</v>
      </c>
      <c r="D1663" s="154" t="s">
        <v>2849</v>
      </c>
      <c r="E1663" s="129" t="s">
        <v>2364</v>
      </c>
      <c r="F1663" s="130"/>
      <c r="G1663" s="131">
        <v>1</v>
      </c>
      <c r="H1663" s="118"/>
      <c r="I1663" s="120">
        <v>23.708400000000001</v>
      </c>
      <c r="J1663" s="120"/>
      <c r="K1663" s="120">
        <v>28.6</v>
      </c>
      <c r="L1663" s="450">
        <f t="shared" si="121"/>
        <v>52.308400000000006</v>
      </c>
      <c r="M1663" s="134">
        <f t="shared" si="122"/>
        <v>52.308400000000006</v>
      </c>
    </row>
    <row r="1664" spans="2:13" outlineLevel="3">
      <c r="B1664" s="116" t="s">
        <v>2361</v>
      </c>
      <c r="C1664" s="129" t="s">
        <v>2850</v>
      </c>
      <c r="D1664" s="154" t="s">
        <v>2851</v>
      </c>
      <c r="E1664" s="129" t="s">
        <v>2364</v>
      </c>
      <c r="F1664" s="130"/>
      <c r="G1664" s="131">
        <v>1</v>
      </c>
      <c r="H1664" s="118"/>
      <c r="I1664" s="120">
        <v>25.966919999999998</v>
      </c>
      <c r="J1664" s="120"/>
      <c r="K1664" s="120">
        <v>28.6</v>
      </c>
      <c r="L1664" s="450">
        <f t="shared" si="121"/>
        <v>54.566919999999996</v>
      </c>
      <c r="M1664" s="134">
        <f t="shared" si="122"/>
        <v>54.566919999999996</v>
      </c>
    </row>
    <row r="1665" spans="2:13" outlineLevel="2">
      <c r="B1665" s="116"/>
      <c r="C1665" s="126" t="s">
        <v>2852</v>
      </c>
      <c r="D1665" s="260" t="s">
        <v>2680</v>
      </c>
      <c r="E1665" s="118" t="s">
        <v>99</v>
      </c>
      <c r="F1665" s="161"/>
      <c r="G1665" s="116"/>
      <c r="H1665" s="118"/>
      <c r="I1665" s="120"/>
      <c r="J1665" s="120"/>
      <c r="K1665" s="120"/>
      <c r="L1665" s="121"/>
      <c r="M1665" s="264">
        <f>SUM(M1666:M1672)</f>
        <v>31736.86</v>
      </c>
    </row>
    <row r="1666" spans="2:13" outlineLevel="3">
      <c r="B1666" s="116" t="s">
        <v>2361</v>
      </c>
      <c r="C1666" s="129" t="s">
        <v>2853</v>
      </c>
      <c r="D1666" s="154" t="s">
        <v>2684</v>
      </c>
      <c r="E1666" s="129" t="s">
        <v>890</v>
      </c>
      <c r="F1666" s="130"/>
      <c r="G1666" s="131">
        <v>447</v>
      </c>
      <c r="H1666" s="118"/>
      <c r="I1666" s="120">
        <v>15</v>
      </c>
      <c r="J1666" s="120"/>
      <c r="K1666" s="120">
        <v>27.32</v>
      </c>
      <c r="L1666" s="450">
        <f t="shared" ref="L1666:L1672" si="123">SUM(H1666:K1666)</f>
        <v>42.32</v>
      </c>
      <c r="M1666" s="134">
        <f t="shared" ref="M1666:M1672" si="124">+L1666*G1666</f>
        <v>18917.04</v>
      </c>
    </row>
    <row r="1667" spans="2:13" outlineLevel="3">
      <c r="B1667" s="116" t="s">
        <v>2361</v>
      </c>
      <c r="C1667" s="129" t="s">
        <v>2854</v>
      </c>
      <c r="D1667" s="154" t="s">
        <v>2686</v>
      </c>
      <c r="E1667" s="129" t="s">
        <v>890</v>
      </c>
      <c r="F1667" s="130"/>
      <c r="G1667" s="131">
        <v>2</v>
      </c>
      <c r="H1667" s="118"/>
      <c r="I1667" s="120">
        <v>37</v>
      </c>
      <c r="J1667" s="120"/>
      <c r="K1667" s="120">
        <v>28.23</v>
      </c>
      <c r="L1667" s="450">
        <f t="shared" si="123"/>
        <v>65.23</v>
      </c>
      <c r="M1667" s="134">
        <f t="shared" si="124"/>
        <v>130.46</v>
      </c>
    </row>
    <row r="1668" spans="2:13" outlineLevel="3">
      <c r="B1668" s="116" t="s">
        <v>2361</v>
      </c>
      <c r="C1668" s="129" t="s">
        <v>2855</v>
      </c>
      <c r="D1668" s="154" t="s">
        <v>2856</v>
      </c>
      <c r="E1668" s="129" t="s">
        <v>890</v>
      </c>
      <c r="F1668" s="130"/>
      <c r="G1668" s="131">
        <v>2</v>
      </c>
      <c r="H1668" s="118"/>
      <c r="I1668" s="120">
        <v>47</v>
      </c>
      <c r="J1668" s="120"/>
      <c r="K1668" s="120">
        <v>48.33</v>
      </c>
      <c r="L1668" s="450">
        <f t="shared" si="123"/>
        <v>95.33</v>
      </c>
      <c r="M1668" s="134">
        <f t="shared" si="124"/>
        <v>190.66</v>
      </c>
    </row>
    <row r="1669" spans="2:13" outlineLevel="3">
      <c r="B1669" s="116" t="s">
        <v>2361</v>
      </c>
      <c r="C1669" s="129" t="s">
        <v>2857</v>
      </c>
      <c r="D1669" s="154" t="s">
        <v>2690</v>
      </c>
      <c r="E1669" s="129" t="s">
        <v>890</v>
      </c>
      <c r="F1669" s="130"/>
      <c r="G1669" s="131">
        <v>32</v>
      </c>
      <c r="H1669" s="118"/>
      <c r="I1669" s="120">
        <v>53.714285714285715</v>
      </c>
      <c r="J1669" s="120"/>
      <c r="K1669" s="120">
        <v>50.35</v>
      </c>
      <c r="L1669" s="450">
        <f t="shared" si="123"/>
        <v>104.06428571428572</v>
      </c>
      <c r="M1669" s="134">
        <f t="shared" si="124"/>
        <v>3330.0571428571429</v>
      </c>
    </row>
    <row r="1670" spans="2:13" outlineLevel="3">
      <c r="B1670" s="116" t="s">
        <v>2361</v>
      </c>
      <c r="C1670" s="129" t="s">
        <v>2858</v>
      </c>
      <c r="D1670" s="154" t="s">
        <v>2859</v>
      </c>
      <c r="E1670" s="129" t="s">
        <v>890</v>
      </c>
      <c r="F1670" s="130"/>
      <c r="G1670" s="131">
        <v>34</v>
      </c>
      <c r="H1670" s="118"/>
      <c r="I1670" s="120">
        <v>87.285714285714292</v>
      </c>
      <c r="J1670" s="120"/>
      <c r="K1670" s="120">
        <v>148.75</v>
      </c>
      <c r="L1670" s="450">
        <f t="shared" si="123"/>
        <v>236.03571428571428</v>
      </c>
      <c r="M1670" s="134">
        <f t="shared" si="124"/>
        <v>8025.2142857142853</v>
      </c>
    </row>
    <row r="1671" spans="2:13" outlineLevel="3">
      <c r="B1671" s="116" t="s">
        <v>2361</v>
      </c>
      <c r="C1671" s="129" t="s">
        <v>2860</v>
      </c>
      <c r="D1671" s="154" t="s">
        <v>2861</v>
      </c>
      <c r="E1671" s="129" t="s">
        <v>890</v>
      </c>
      <c r="F1671" s="130"/>
      <c r="G1671" s="131">
        <v>2</v>
      </c>
      <c r="H1671" s="118"/>
      <c r="I1671" s="120">
        <v>100.71428571428572</v>
      </c>
      <c r="J1671" s="120"/>
      <c r="K1671" s="120">
        <v>148.75</v>
      </c>
      <c r="L1671" s="450">
        <f t="shared" si="123"/>
        <v>249.46428571428572</v>
      </c>
      <c r="M1671" s="134">
        <f t="shared" si="124"/>
        <v>498.92857142857144</v>
      </c>
    </row>
    <row r="1672" spans="2:13" outlineLevel="3">
      <c r="B1672" s="116" t="s">
        <v>2361</v>
      </c>
      <c r="C1672" s="129" t="s">
        <v>2862</v>
      </c>
      <c r="D1672" s="154" t="s">
        <v>2692</v>
      </c>
      <c r="E1672" s="129" t="s">
        <v>890</v>
      </c>
      <c r="F1672" s="130"/>
      <c r="G1672" s="131">
        <v>25</v>
      </c>
      <c r="H1672" s="118"/>
      <c r="I1672" s="120">
        <v>4.5999999999999996</v>
      </c>
      <c r="J1672" s="120"/>
      <c r="K1672" s="120">
        <v>21.18</v>
      </c>
      <c r="L1672" s="450">
        <f t="shared" si="123"/>
        <v>25.78</v>
      </c>
      <c r="M1672" s="134">
        <f t="shared" si="124"/>
        <v>644.5</v>
      </c>
    </row>
    <row r="1673" spans="2:13" outlineLevel="2">
      <c r="B1673" s="116"/>
      <c r="C1673" s="126" t="s">
        <v>2863</v>
      </c>
      <c r="D1673" s="260" t="s">
        <v>2621</v>
      </c>
      <c r="E1673" s="118" t="s">
        <v>99</v>
      </c>
      <c r="F1673" s="161"/>
      <c r="G1673" s="116"/>
      <c r="H1673" s="118"/>
      <c r="I1673" s="120"/>
      <c r="J1673" s="120"/>
      <c r="K1673" s="120"/>
      <c r="L1673" s="121">
        <v>14688.693468847239</v>
      </c>
      <c r="M1673" s="264">
        <f>SUM(M1674:M1680)</f>
        <v>14688.693468847239</v>
      </c>
    </row>
    <row r="1674" spans="2:13" outlineLevel="3">
      <c r="B1674" s="116" t="s">
        <v>2361</v>
      </c>
      <c r="C1674" s="129" t="s">
        <v>2864</v>
      </c>
      <c r="D1674" s="154" t="s">
        <v>2623</v>
      </c>
      <c r="E1674" s="129" t="s">
        <v>1633</v>
      </c>
      <c r="F1674" s="130"/>
      <c r="G1674" s="131">
        <v>50</v>
      </c>
      <c r="H1674" s="118"/>
      <c r="I1674" s="120">
        <v>3.1979604799999999</v>
      </c>
      <c r="J1674" s="120"/>
      <c r="K1674" s="120">
        <v>4.58</v>
      </c>
      <c r="L1674" s="450">
        <f t="shared" ref="L1674:L1680" si="125">SUM(H1674:K1674)</f>
        <v>7.77796048</v>
      </c>
      <c r="M1674" s="134">
        <f t="shared" ref="M1674:M1680" si="126">+L1674*G1674</f>
        <v>388.89802400000002</v>
      </c>
    </row>
    <row r="1675" spans="2:13" outlineLevel="3">
      <c r="B1675" s="116" t="s">
        <v>2361</v>
      </c>
      <c r="C1675" s="129" t="s">
        <v>2865</v>
      </c>
      <c r="D1675" s="154" t="s">
        <v>2625</v>
      </c>
      <c r="E1675" s="129" t="s">
        <v>1633</v>
      </c>
      <c r="F1675" s="130"/>
      <c r="G1675" s="131">
        <v>50</v>
      </c>
      <c r="H1675" s="118"/>
      <c r="I1675" s="120">
        <v>3.1979604799999999</v>
      </c>
      <c r="J1675" s="120"/>
      <c r="K1675" s="120">
        <v>4.58</v>
      </c>
      <c r="L1675" s="450">
        <f t="shared" si="125"/>
        <v>7.77796048</v>
      </c>
      <c r="M1675" s="134">
        <f t="shared" si="126"/>
        <v>388.89802400000002</v>
      </c>
    </row>
    <row r="1676" spans="2:13" outlineLevel="3">
      <c r="B1676" s="116" t="s">
        <v>2361</v>
      </c>
      <c r="C1676" s="129" t="s">
        <v>2866</v>
      </c>
      <c r="D1676" s="154" t="s">
        <v>2627</v>
      </c>
      <c r="E1676" s="129" t="s">
        <v>1633</v>
      </c>
      <c r="F1676" s="130"/>
      <c r="G1676" s="131">
        <v>50</v>
      </c>
      <c r="H1676" s="118"/>
      <c r="I1676" s="120">
        <v>4.985566079999999</v>
      </c>
      <c r="J1676" s="120"/>
      <c r="K1676" s="120">
        <v>4.96</v>
      </c>
      <c r="L1676" s="450">
        <f t="shared" si="125"/>
        <v>9.945566079999999</v>
      </c>
      <c r="M1676" s="134">
        <f t="shared" si="126"/>
        <v>497.27830399999993</v>
      </c>
    </row>
    <row r="1677" spans="2:13" outlineLevel="3">
      <c r="B1677" s="116" t="s">
        <v>2361</v>
      </c>
      <c r="C1677" s="129" t="s">
        <v>2867</v>
      </c>
      <c r="D1677" s="154" t="s">
        <v>2637</v>
      </c>
      <c r="E1677" s="129" t="s">
        <v>890</v>
      </c>
      <c r="F1677" s="130"/>
      <c r="G1677" s="131">
        <v>30</v>
      </c>
      <c r="H1677" s="118"/>
      <c r="I1677" s="120">
        <v>12.9334933680625</v>
      </c>
      <c r="J1677" s="120"/>
      <c r="K1677" s="120">
        <v>9.9</v>
      </c>
      <c r="L1677" s="450">
        <f t="shared" si="125"/>
        <v>22.833493368062499</v>
      </c>
      <c r="M1677" s="134">
        <f t="shared" si="126"/>
        <v>685.004801041875</v>
      </c>
    </row>
    <row r="1678" spans="2:13" outlineLevel="3">
      <c r="B1678" s="116" t="s">
        <v>2361</v>
      </c>
      <c r="C1678" s="129" t="s">
        <v>2868</v>
      </c>
      <c r="D1678" s="154" t="s">
        <v>2639</v>
      </c>
      <c r="E1678" s="129" t="s">
        <v>890</v>
      </c>
      <c r="F1678" s="130"/>
      <c r="G1678" s="131">
        <v>65</v>
      </c>
      <c r="H1678" s="118"/>
      <c r="I1678" s="120">
        <v>17.286924490750007</v>
      </c>
      <c r="J1678" s="120"/>
      <c r="K1678" s="120">
        <v>13.2</v>
      </c>
      <c r="L1678" s="450">
        <f t="shared" si="125"/>
        <v>30.486924490750006</v>
      </c>
      <c r="M1678" s="134">
        <f t="shared" si="126"/>
        <v>1981.6500918987504</v>
      </c>
    </row>
    <row r="1679" spans="2:13" outlineLevel="3">
      <c r="B1679" s="116" t="s">
        <v>2361</v>
      </c>
      <c r="C1679" s="129" t="s">
        <v>2869</v>
      </c>
      <c r="D1679" s="154" t="s">
        <v>2870</v>
      </c>
      <c r="E1679" s="129" t="s">
        <v>890</v>
      </c>
      <c r="F1679" s="130"/>
      <c r="G1679" s="131">
        <v>160</v>
      </c>
      <c r="H1679" s="118"/>
      <c r="I1679" s="120">
        <v>30.0241672466125</v>
      </c>
      <c r="J1679" s="120"/>
      <c r="K1679" s="120">
        <v>21.34</v>
      </c>
      <c r="L1679" s="450">
        <f t="shared" si="125"/>
        <v>51.364167246612496</v>
      </c>
      <c r="M1679" s="134">
        <f t="shared" si="126"/>
        <v>8218.2667594579998</v>
      </c>
    </row>
    <row r="1680" spans="2:13" outlineLevel="3">
      <c r="B1680" s="116" t="s">
        <v>2361</v>
      </c>
      <c r="C1680" s="129" t="s">
        <v>2871</v>
      </c>
      <c r="D1680" s="154" t="s">
        <v>2645</v>
      </c>
      <c r="E1680" s="129" t="s">
        <v>890</v>
      </c>
      <c r="F1680" s="130"/>
      <c r="G1680" s="131">
        <v>40</v>
      </c>
      <c r="H1680" s="118"/>
      <c r="I1680" s="120">
        <v>36.952821226600001</v>
      </c>
      <c r="J1680" s="120"/>
      <c r="K1680" s="120">
        <v>26.264615384615368</v>
      </c>
      <c r="L1680" s="450">
        <f t="shared" si="125"/>
        <v>63.217436611215369</v>
      </c>
      <c r="M1680" s="134">
        <f t="shared" si="126"/>
        <v>2528.6974644486149</v>
      </c>
    </row>
    <row r="1681" spans="2:13" outlineLevel="2">
      <c r="B1681" s="116"/>
      <c r="C1681" s="126" t="s">
        <v>2872</v>
      </c>
      <c r="D1681" s="260" t="s">
        <v>2873</v>
      </c>
      <c r="E1681" s="118" t="s">
        <v>99</v>
      </c>
      <c r="F1681" s="161"/>
      <c r="G1681" s="116"/>
      <c r="H1681" s="118"/>
      <c r="I1681" s="120"/>
      <c r="J1681" s="120"/>
      <c r="K1681" s="120"/>
      <c r="L1681" s="121"/>
      <c r="M1681" s="264">
        <f>+M1682</f>
        <v>275</v>
      </c>
    </row>
    <row r="1682" spans="2:13" outlineLevel="3">
      <c r="B1682" s="116" t="s">
        <v>2745</v>
      </c>
      <c r="C1682" s="129" t="s">
        <v>2874</v>
      </c>
      <c r="D1682" s="154" t="s">
        <v>2875</v>
      </c>
      <c r="E1682" s="129" t="s">
        <v>890</v>
      </c>
      <c r="F1682" s="130"/>
      <c r="G1682" s="131">
        <v>1</v>
      </c>
      <c r="H1682" s="118"/>
      <c r="I1682" s="120"/>
      <c r="J1682" s="120"/>
      <c r="K1682" s="120">
        <v>275</v>
      </c>
      <c r="L1682" s="450">
        <f>SUM(H1682:K1682)</f>
        <v>275</v>
      </c>
      <c r="M1682" s="134">
        <f>+L1682*G1682</f>
        <v>275</v>
      </c>
    </row>
    <row r="1683" spans="2:13" outlineLevel="2">
      <c r="B1683" s="116"/>
      <c r="C1683" s="126" t="s">
        <v>2876</v>
      </c>
      <c r="D1683" s="260" t="s">
        <v>2877</v>
      </c>
      <c r="E1683" s="118" t="s">
        <v>99</v>
      </c>
      <c r="F1683" s="161"/>
      <c r="G1683" s="116"/>
      <c r="H1683" s="118"/>
      <c r="I1683" s="120"/>
      <c r="J1683" s="120"/>
      <c r="K1683" s="120"/>
      <c r="L1683" s="121"/>
      <c r="M1683" s="264">
        <f>+M1684</f>
        <v>8275.7499507199991</v>
      </c>
    </row>
    <row r="1684" spans="2:13" outlineLevel="3">
      <c r="B1684" s="116" t="s">
        <v>2361</v>
      </c>
      <c r="C1684" s="129" t="s">
        <v>2878</v>
      </c>
      <c r="D1684" s="154" t="s">
        <v>2879</v>
      </c>
      <c r="E1684" s="129" t="s">
        <v>1633</v>
      </c>
      <c r="F1684" s="130"/>
      <c r="G1684" s="131">
        <v>1064</v>
      </c>
      <c r="H1684" s="118"/>
      <c r="I1684" s="120">
        <v>3.1979604799999999</v>
      </c>
      <c r="J1684" s="120"/>
      <c r="K1684" s="120">
        <v>4.58</v>
      </c>
      <c r="L1684" s="450">
        <f>SUM(H1684:K1684)</f>
        <v>7.77796048</v>
      </c>
      <c r="M1684" s="134">
        <f>+L1684*G1684</f>
        <v>8275.7499507199991</v>
      </c>
    </row>
    <row r="1685" spans="2:13" outlineLevel="2">
      <c r="B1685" s="116"/>
      <c r="C1685" s="126" t="s">
        <v>2880</v>
      </c>
      <c r="D1685" s="260" t="s">
        <v>2881</v>
      </c>
      <c r="E1685" s="118" t="s">
        <v>99</v>
      </c>
      <c r="F1685" s="161"/>
      <c r="G1685" s="116"/>
      <c r="H1685" s="118"/>
      <c r="I1685" s="120"/>
      <c r="J1685" s="120"/>
      <c r="K1685" s="120"/>
      <c r="L1685" s="121"/>
      <c r="M1685" s="264">
        <f>+M1686</f>
        <v>16427.052533760001</v>
      </c>
    </row>
    <row r="1686" spans="2:13" outlineLevel="3">
      <c r="B1686" s="116" t="s">
        <v>2361</v>
      </c>
      <c r="C1686" s="129" t="s">
        <v>2882</v>
      </c>
      <c r="D1686" s="154" t="s">
        <v>2879</v>
      </c>
      <c r="E1686" s="129" t="s">
        <v>1633</v>
      </c>
      <c r="F1686" s="130"/>
      <c r="G1686" s="131">
        <v>2112</v>
      </c>
      <c r="H1686" s="118"/>
      <c r="I1686" s="120">
        <v>3.1979604799999999</v>
      </c>
      <c r="J1686" s="120"/>
      <c r="K1686" s="120">
        <v>4.58</v>
      </c>
      <c r="L1686" s="450">
        <f>SUM(H1686:K1686)</f>
        <v>7.77796048</v>
      </c>
      <c r="M1686" s="134">
        <f>+L1686*G1686</f>
        <v>16427.052533760001</v>
      </c>
    </row>
    <row r="1687" spans="2:13" outlineLevel="2">
      <c r="B1687" s="116"/>
      <c r="C1687" s="126" t="s">
        <v>2883</v>
      </c>
      <c r="D1687" s="260" t="s">
        <v>2884</v>
      </c>
      <c r="E1687" s="118" t="s">
        <v>99</v>
      </c>
      <c r="F1687" s="161"/>
      <c r="G1687" s="116"/>
      <c r="H1687" s="118"/>
      <c r="I1687" s="120"/>
      <c r="J1687" s="120"/>
      <c r="K1687" s="120"/>
      <c r="L1687" s="121"/>
      <c r="M1687" s="264">
        <f>+M1688</f>
        <v>5405.6825336000002</v>
      </c>
    </row>
    <row r="1688" spans="2:13" outlineLevel="3">
      <c r="B1688" s="116" t="s">
        <v>2361</v>
      </c>
      <c r="C1688" s="129" t="s">
        <v>2885</v>
      </c>
      <c r="D1688" s="154" t="s">
        <v>2879</v>
      </c>
      <c r="E1688" s="129" t="s">
        <v>1633</v>
      </c>
      <c r="F1688" s="130"/>
      <c r="G1688" s="131">
        <v>695</v>
      </c>
      <c r="H1688" s="118"/>
      <c r="I1688" s="120">
        <v>3.1979604799999999</v>
      </c>
      <c r="J1688" s="120"/>
      <c r="K1688" s="120">
        <v>4.58</v>
      </c>
      <c r="L1688" s="450">
        <f>SUM(H1688:K1688)</f>
        <v>7.77796048</v>
      </c>
      <c r="M1688" s="134">
        <f>+L1688*G1688</f>
        <v>5405.6825336000002</v>
      </c>
    </row>
    <row r="1689" spans="2:13" outlineLevel="2">
      <c r="B1689" s="116"/>
      <c r="C1689" s="126" t="s">
        <v>2886</v>
      </c>
      <c r="D1689" s="260" t="s">
        <v>2887</v>
      </c>
      <c r="E1689" s="118" t="s">
        <v>99</v>
      </c>
      <c r="F1689" s="161"/>
      <c r="G1689" s="116"/>
      <c r="H1689" s="118"/>
      <c r="I1689" s="120"/>
      <c r="J1689" s="120"/>
      <c r="K1689" s="120"/>
      <c r="L1689" s="121"/>
      <c r="M1689" s="264">
        <f>+M1690</f>
        <v>15820.371616320001</v>
      </c>
    </row>
    <row r="1690" spans="2:13" outlineLevel="3">
      <c r="B1690" s="116" t="s">
        <v>2361</v>
      </c>
      <c r="C1690" s="129" t="s">
        <v>2888</v>
      </c>
      <c r="D1690" s="154" t="s">
        <v>2879</v>
      </c>
      <c r="E1690" s="129" t="s">
        <v>550</v>
      </c>
      <c r="F1690" s="130"/>
      <c r="G1690" s="131">
        <v>2034</v>
      </c>
      <c r="H1690" s="118"/>
      <c r="I1690" s="120">
        <v>3.1979604799999999</v>
      </c>
      <c r="J1690" s="120"/>
      <c r="K1690" s="120">
        <v>4.58</v>
      </c>
      <c r="L1690" s="450">
        <f>SUM(H1690:K1690)</f>
        <v>7.77796048</v>
      </c>
      <c r="M1690" s="134">
        <f>+L1690*G1690</f>
        <v>15820.371616320001</v>
      </c>
    </row>
    <row r="1691" spans="2:13" outlineLevel="2">
      <c r="B1691" s="116"/>
      <c r="C1691" s="126" t="s">
        <v>2889</v>
      </c>
      <c r="D1691" s="260" t="s">
        <v>2890</v>
      </c>
      <c r="E1691" s="118" t="s">
        <v>99</v>
      </c>
      <c r="F1691" s="161"/>
      <c r="G1691" s="116"/>
      <c r="H1691" s="118"/>
      <c r="I1691" s="120"/>
      <c r="J1691" s="120"/>
      <c r="K1691" s="120"/>
      <c r="L1691" s="121"/>
      <c r="M1691" s="264">
        <f>SUM(M1692:M1694)</f>
        <v>5779.0035097600003</v>
      </c>
    </row>
    <row r="1692" spans="2:13" outlineLevel="3">
      <c r="B1692" s="116" t="s">
        <v>2361</v>
      </c>
      <c r="C1692" s="129" t="s">
        <v>2891</v>
      </c>
      <c r="D1692" s="154" t="s">
        <v>2892</v>
      </c>
      <c r="E1692" s="129" t="s">
        <v>2364</v>
      </c>
      <c r="F1692" s="130"/>
      <c r="G1692" s="131">
        <v>51</v>
      </c>
      <c r="H1692" s="118"/>
      <c r="I1692" s="120">
        <v>25.966919999999998</v>
      </c>
      <c r="J1692" s="120"/>
      <c r="K1692" s="120">
        <v>38.5</v>
      </c>
      <c r="L1692" s="450">
        <f>SUM(H1692:K1692)</f>
        <v>64.466920000000002</v>
      </c>
      <c r="M1692" s="134">
        <f>+L1692*G1692</f>
        <v>3287.8129200000003</v>
      </c>
    </row>
    <row r="1693" spans="2:13" outlineLevel="3">
      <c r="B1693" s="116" t="s">
        <v>2361</v>
      </c>
      <c r="C1693" s="129" t="s">
        <v>2893</v>
      </c>
      <c r="D1693" s="154" t="s">
        <v>2894</v>
      </c>
      <c r="E1693" s="129" t="s">
        <v>2364</v>
      </c>
      <c r="F1693" s="130"/>
      <c r="G1693" s="131">
        <v>1</v>
      </c>
      <c r="H1693" s="118"/>
      <c r="I1693" s="120">
        <v>25.966919999999998</v>
      </c>
      <c r="J1693" s="120"/>
      <c r="K1693" s="120">
        <v>38.5</v>
      </c>
      <c r="L1693" s="450">
        <f>SUM(H1693:K1693)</f>
        <v>64.466920000000002</v>
      </c>
      <c r="M1693" s="134">
        <f>+L1693*G1693</f>
        <v>64.466920000000002</v>
      </c>
    </row>
    <row r="1694" spans="2:13" outlineLevel="3">
      <c r="B1694" s="116" t="s">
        <v>2361</v>
      </c>
      <c r="C1694" s="129" t="s">
        <v>2895</v>
      </c>
      <c r="D1694" s="154" t="s">
        <v>2879</v>
      </c>
      <c r="E1694" s="129" t="s">
        <v>550</v>
      </c>
      <c r="F1694" s="130"/>
      <c r="G1694" s="131">
        <v>312</v>
      </c>
      <c r="H1694" s="118"/>
      <c r="I1694" s="120">
        <v>3.1979604799999999</v>
      </c>
      <c r="J1694" s="120"/>
      <c r="K1694" s="120">
        <v>4.58</v>
      </c>
      <c r="L1694" s="450">
        <f>SUM(H1694:K1694)</f>
        <v>7.77796048</v>
      </c>
      <c r="M1694" s="134">
        <f>+L1694*G1694</f>
        <v>2426.7236697600001</v>
      </c>
    </row>
    <row r="1695" spans="2:13" outlineLevel="2">
      <c r="B1695" s="116"/>
      <c r="G1695" s="175"/>
      <c r="H1695" s="174"/>
      <c r="I1695" s="174"/>
      <c r="J1695" s="174"/>
      <c r="K1695" s="174"/>
      <c r="M1695" s="177"/>
    </row>
    <row r="1696" spans="2:13" outlineLevel="1">
      <c r="B1696" s="116"/>
      <c r="G1696" s="175"/>
      <c r="H1696" s="174"/>
      <c r="I1696" s="174"/>
      <c r="J1696" s="174"/>
      <c r="K1696" s="174"/>
      <c r="M1696" s="177"/>
    </row>
    <row r="1697" spans="2:13">
      <c r="B1697" s="116"/>
      <c r="G1697" s="175"/>
      <c r="H1697" s="174"/>
      <c r="I1697" s="174"/>
      <c r="J1697" s="174"/>
      <c r="K1697" s="174"/>
      <c r="M1697" s="177"/>
    </row>
    <row r="1698" spans="2:13">
      <c r="B1698" s="116"/>
      <c r="C1698" s="117" t="s">
        <v>2896</v>
      </c>
      <c r="D1698" s="117" t="s">
        <v>2897</v>
      </c>
      <c r="F1698" s="119"/>
      <c r="G1698" s="116"/>
      <c r="H1698" s="118"/>
      <c r="I1698" s="118"/>
      <c r="J1698" s="118"/>
      <c r="K1698" s="120"/>
      <c r="L1698" s="121"/>
      <c r="M1698" s="122">
        <f>+M1699+M1733+M1746+M1788</f>
        <v>1218406.5440999998</v>
      </c>
    </row>
    <row r="1699" spans="2:13" outlineLevel="1">
      <c r="B1699" s="116"/>
      <c r="C1699" s="123" t="s">
        <v>2898</v>
      </c>
      <c r="D1699" s="449" t="s">
        <v>2899</v>
      </c>
      <c r="E1699" s="118" t="s">
        <v>96</v>
      </c>
      <c r="F1699" s="262"/>
      <c r="G1699" s="116"/>
      <c r="H1699" s="118"/>
      <c r="I1699" s="118"/>
      <c r="J1699" s="118"/>
      <c r="K1699" s="120"/>
      <c r="L1699" s="121"/>
      <c r="M1699" s="263">
        <f>+M1700+M1704+M1711+M1721+M1728+M1730</f>
        <v>318322.86</v>
      </c>
    </row>
    <row r="1700" spans="2:13" outlineLevel="2">
      <c r="B1700" s="116"/>
      <c r="C1700" s="126" t="s">
        <v>2900</v>
      </c>
      <c r="D1700" s="260" t="s">
        <v>2901</v>
      </c>
      <c r="E1700" s="118" t="s">
        <v>99</v>
      </c>
      <c r="F1700" s="161"/>
      <c r="G1700" s="116"/>
      <c r="H1700" s="118"/>
      <c r="I1700" s="118"/>
      <c r="J1700" s="118"/>
      <c r="K1700" s="120"/>
      <c r="L1700" s="121"/>
      <c r="M1700" s="264">
        <f>SUM(M1701:M1703)</f>
        <v>71426.45</v>
      </c>
    </row>
    <row r="1701" spans="2:13" outlineLevel="3">
      <c r="B1701" s="116" t="s">
        <v>2902</v>
      </c>
      <c r="C1701" s="129" t="s">
        <v>2903</v>
      </c>
      <c r="D1701" s="154" t="s">
        <v>2904</v>
      </c>
      <c r="E1701" s="129" t="s">
        <v>2364</v>
      </c>
      <c r="F1701" s="130"/>
      <c r="G1701" s="131">
        <v>1161</v>
      </c>
      <c r="H1701" s="118"/>
      <c r="I1701" s="118">
        <v>13.63</v>
      </c>
      <c r="J1701" s="118"/>
      <c r="K1701" s="120">
        <v>36.5</v>
      </c>
      <c r="L1701" s="450">
        <f>SUM(H1701:K1701)</f>
        <v>50.13</v>
      </c>
      <c r="M1701" s="134">
        <f>+L1701*G1701</f>
        <v>58200.93</v>
      </c>
    </row>
    <row r="1702" spans="2:13" outlineLevel="3">
      <c r="B1702" s="116" t="s">
        <v>2902</v>
      </c>
      <c r="C1702" s="129" t="s">
        <v>2905</v>
      </c>
      <c r="D1702" s="154" t="s">
        <v>2906</v>
      </c>
      <c r="E1702" s="129" t="s">
        <v>2364</v>
      </c>
      <c r="F1702" s="130"/>
      <c r="G1702" s="131">
        <v>129</v>
      </c>
      <c r="H1702" s="118"/>
      <c r="I1702" s="118">
        <v>13.63</v>
      </c>
      <c r="J1702" s="118"/>
      <c r="K1702" s="120">
        <v>36.5</v>
      </c>
      <c r="L1702" s="450">
        <f>SUM(H1702:K1702)</f>
        <v>50.13</v>
      </c>
      <c r="M1702" s="134">
        <f>+L1702*G1702</f>
        <v>6466.77</v>
      </c>
    </row>
    <row r="1703" spans="2:13" outlineLevel="3">
      <c r="B1703" s="116" t="s">
        <v>2902</v>
      </c>
      <c r="C1703" s="129" t="s">
        <v>2907</v>
      </c>
      <c r="D1703" s="154" t="s">
        <v>2908</v>
      </c>
      <c r="E1703" s="129" t="s">
        <v>2364</v>
      </c>
      <c r="F1703" s="130"/>
      <c r="G1703" s="131">
        <v>125</v>
      </c>
      <c r="H1703" s="118"/>
      <c r="I1703" s="118">
        <v>16.57</v>
      </c>
      <c r="J1703" s="118"/>
      <c r="K1703" s="120">
        <v>37.5</v>
      </c>
      <c r="L1703" s="450">
        <f>SUM(H1703:K1703)</f>
        <v>54.07</v>
      </c>
      <c r="M1703" s="134">
        <f>+L1703*G1703</f>
        <v>6758.75</v>
      </c>
    </row>
    <row r="1704" spans="2:13" outlineLevel="2">
      <c r="B1704" s="116"/>
      <c r="C1704" s="126" t="s">
        <v>2909</v>
      </c>
      <c r="D1704" s="260" t="s">
        <v>2910</v>
      </c>
      <c r="E1704" s="118" t="s">
        <v>99</v>
      </c>
      <c r="F1704" s="161"/>
      <c r="G1704" s="116"/>
      <c r="H1704" s="118"/>
      <c r="I1704" s="118"/>
      <c r="J1704" s="118"/>
      <c r="K1704" s="120"/>
      <c r="L1704" s="121"/>
      <c r="M1704" s="264">
        <f>SUM(M1705:M1710)</f>
        <v>78333.239999999991</v>
      </c>
    </row>
    <row r="1705" spans="2:13" outlineLevel="3">
      <c r="B1705" s="116" t="s">
        <v>2902</v>
      </c>
      <c r="C1705" s="129" t="s">
        <v>2911</v>
      </c>
      <c r="D1705" s="154" t="s">
        <v>2912</v>
      </c>
      <c r="E1705" s="129" t="s">
        <v>1633</v>
      </c>
      <c r="F1705" s="130"/>
      <c r="G1705" s="131">
        <v>5</v>
      </c>
      <c r="H1705" s="118"/>
      <c r="I1705" s="118">
        <v>4.1859999999999999</v>
      </c>
      <c r="J1705" s="118"/>
      <c r="K1705" s="120">
        <v>7.63</v>
      </c>
      <c r="L1705" s="450">
        <f t="shared" ref="L1705:L1710" si="127">SUM(H1705:K1705)</f>
        <v>11.815999999999999</v>
      </c>
      <c r="M1705" s="134">
        <f t="shared" ref="M1705:M1710" si="128">+L1705*G1705</f>
        <v>59.08</v>
      </c>
    </row>
    <row r="1706" spans="2:13" outlineLevel="3">
      <c r="B1706" s="116" t="s">
        <v>2902</v>
      </c>
      <c r="C1706" s="129" t="s">
        <v>2913</v>
      </c>
      <c r="D1706" s="154" t="s">
        <v>2914</v>
      </c>
      <c r="E1706" s="129" t="s">
        <v>1633</v>
      </c>
      <c r="F1706" s="130"/>
      <c r="G1706" s="131">
        <v>3497</v>
      </c>
      <c r="H1706" s="118"/>
      <c r="I1706" s="118">
        <v>5.91</v>
      </c>
      <c r="J1706" s="118"/>
      <c r="K1706" s="120">
        <v>8.43</v>
      </c>
      <c r="L1706" s="450">
        <f t="shared" si="127"/>
        <v>14.34</v>
      </c>
      <c r="M1706" s="134">
        <f t="shared" si="128"/>
        <v>50146.979999999996</v>
      </c>
    </row>
    <row r="1707" spans="2:13" outlineLevel="3">
      <c r="B1707" s="116" t="s">
        <v>2902</v>
      </c>
      <c r="C1707" s="129" t="s">
        <v>2915</v>
      </c>
      <c r="D1707" s="154" t="s">
        <v>2916</v>
      </c>
      <c r="E1707" s="129" t="s">
        <v>1633</v>
      </c>
      <c r="F1707" s="130"/>
      <c r="G1707" s="131">
        <v>5</v>
      </c>
      <c r="H1707" s="118"/>
      <c r="I1707" s="118">
        <v>7.98</v>
      </c>
      <c r="J1707" s="118"/>
      <c r="K1707" s="120">
        <v>9.4499999999999993</v>
      </c>
      <c r="L1707" s="450">
        <f t="shared" si="127"/>
        <v>17.43</v>
      </c>
      <c r="M1707" s="134">
        <f t="shared" si="128"/>
        <v>87.15</v>
      </c>
    </row>
    <row r="1708" spans="2:13" outlineLevel="3">
      <c r="B1708" s="116" t="s">
        <v>2902</v>
      </c>
      <c r="C1708" s="129" t="s">
        <v>2917</v>
      </c>
      <c r="D1708" s="154" t="s">
        <v>2918</v>
      </c>
      <c r="E1708" s="129" t="s">
        <v>1633</v>
      </c>
      <c r="F1708" s="130"/>
      <c r="G1708" s="131">
        <v>2305</v>
      </c>
      <c r="H1708" s="118"/>
      <c r="I1708" s="118">
        <v>4.1859999999999999</v>
      </c>
      <c r="J1708" s="118"/>
      <c r="K1708" s="120">
        <v>7.63</v>
      </c>
      <c r="L1708" s="450">
        <f t="shared" si="127"/>
        <v>11.815999999999999</v>
      </c>
      <c r="M1708" s="134">
        <f t="shared" si="128"/>
        <v>27235.879999999997</v>
      </c>
    </row>
    <row r="1709" spans="2:13" outlineLevel="3">
      <c r="B1709" s="116" t="s">
        <v>2902</v>
      </c>
      <c r="C1709" s="129" t="s">
        <v>2919</v>
      </c>
      <c r="D1709" s="154" t="s">
        <v>2920</v>
      </c>
      <c r="E1709" s="129" t="s">
        <v>1633</v>
      </c>
      <c r="F1709" s="130"/>
      <c r="G1709" s="131">
        <v>50</v>
      </c>
      <c r="H1709" s="118"/>
      <c r="I1709" s="118">
        <v>5.91</v>
      </c>
      <c r="J1709" s="118"/>
      <c r="K1709" s="120">
        <v>8.43</v>
      </c>
      <c r="L1709" s="450">
        <f t="shared" si="127"/>
        <v>14.34</v>
      </c>
      <c r="M1709" s="134">
        <f t="shared" si="128"/>
        <v>717</v>
      </c>
    </row>
    <row r="1710" spans="2:13" outlineLevel="3">
      <c r="B1710" s="116" t="s">
        <v>2902</v>
      </c>
      <c r="C1710" s="129" t="s">
        <v>2921</v>
      </c>
      <c r="D1710" s="154" t="s">
        <v>2922</v>
      </c>
      <c r="E1710" s="129" t="s">
        <v>1633</v>
      </c>
      <c r="F1710" s="130"/>
      <c r="G1710" s="131">
        <v>5</v>
      </c>
      <c r="H1710" s="118"/>
      <c r="I1710" s="118">
        <v>7.98</v>
      </c>
      <c r="J1710" s="118"/>
      <c r="K1710" s="120">
        <v>9.4499999999999993</v>
      </c>
      <c r="L1710" s="450">
        <f t="shared" si="127"/>
        <v>17.43</v>
      </c>
      <c r="M1710" s="134">
        <f t="shared" si="128"/>
        <v>87.15</v>
      </c>
    </row>
    <row r="1711" spans="2:13" outlineLevel="2">
      <c r="B1711" s="116"/>
      <c r="C1711" s="126" t="s">
        <v>2923</v>
      </c>
      <c r="D1711" s="260" t="s">
        <v>2924</v>
      </c>
      <c r="E1711" s="118" t="s">
        <v>99</v>
      </c>
      <c r="F1711" s="161"/>
      <c r="G1711" s="116"/>
      <c r="H1711" s="118"/>
      <c r="I1711" s="118"/>
      <c r="J1711" s="118"/>
      <c r="K1711" s="120"/>
      <c r="L1711" s="121"/>
      <c r="M1711" s="264">
        <f>SUM(M1712:M1720)</f>
        <v>48139.969999999994</v>
      </c>
    </row>
    <row r="1712" spans="2:13" outlineLevel="3">
      <c r="B1712" s="116" t="s">
        <v>2902</v>
      </c>
      <c r="C1712" s="129" t="s">
        <v>2925</v>
      </c>
      <c r="D1712" s="154" t="s">
        <v>2926</v>
      </c>
      <c r="E1712" s="129" t="s">
        <v>1633</v>
      </c>
      <c r="F1712" s="130"/>
      <c r="G1712" s="131">
        <v>214</v>
      </c>
      <c r="H1712" s="118"/>
      <c r="I1712" s="118">
        <v>75.599999999999994</v>
      </c>
      <c r="J1712" s="118"/>
      <c r="K1712" s="120">
        <v>16.100000000000001</v>
      </c>
      <c r="L1712" s="450">
        <f t="shared" ref="L1712:L1720" si="129">SUM(H1712:K1712)</f>
        <v>91.699999999999989</v>
      </c>
      <c r="M1712" s="134">
        <f t="shared" ref="M1712:M1720" si="130">+L1712*G1712</f>
        <v>19623.8</v>
      </c>
    </row>
    <row r="1713" spans="2:13" outlineLevel="3">
      <c r="B1713" s="116" t="s">
        <v>2902</v>
      </c>
      <c r="C1713" s="129" t="s">
        <v>2927</v>
      </c>
      <c r="D1713" s="154" t="s">
        <v>2928</v>
      </c>
      <c r="E1713" s="129" t="s">
        <v>1633</v>
      </c>
      <c r="F1713" s="130"/>
      <c r="G1713" s="131">
        <v>24</v>
      </c>
      <c r="H1713" s="118"/>
      <c r="I1713" s="118">
        <v>75.599999999999994</v>
      </c>
      <c r="J1713" s="118"/>
      <c r="K1713" s="120">
        <v>16.100000000000001</v>
      </c>
      <c r="L1713" s="450">
        <f t="shared" si="129"/>
        <v>91.699999999999989</v>
      </c>
      <c r="M1713" s="134">
        <f t="shared" si="130"/>
        <v>2200.7999999999997</v>
      </c>
    </row>
    <row r="1714" spans="2:13" outlineLevel="3">
      <c r="B1714" s="116" t="s">
        <v>2902</v>
      </c>
      <c r="C1714" s="129" t="s">
        <v>2929</v>
      </c>
      <c r="D1714" s="154" t="s">
        <v>2930</v>
      </c>
      <c r="E1714" s="129" t="s">
        <v>1633</v>
      </c>
      <c r="F1714" s="130"/>
      <c r="G1714" s="131">
        <v>24</v>
      </c>
      <c r="H1714" s="118"/>
      <c r="I1714" s="118">
        <v>42.19</v>
      </c>
      <c r="J1714" s="118"/>
      <c r="K1714" s="120">
        <v>15.4</v>
      </c>
      <c r="L1714" s="450">
        <f t="shared" si="129"/>
        <v>57.589999999999996</v>
      </c>
      <c r="M1714" s="134">
        <f t="shared" si="130"/>
        <v>1382.1599999999999</v>
      </c>
    </row>
    <row r="1715" spans="2:13" outlineLevel="3">
      <c r="B1715" s="116" t="s">
        <v>2902</v>
      </c>
      <c r="C1715" s="129" t="s">
        <v>2931</v>
      </c>
      <c r="D1715" s="154" t="s">
        <v>2932</v>
      </c>
      <c r="E1715" s="129" t="s">
        <v>1633</v>
      </c>
      <c r="F1715" s="130"/>
      <c r="G1715" s="131">
        <v>77</v>
      </c>
      <c r="H1715" s="118"/>
      <c r="I1715" s="118">
        <v>34.18</v>
      </c>
      <c r="J1715" s="118"/>
      <c r="K1715" s="120">
        <v>15.2</v>
      </c>
      <c r="L1715" s="450">
        <f t="shared" si="129"/>
        <v>49.379999999999995</v>
      </c>
      <c r="M1715" s="134">
        <f t="shared" si="130"/>
        <v>3802.2599999999998</v>
      </c>
    </row>
    <row r="1716" spans="2:13" outlineLevel="3">
      <c r="B1716" s="116" t="s">
        <v>2902</v>
      </c>
      <c r="C1716" s="129" t="s">
        <v>2933</v>
      </c>
      <c r="D1716" s="154" t="s">
        <v>2934</v>
      </c>
      <c r="E1716" s="129" t="s">
        <v>1633</v>
      </c>
      <c r="F1716" s="130"/>
      <c r="G1716" s="131">
        <v>67</v>
      </c>
      <c r="H1716" s="118"/>
      <c r="I1716" s="118">
        <v>29.72</v>
      </c>
      <c r="J1716" s="118"/>
      <c r="K1716" s="120">
        <v>11.1</v>
      </c>
      <c r="L1716" s="450">
        <f t="shared" si="129"/>
        <v>40.82</v>
      </c>
      <c r="M1716" s="134">
        <f t="shared" si="130"/>
        <v>2734.94</v>
      </c>
    </row>
    <row r="1717" spans="2:13" outlineLevel="3">
      <c r="B1717" s="116" t="s">
        <v>2902</v>
      </c>
      <c r="C1717" s="129" t="s">
        <v>2935</v>
      </c>
      <c r="D1717" s="154" t="s">
        <v>2936</v>
      </c>
      <c r="E1717" s="129" t="s">
        <v>1633</v>
      </c>
      <c r="F1717" s="130"/>
      <c r="G1717" s="131">
        <v>229</v>
      </c>
      <c r="H1717" s="118"/>
      <c r="I1717" s="118">
        <v>42.19</v>
      </c>
      <c r="J1717" s="118"/>
      <c r="K1717" s="120">
        <v>15.4</v>
      </c>
      <c r="L1717" s="450">
        <f t="shared" si="129"/>
        <v>57.589999999999996</v>
      </c>
      <c r="M1717" s="134">
        <f t="shared" si="130"/>
        <v>13188.109999999999</v>
      </c>
    </row>
    <row r="1718" spans="2:13" outlineLevel="3">
      <c r="B1718" s="116" t="s">
        <v>2902</v>
      </c>
      <c r="C1718" s="129" t="s">
        <v>2937</v>
      </c>
      <c r="D1718" s="154" t="s">
        <v>2938</v>
      </c>
      <c r="E1718" s="129" t="s">
        <v>1633</v>
      </c>
      <c r="F1718" s="130"/>
      <c r="G1718" s="131">
        <v>60</v>
      </c>
      <c r="H1718" s="118"/>
      <c r="I1718" s="118">
        <v>34.18</v>
      </c>
      <c r="J1718" s="118"/>
      <c r="K1718" s="120">
        <v>15.2</v>
      </c>
      <c r="L1718" s="450">
        <f t="shared" si="129"/>
        <v>49.379999999999995</v>
      </c>
      <c r="M1718" s="134">
        <f t="shared" si="130"/>
        <v>2962.7999999999997</v>
      </c>
    </row>
    <row r="1719" spans="2:13" outlineLevel="3">
      <c r="B1719" s="116" t="s">
        <v>2902</v>
      </c>
      <c r="C1719" s="129" t="s">
        <v>2939</v>
      </c>
      <c r="D1719" s="154" t="s">
        <v>2940</v>
      </c>
      <c r="E1719" s="129" t="s">
        <v>1633</v>
      </c>
      <c r="F1719" s="130"/>
      <c r="G1719" s="131">
        <v>12</v>
      </c>
      <c r="H1719" s="118"/>
      <c r="I1719" s="118">
        <v>29.72</v>
      </c>
      <c r="J1719" s="118"/>
      <c r="K1719" s="120">
        <v>11.1</v>
      </c>
      <c r="L1719" s="450">
        <f t="shared" si="129"/>
        <v>40.82</v>
      </c>
      <c r="M1719" s="134">
        <f t="shared" si="130"/>
        <v>489.84000000000003</v>
      </c>
    </row>
    <row r="1720" spans="2:13" outlineLevel="3">
      <c r="B1720" s="116" t="s">
        <v>2902</v>
      </c>
      <c r="C1720" s="129" t="s">
        <v>2941</v>
      </c>
      <c r="D1720" s="154" t="s">
        <v>2942</v>
      </c>
      <c r="E1720" s="129" t="s">
        <v>1633</v>
      </c>
      <c r="F1720" s="130"/>
      <c r="G1720" s="131">
        <v>43</v>
      </c>
      <c r="H1720" s="118"/>
      <c r="I1720" s="118">
        <v>29.72</v>
      </c>
      <c r="J1720" s="118"/>
      <c r="K1720" s="120">
        <v>11.1</v>
      </c>
      <c r="L1720" s="450">
        <f t="shared" si="129"/>
        <v>40.82</v>
      </c>
      <c r="M1720" s="134">
        <f t="shared" si="130"/>
        <v>1755.26</v>
      </c>
    </row>
    <row r="1721" spans="2:13" outlineLevel="2">
      <c r="B1721" s="116"/>
      <c r="C1721" s="126" t="s">
        <v>2943</v>
      </c>
      <c r="D1721" s="260" t="s">
        <v>2944</v>
      </c>
      <c r="E1721" s="118" t="s">
        <v>99</v>
      </c>
      <c r="F1721" s="161"/>
      <c r="G1721" s="116"/>
      <c r="H1721" s="118"/>
      <c r="I1721" s="118"/>
      <c r="J1721" s="118"/>
      <c r="K1721" s="120"/>
      <c r="L1721" s="121"/>
      <c r="M1721" s="264">
        <f>SUM(M1722:M1727)</f>
        <v>79310.700000000012</v>
      </c>
    </row>
    <row r="1722" spans="2:13" outlineLevel="3">
      <c r="B1722" s="116" t="s">
        <v>2902</v>
      </c>
      <c r="C1722" s="129" t="s">
        <v>2945</v>
      </c>
      <c r="D1722" s="154" t="s">
        <v>2946</v>
      </c>
      <c r="E1722" s="129" t="s">
        <v>890</v>
      </c>
      <c r="F1722" s="130"/>
      <c r="G1722" s="131">
        <v>506</v>
      </c>
      <c r="H1722" s="118"/>
      <c r="I1722" s="118">
        <v>28.75</v>
      </c>
      <c r="J1722" s="118"/>
      <c r="K1722" s="120">
        <v>32.700000000000003</v>
      </c>
      <c r="L1722" s="450">
        <f t="shared" ref="L1722:L1727" si="131">SUM(H1722:K1722)</f>
        <v>61.45</v>
      </c>
      <c r="M1722" s="134">
        <f t="shared" ref="M1722:M1727" si="132">+L1722*G1722</f>
        <v>31093.7</v>
      </c>
    </row>
    <row r="1723" spans="2:13" outlineLevel="3">
      <c r="B1723" s="116" t="s">
        <v>2902</v>
      </c>
      <c r="C1723" s="129" t="s">
        <v>2947</v>
      </c>
      <c r="D1723" s="154" t="s">
        <v>2948</v>
      </c>
      <c r="E1723" s="129" t="s">
        <v>890</v>
      </c>
      <c r="F1723" s="130"/>
      <c r="G1723" s="131">
        <v>128</v>
      </c>
      <c r="H1723" s="118"/>
      <c r="I1723" s="118">
        <v>28.75</v>
      </c>
      <c r="J1723" s="118"/>
      <c r="K1723" s="120">
        <v>32.700000000000003</v>
      </c>
      <c r="L1723" s="450">
        <f t="shared" si="131"/>
        <v>61.45</v>
      </c>
      <c r="M1723" s="134">
        <f t="shared" si="132"/>
        <v>7865.6</v>
      </c>
    </row>
    <row r="1724" spans="2:13" outlineLevel="3">
      <c r="B1724" s="116" t="s">
        <v>2902</v>
      </c>
      <c r="C1724" s="129" t="s">
        <v>2949</v>
      </c>
      <c r="D1724" s="154" t="s">
        <v>2950</v>
      </c>
      <c r="E1724" s="129" t="s">
        <v>890</v>
      </c>
      <c r="F1724" s="130"/>
      <c r="G1724" s="131">
        <v>521</v>
      </c>
      <c r="H1724" s="118"/>
      <c r="I1724" s="118">
        <v>33.700000000000003</v>
      </c>
      <c r="J1724" s="118"/>
      <c r="K1724" s="120">
        <v>32.700000000000003</v>
      </c>
      <c r="L1724" s="450">
        <f t="shared" si="131"/>
        <v>66.400000000000006</v>
      </c>
      <c r="M1724" s="134">
        <f t="shared" si="132"/>
        <v>34594.400000000001</v>
      </c>
    </row>
    <row r="1725" spans="2:13" outlineLevel="3">
      <c r="B1725" s="116" t="s">
        <v>2902</v>
      </c>
      <c r="C1725" s="129" t="s">
        <v>2951</v>
      </c>
      <c r="D1725" s="154" t="s">
        <v>2952</v>
      </c>
      <c r="E1725" s="129" t="s">
        <v>890</v>
      </c>
      <c r="F1725" s="130"/>
      <c r="G1725" s="131">
        <v>30</v>
      </c>
      <c r="H1725" s="118"/>
      <c r="I1725" s="118">
        <v>57.5</v>
      </c>
      <c r="J1725" s="118"/>
      <c r="K1725" s="120">
        <v>32.700000000000003</v>
      </c>
      <c r="L1725" s="450">
        <f t="shared" si="131"/>
        <v>90.2</v>
      </c>
      <c r="M1725" s="134">
        <f t="shared" si="132"/>
        <v>2706</v>
      </c>
    </row>
    <row r="1726" spans="2:13" outlineLevel="3">
      <c r="B1726" s="116" t="s">
        <v>2902</v>
      </c>
      <c r="C1726" s="129" t="s">
        <v>2953</v>
      </c>
      <c r="D1726" s="154" t="s">
        <v>2954</v>
      </c>
      <c r="E1726" s="129" t="s">
        <v>890</v>
      </c>
      <c r="F1726" s="130"/>
      <c r="G1726" s="131">
        <v>28</v>
      </c>
      <c r="H1726" s="118"/>
      <c r="I1726" s="118">
        <v>57.5</v>
      </c>
      <c r="J1726" s="118"/>
      <c r="K1726" s="120">
        <v>32.700000000000003</v>
      </c>
      <c r="L1726" s="450">
        <f t="shared" si="131"/>
        <v>90.2</v>
      </c>
      <c r="M1726" s="134">
        <f t="shared" si="132"/>
        <v>2525.6</v>
      </c>
    </row>
    <row r="1727" spans="2:13" outlineLevel="3">
      <c r="B1727" s="116" t="s">
        <v>2902</v>
      </c>
      <c r="C1727" s="129" t="s">
        <v>2955</v>
      </c>
      <c r="D1727" s="154" t="s">
        <v>2956</v>
      </c>
      <c r="E1727" s="129" t="s">
        <v>890</v>
      </c>
      <c r="F1727" s="130"/>
      <c r="G1727" s="131">
        <v>2</v>
      </c>
      <c r="H1727" s="118"/>
      <c r="I1727" s="118">
        <v>230</v>
      </c>
      <c r="J1727" s="118"/>
      <c r="K1727" s="120">
        <v>32.700000000000003</v>
      </c>
      <c r="L1727" s="450">
        <f t="shared" si="131"/>
        <v>262.7</v>
      </c>
      <c r="M1727" s="134">
        <f t="shared" si="132"/>
        <v>525.4</v>
      </c>
    </row>
    <row r="1728" spans="2:13" outlineLevel="2">
      <c r="B1728" s="116"/>
      <c r="C1728" s="126" t="s">
        <v>2957</v>
      </c>
      <c r="D1728" s="260" t="s">
        <v>2958</v>
      </c>
      <c r="E1728" s="118" t="s">
        <v>99</v>
      </c>
      <c r="F1728" s="161"/>
      <c r="G1728" s="116"/>
      <c r="H1728" s="118"/>
      <c r="I1728" s="118"/>
      <c r="J1728" s="118"/>
      <c r="K1728" s="120"/>
      <c r="L1728" s="121"/>
      <c r="M1728" s="264">
        <f>SUM(M1729:M1729)</f>
        <v>37612.5</v>
      </c>
    </row>
    <row r="1729" spans="2:13" outlineLevel="3">
      <c r="B1729" s="116" t="s">
        <v>2902</v>
      </c>
      <c r="C1729" s="129" t="s">
        <v>2959</v>
      </c>
      <c r="D1729" s="154" t="s">
        <v>2960</v>
      </c>
      <c r="E1729" s="129" t="s">
        <v>890</v>
      </c>
      <c r="F1729" s="130"/>
      <c r="G1729" s="131">
        <v>125</v>
      </c>
      <c r="H1729" s="118"/>
      <c r="I1729" s="118">
        <v>255</v>
      </c>
      <c r="J1729" s="118"/>
      <c r="K1729" s="120">
        <v>45.9</v>
      </c>
      <c r="L1729" s="450">
        <f>SUM(H1729:K1729)</f>
        <v>300.89999999999998</v>
      </c>
      <c r="M1729" s="134">
        <f>+L1729*G1729</f>
        <v>37612.5</v>
      </c>
    </row>
    <row r="1730" spans="2:13" outlineLevel="2">
      <c r="B1730" s="116"/>
      <c r="C1730" s="126" t="s">
        <v>2961</v>
      </c>
      <c r="D1730" s="260" t="s">
        <v>2962</v>
      </c>
      <c r="E1730" s="118" t="s">
        <v>99</v>
      </c>
      <c r="F1730" s="161"/>
      <c r="G1730" s="116"/>
      <c r="H1730" s="118"/>
      <c r="I1730" s="118"/>
      <c r="J1730" s="118"/>
      <c r="K1730" s="120"/>
      <c r="L1730" s="121"/>
      <c r="M1730" s="264">
        <f>SUM(M1731)</f>
        <v>3500</v>
      </c>
    </row>
    <row r="1731" spans="2:13" outlineLevel="3">
      <c r="B1731" s="116" t="s">
        <v>2902</v>
      </c>
      <c r="C1731" s="129" t="s">
        <v>2963</v>
      </c>
      <c r="D1731" s="154" t="s">
        <v>2964</v>
      </c>
      <c r="E1731" s="129" t="s">
        <v>309</v>
      </c>
      <c r="F1731" s="130"/>
      <c r="G1731" s="131">
        <v>1</v>
      </c>
      <c r="H1731" s="118"/>
      <c r="I1731" s="118"/>
      <c r="J1731" s="118"/>
      <c r="K1731" s="120">
        <v>3500</v>
      </c>
      <c r="L1731" s="450">
        <f>SUM(H1731:K1731)</f>
        <v>3500</v>
      </c>
      <c r="M1731" s="134">
        <f>+L1731*G1731</f>
        <v>3500</v>
      </c>
    </row>
    <row r="1732" spans="2:13" outlineLevel="2">
      <c r="B1732" s="116"/>
      <c r="C1732" s="129"/>
      <c r="D1732" s="154"/>
      <c r="E1732" s="129"/>
      <c r="F1732" s="130"/>
      <c r="G1732" s="131"/>
      <c r="H1732" s="118"/>
      <c r="I1732" s="118"/>
      <c r="J1732" s="118"/>
      <c r="K1732" s="120"/>
      <c r="L1732" s="450"/>
      <c r="M1732" s="134"/>
    </row>
    <row r="1733" spans="2:13" outlineLevel="1">
      <c r="B1733" s="116"/>
      <c r="C1733" s="123" t="s">
        <v>2965</v>
      </c>
      <c r="D1733" s="449" t="s">
        <v>2966</v>
      </c>
      <c r="E1733" s="118" t="s">
        <v>96</v>
      </c>
      <c r="F1733" s="262"/>
      <c r="G1733" s="116"/>
      <c r="H1733" s="118"/>
      <c r="I1733" s="118"/>
      <c r="J1733" s="118"/>
      <c r="K1733" s="120"/>
      <c r="L1733" s="121"/>
      <c r="M1733" s="263">
        <f>+M1734+M1737+M1740+M1743</f>
        <v>159435.1</v>
      </c>
    </row>
    <row r="1734" spans="2:13" outlineLevel="2">
      <c r="B1734" s="116"/>
      <c r="C1734" s="126" t="s">
        <v>2967</v>
      </c>
      <c r="D1734" s="260" t="s">
        <v>2968</v>
      </c>
      <c r="E1734" s="118" t="s">
        <v>99</v>
      </c>
      <c r="F1734" s="161"/>
      <c r="G1734" s="116"/>
      <c r="H1734" s="118"/>
      <c r="I1734" s="118"/>
      <c r="J1734" s="118"/>
      <c r="K1734" s="120"/>
      <c r="L1734" s="121"/>
      <c r="M1734" s="264">
        <f>SUM(M1735:M1736)</f>
        <v>53261.8</v>
      </c>
    </row>
    <row r="1735" spans="2:13" outlineLevel="3">
      <c r="B1735" s="116" t="s">
        <v>2902</v>
      </c>
      <c r="C1735" s="129" t="s">
        <v>2969</v>
      </c>
      <c r="D1735" s="154" t="s">
        <v>2970</v>
      </c>
      <c r="E1735" s="129" t="s">
        <v>2364</v>
      </c>
      <c r="F1735" s="130"/>
      <c r="G1735" s="131">
        <v>879</v>
      </c>
      <c r="H1735" s="118"/>
      <c r="I1735" s="118">
        <v>14.45</v>
      </c>
      <c r="J1735" s="118"/>
      <c r="K1735" s="120">
        <v>38.5</v>
      </c>
      <c r="L1735" s="450">
        <f>SUM(H1735:K1735)</f>
        <v>52.95</v>
      </c>
      <c r="M1735" s="134">
        <f>+L1735*G1735</f>
        <v>46543.05</v>
      </c>
    </row>
    <row r="1736" spans="2:13" outlineLevel="3">
      <c r="B1736" s="116" t="s">
        <v>2902</v>
      </c>
      <c r="C1736" s="129" t="s">
        <v>2971</v>
      </c>
      <c r="D1736" s="154" t="s">
        <v>2972</v>
      </c>
      <c r="E1736" s="129" t="s">
        <v>2364</v>
      </c>
      <c r="F1736" s="130"/>
      <c r="G1736" s="131">
        <v>125</v>
      </c>
      <c r="H1736" s="118"/>
      <c r="I1736" s="118">
        <v>15.25</v>
      </c>
      <c r="J1736" s="118"/>
      <c r="K1736" s="120">
        <v>38.5</v>
      </c>
      <c r="L1736" s="450">
        <f>SUM(H1736:K1736)</f>
        <v>53.75</v>
      </c>
      <c r="M1736" s="134">
        <f>+L1736*G1736</f>
        <v>6718.75</v>
      </c>
    </row>
    <row r="1737" spans="2:13" outlineLevel="2">
      <c r="B1737" s="116"/>
      <c r="C1737" s="126" t="s">
        <v>2973</v>
      </c>
      <c r="D1737" s="260" t="s">
        <v>2910</v>
      </c>
      <c r="E1737" s="118" t="s">
        <v>99</v>
      </c>
      <c r="F1737" s="161"/>
      <c r="G1737" s="116"/>
      <c r="H1737" s="118"/>
      <c r="I1737" s="118"/>
      <c r="J1737" s="118"/>
      <c r="K1737" s="120"/>
      <c r="L1737" s="121"/>
      <c r="M1737" s="264">
        <f>SUM(M1738:M1739)</f>
        <v>55844.150000000009</v>
      </c>
    </row>
    <row r="1738" spans="2:13" outlineLevel="3">
      <c r="B1738" s="116" t="s">
        <v>2902</v>
      </c>
      <c r="C1738" s="129" t="s">
        <v>2974</v>
      </c>
      <c r="D1738" s="154" t="s">
        <v>2975</v>
      </c>
      <c r="E1738" s="129" t="s">
        <v>1633</v>
      </c>
      <c r="F1738" s="130"/>
      <c r="G1738" s="131">
        <v>2637</v>
      </c>
      <c r="H1738" s="118"/>
      <c r="I1738" s="118">
        <v>6.4</v>
      </c>
      <c r="J1738" s="118"/>
      <c r="K1738" s="120">
        <v>10.3</v>
      </c>
      <c r="L1738" s="450">
        <f>SUM(H1738:K1738)</f>
        <v>16.700000000000003</v>
      </c>
      <c r="M1738" s="134">
        <f>+L1738*G1738</f>
        <v>44037.900000000009</v>
      </c>
    </row>
    <row r="1739" spans="2:13" outlineLevel="3">
      <c r="B1739" s="116" t="s">
        <v>2902</v>
      </c>
      <c r="C1739" s="129" t="s">
        <v>2976</v>
      </c>
      <c r="D1739" s="154" t="s">
        <v>2977</v>
      </c>
      <c r="E1739" s="129" t="s">
        <v>1633</v>
      </c>
      <c r="F1739" s="130"/>
      <c r="G1739" s="131">
        <v>625</v>
      </c>
      <c r="H1739" s="118"/>
      <c r="I1739" s="118">
        <v>8.59</v>
      </c>
      <c r="J1739" s="118"/>
      <c r="K1739" s="120">
        <v>10.3</v>
      </c>
      <c r="L1739" s="450">
        <f>SUM(H1739:K1739)</f>
        <v>18.89</v>
      </c>
      <c r="M1739" s="134">
        <f>+L1739*G1739</f>
        <v>11806.25</v>
      </c>
    </row>
    <row r="1740" spans="2:13" outlineLevel="2">
      <c r="B1740" s="116"/>
      <c r="C1740" s="126" t="s">
        <v>2978</v>
      </c>
      <c r="D1740" s="260" t="s">
        <v>2944</v>
      </c>
      <c r="E1740" s="118" t="s">
        <v>99</v>
      </c>
      <c r="F1740" s="161"/>
      <c r="G1740" s="116"/>
      <c r="H1740" s="118"/>
      <c r="I1740" s="118"/>
      <c r="J1740" s="118"/>
      <c r="K1740" s="120"/>
      <c r="L1740" s="121"/>
      <c r="M1740" s="264">
        <f>SUM(M1741:M1742)</f>
        <v>46829.15</v>
      </c>
    </row>
    <row r="1741" spans="2:13" outlineLevel="3">
      <c r="B1741" s="116" t="s">
        <v>2902</v>
      </c>
      <c r="C1741" s="129" t="s">
        <v>2979</v>
      </c>
      <c r="D1741" s="154" t="s">
        <v>2980</v>
      </c>
      <c r="E1741" s="129" t="s">
        <v>890</v>
      </c>
      <c r="F1741" s="130"/>
      <c r="G1741" s="131">
        <v>627</v>
      </c>
      <c r="H1741" s="118"/>
      <c r="I1741" s="118">
        <v>28.75</v>
      </c>
      <c r="J1741" s="118"/>
      <c r="K1741" s="120">
        <v>32.700000000000003</v>
      </c>
      <c r="L1741" s="450">
        <f>SUM(H1741:K1741)</f>
        <v>61.45</v>
      </c>
      <c r="M1741" s="134">
        <f>+L1741*G1741</f>
        <v>38529.15</v>
      </c>
    </row>
    <row r="1742" spans="2:13" outlineLevel="3">
      <c r="B1742" s="116" t="s">
        <v>2902</v>
      </c>
      <c r="C1742" s="129" t="s">
        <v>2981</v>
      </c>
      <c r="D1742" s="154" t="s">
        <v>2982</v>
      </c>
      <c r="E1742" s="129" t="s">
        <v>890</v>
      </c>
      <c r="F1742" s="130"/>
      <c r="G1742" s="131">
        <v>125</v>
      </c>
      <c r="H1742" s="118"/>
      <c r="I1742" s="118">
        <v>33.700000000000003</v>
      </c>
      <c r="J1742" s="118"/>
      <c r="K1742" s="120">
        <v>32.700000000000003</v>
      </c>
      <c r="L1742" s="450">
        <f>SUM(H1742:K1742)</f>
        <v>66.400000000000006</v>
      </c>
      <c r="M1742" s="134">
        <f>+L1742*G1742</f>
        <v>8300</v>
      </c>
    </row>
    <row r="1743" spans="2:13" outlineLevel="2">
      <c r="B1743" s="116"/>
      <c r="C1743" s="126" t="s">
        <v>2983</v>
      </c>
      <c r="D1743" s="260" t="s">
        <v>2962</v>
      </c>
      <c r="E1743" s="118" t="s">
        <v>99</v>
      </c>
      <c r="F1743" s="161"/>
      <c r="G1743" s="116"/>
      <c r="H1743" s="118"/>
      <c r="I1743" s="118"/>
      <c r="J1743" s="118"/>
      <c r="K1743" s="120"/>
      <c r="L1743" s="121"/>
      <c r="M1743" s="264">
        <f>SUM(M1744:M1744)</f>
        <v>3500</v>
      </c>
    </row>
    <row r="1744" spans="2:13" outlineLevel="3">
      <c r="B1744" s="116" t="s">
        <v>2902</v>
      </c>
      <c r="C1744" s="129" t="s">
        <v>2984</v>
      </c>
      <c r="D1744" s="154" t="s">
        <v>2964</v>
      </c>
      <c r="E1744" s="129" t="s">
        <v>309</v>
      </c>
      <c r="F1744" s="130"/>
      <c r="G1744" s="131">
        <v>1</v>
      </c>
      <c r="H1744" s="118"/>
      <c r="I1744" s="118"/>
      <c r="J1744" s="118"/>
      <c r="K1744" s="120">
        <v>3500</v>
      </c>
      <c r="L1744" s="450">
        <f>SUM(H1744:K1744)</f>
        <v>3500</v>
      </c>
      <c r="M1744" s="134">
        <f>+L1744*G1744</f>
        <v>3500</v>
      </c>
    </row>
    <row r="1745" spans="2:13" outlineLevel="2">
      <c r="B1745" s="116"/>
      <c r="C1745" s="129"/>
      <c r="D1745" s="154"/>
      <c r="E1745" s="129"/>
      <c r="F1745" s="130"/>
      <c r="G1745" s="131"/>
      <c r="H1745" s="118"/>
      <c r="I1745" s="118"/>
      <c r="J1745" s="118"/>
      <c r="K1745" s="120"/>
      <c r="L1745" s="450"/>
      <c r="M1745" s="134"/>
    </row>
    <row r="1746" spans="2:13" outlineLevel="1">
      <c r="B1746" s="116"/>
      <c r="C1746" s="123" t="s">
        <v>2985</v>
      </c>
      <c r="D1746" s="449" t="s">
        <v>2986</v>
      </c>
      <c r="E1746" s="118" t="s">
        <v>96</v>
      </c>
      <c r="F1746" s="262"/>
      <c r="G1746" s="116"/>
      <c r="H1746" s="118"/>
      <c r="I1746" s="118"/>
      <c r="J1746" s="118"/>
      <c r="K1746" s="120"/>
      <c r="L1746" s="121"/>
      <c r="M1746" s="263">
        <f>+M1747+M1753+M1759+M1768+M1771+M1785</f>
        <v>581998.87609999999</v>
      </c>
    </row>
    <row r="1747" spans="2:13" outlineLevel="2">
      <c r="B1747" s="116"/>
      <c r="C1747" s="126" t="s">
        <v>2987</v>
      </c>
      <c r="D1747" s="260" t="s">
        <v>2988</v>
      </c>
      <c r="E1747" s="118" t="s">
        <v>99</v>
      </c>
      <c r="F1747" s="161"/>
      <c r="G1747" s="116"/>
      <c r="H1747" s="118"/>
      <c r="I1747" s="118"/>
      <c r="J1747" s="118"/>
      <c r="K1747" s="120"/>
      <c r="L1747" s="121"/>
      <c r="M1747" s="264">
        <f>SUM(M1748:M1752)</f>
        <v>1957.3400000000001</v>
      </c>
    </row>
    <row r="1748" spans="2:13" outlineLevel="3">
      <c r="B1748" s="116" t="s">
        <v>2902</v>
      </c>
      <c r="C1748" s="129" t="s">
        <v>2989</v>
      </c>
      <c r="D1748" s="154" t="s">
        <v>2990</v>
      </c>
      <c r="E1748" s="129" t="s">
        <v>1633</v>
      </c>
      <c r="F1748" s="130"/>
      <c r="G1748" s="131">
        <v>62</v>
      </c>
      <c r="H1748" s="118"/>
      <c r="I1748" s="120">
        <v>1.25</v>
      </c>
      <c r="J1748" s="120"/>
      <c r="K1748" s="120">
        <v>0.9</v>
      </c>
      <c r="L1748" s="450">
        <f>SUM(H1748:K1748)</f>
        <v>2.15</v>
      </c>
      <c r="M1748" s="134">
        <f>+L1748*G1748</f>
        <v>133.29999999999998</v>
      </c>
    </row>
    <row r="1749" spans="2:13" outlineLevel="3">
      <c r="B1749" s="116" t="s">
        <v>2902</v>
      </c>
      <c r="C1749" s="129" t="s">
        <v>2991</v>
      </c>
      <c r="D1749" s="154" t="s">
        <v>2992</v>
      </c>
      <c r="E1749" s="129" t="s">
        <v>325</v>
      </c>
      <c r="F1749" s="130"/>
      <c r="G1749" s="131">
        <v>29.76</v>
      </c>
      <c r="H1749" s="118"/>
      <c r="I1749" s="120">
        <v>14.65</v>
      </c>
      <c r="J1749" s="120"/>
      <c r="K1749" s="120">
        <v>18.5</v>
      </c>
      <c r="L1749" s="450">
        <f>SUM(H1749:K1749)</f>
        <v>33.15</v>
      </c>
      <c r="M1749" s="134">
        <f>+L1749*G1749</f>
        <v>986.54399999999998</v>
      </c>
    </row>
    <row r="1750" spans="2:13" outlineLevel="3">
      <c r="B1750" s="116" t="s">
        <v>2902</v>
      </c>
      <c r="C1750" s="129" t="s">
        <v>2993</v>
      </c>
      <c r="D1750" s="154" t="s">
        <v>2994</v>
      </c>
      <c r="E1750" s="129" t="s">
        <v>325</v>
      </c>
      <c r="F1750" s="130"/>
      <c r="G1750" s="131">
        <v>4.96</v>
      </c>
      <c r="H1750" s="118"/>
      <c r="I1750" s="120">
        <v>28.75</v>
      </c>
      <c r="J1750" s="120"/>
      <c r="K1750" s="120">
        <v>12.9</v>
      </c>
      <c r="L1750" s="450">
        <f>SUM(H1750:K1750)</f>
        <v>41.65</v>
      </c>
      <c r="M1750" s="134">
        <f>+L1750*G1750</f>
        <v>206.584</v>
      </c>
    </row>
    <row r="1751" spans="2:13" outlineLevel="3">
      <c r="B1751" s="116" t="s">
        <v>2902</v>
      </c>
      <c r="C1751" s="129" t="s">
        <v>2995</v>
      </c>
      <c r="D1751" s="154" t="s">
        <v>2996</v>
      </c>
      <c r="E1751" s="129" t="s">
        <v>325</v>
      </c>
      <c r="F1751" s="130"/>
      <c r="G1751" s="131">
        <v>19.84</v>
      </c>
      <c r="H1751" s="118"/>
      <c r="I1751" s="120">
        <v>0</v>
      </c>
      <c r="J1751" s="120"/>
      <c r="K1751" s="120">
        <v>10.199999999999999</v>
      </c>
      <c r="L1751" s="450">
        <f>SUM(H1751:K1751)</f>
        <v>10.199999999999999</v>
      </c>
      <c r="M1751" s="134">
        <f>+L1751*G1751</f>
        <v>202.36799999999999</v>
      </c>
    </row>
    <row r="1752" spans="2:13" outlineLevel="3">
      <c r="B1752" s="116" t="s">
        <v>2902</v>
      </c>
      <c r="C1752" s="129" t="s">
        <v>2997</v>
      </c>
      <c r="D1752" s="154" t="s">
        <v>2998</v>
      </c>
      <c r="E1752" s="129" t="s">
        <v>325</v>
      </c>
      <c r="F1752" s="130"/>
      <c r="G1752" s="131">
        <v>9.92</v>
      </c>
      <c r="H1752" s="118"/>
      <c r="I1752" s="120">
        <v>20.7</v>
      </c>
      <c r="J1752" s="120"/>
      <c r="K1752" s="120">
        <v>22.5</v>
      </c>
      <c r="L1752" s="450">
        <f>SUM(H1752:K1752)</f>
        <v>43.2</v>
      </c>
      <c r="M1752" s="134">
        <f>+L1752*G1752</f>
        <v>428.54400000000004</v>
      </c>
    </row>
    <row r="1753" spans="2:13" outlineLevel="2">
      <c r="B1753" s="116"/>
      <c r="C1753" s="126" t="s">
        <v>2999</v>
      </c>
      <c r="D1753" s="260" t="s">
        <v>3000</v>
      </c>
      <c r="E1753" s="118" t="s">
        <v>99</v>
      </c>
      <c r="F1753" s="161"/>
      <c r="G1753" s="116"/>
      <c r="H1753" s="118"/>
      <c r="I1753" s="118"/>
      <c r="J1753" s="118"/>
      <c r="K1753" s="120"/>
      <c r="L1753" s="121"/>
      <c r="M1753" s="264">
        <f>SUM(M1754:M1758)</f>
        <v>154534.81410000002</v>
      </c>
    </row>
    <row r="1754" spans="2:13" outlineLevel="3">
      <c r="B1754" s="116" t="s">
        <v>2902</v>
      </c>
      <c r="C1754" s="129" t="s">
        <v>3001</v>
      </c>
      <c r="D1754" s="154" t="s">
        <v>3002</v>
      </c>
      <c r="E1754" s="129" t="s">
        <v>2364</v>
      </c>
      <c r="F1754" s="130"/>
      <c r="G1754" s="131">
        <v>2138</v>
      </c>
      <c r="H1754" s="118"/>
      <c r="I1754" s="118">
        <v>12.6</v>
      </c>
      <c r="J1754" s="118"/>
      <c r="K1754" s="120">
        <v>34.5</v>
      </c>
      <c r="L1754" s="450">
        <f>SUM(H1754:K1754)</f>
        <v>47.1</v>
      </c>
      <c r="M1754" s="134">
        <f>+L1754*G1754</f>
        <v>100699.8</v>
      </c>
    </row>
    <row r="1755" spans="2:13" outlineLevel="3">
      <c r="B1755" s="116" t="s">
        <v>2902</v>
      </c>
      <c r="C1755" s="129" t="s">
        <v>3003</v>
      </c>
      <c r="D1755" s="154" t="s">
        <v>3004</v>
      </c>
      <c r="E1755" s="129" t="s">
        <v>2364</v>
      </c>
      <c r="F1755" s="130"/>
      <c r="G1755" s="131">
        <v>17</v>
      </c>
      <c r="H1755" s="118"/>
      <c r="I1755" s="118">
        <v>24.9773</v>
      </c>
      <c r="J1755" s="118"/>
      <c r="K1755" s="120">
        <v>34.5</v>
      </c>
      <c r="L1755" s="450">
        <f>SUM(H1755:K1755)</f>
        <v>59.4773</v>
      </c>
      <c r="M1755" s="134">
        <f>+L1755*G1755</f>
        <v>1011.1141</v>
      </c>
    </row>
    <row r="1756" spans="2:13" outlineLevel="3">
      <c r="B1756" s="116" t="s">
        <v>2902</v>
      </c>
      <c r="C1756" s="129" t="s">
        <v>3005</v>
      </c>
      <c r="D1756" s="154" t="s">
        <v>3006</v>
      </c>
      <c r="E1756" s="129" t="s">
        <v>2364</v>
      </c>
      <c r="F1756" s="130"/>
      <c r="G1756" s="131">
        <v>266</v>
      </c>
      <c r="H1756" s="118"/>
      <c r="I1756" s="118">
        <v>24.5</v>
      </c>
      <c r="J1756" s="118"/>
      <c r="K1756" s="120">
        <v>34.5</v>
      </c>
      <c r="L1756" s="450">
        <f>SUM(H1756:K1756)</f>
        <v>59</v>
      </c>
      <c r="M1756" s="134">
        <f>+L1756*G1756</f>
        <v>15694</v>
      </c>
    </row>
    <row r="1757" spans="2:13" outlineLevel="3">
      <c r="B1757" s="116" t="s">
        <v>2902</v>
      </c>
      <c r="C1757" s="129" t="s">
        <v>3007</v>
      </c>
      <c r="D1757" s="154" t="s">
        <v>3008</v>
      </c>
      <c r="E1757" s="129" t="s">
        <v>890</v>
      </c>
      <c r="F1757" s="130"/>
      <c r="G1757" s="131">
        <v>2</v>
      </c>
      <c r="H1757" s="118"/>
      <c r="I1757" s="118">
        <v>185</v>
      </c>
      <c r="J1757" s="118"/>
      <c r="K1757" s="120">
        <v>34.5</v>
      </c>
      <c r="L1757" s="450">
        <f>SUM(H1757:K1757)</f>
        <v>219.5</v>
      </c>
      <c r="M1757" s="134">
        <f>+L1757*G1757</f>
        <v>439</v>
      </c>
    </row>
    <row r="1758" spans="2:13" outlineLevel="3">
      <c r="B1758" s="116" t="s">
        <v>2902</v>
      </c>
      <c r="C1758" s="129" t="s">
        <v>3009</v>
      </c>
      <c r="D1758" s="154" t="s">
        <v>3010</v>
      </c>
      <c r="E1758" s="129" t="s">
        <v>2364</v>
      </c>
      <c r="F1758" s="130"/>
      <c r="G1758" s="131">
        <v>779</v>
      </c>
      <c r="H1758" s="118"/>
      <c r="I1758" s="118">
        <v>12.6</v>
      </c>
      <c r="J1758" s="118"/>
      <c r="K1758" s="120">
        <v>34.5</v>
      </c>
      <c r="L1758" s="450">
        <f>SUM(H1758:K1758)</f>
        <v>47.1</v>
      </c>
      <c r="M1758" s="134">
        <f>+L1758*G1758</f>
        <v>36690.9</v>
      </c>
    </row>
    <row r="1759" spans="2:13" outlineLevel="2">
      <c r="B1759" s="116"/>
      <c r="C1759" s="126" t="s">
        <v>3011</v>
      </c>
      <c r="D1759" s="260" t="s">
        <v>3012</v>
      </c>
      <c r="E1759" s="118" t="s">
        <v>99</v>
      </c>
      <c r="F1759" s="161"/>
      <c r="G1759" s="116"/>
      <c r="H1759" s="118"/>
      <c r="I1759" s="118"/>
      <c r="J1759" s="118"/>
      <c r="K1759" s="120"/>
      <c r="L1759" s="121"/>
      <c r="M1759" s="264">
        <f>SUM(M1760:M1767)</f>
        <v>139397.16449999998</v>
      </c>
    </row>
    <row r="1760" spans="2:13" outlineLevel="3">
      <c r="B1760" s="116" t="s">
        <v>2902</v>
      </c>
      <c r="C1760" s="129" t="s">
        <v>3013</v>
      </c>
      <c r="D1760" s="154" t="s">
        <v>3014</v>
      </c>
      <c r="E1760" s="129" t="s">
        <v>1633</v>
      </c>
      <c r="F1760" s="130"/>
      <c r="G1760" s="131">
        <v>10</v>
      </c>
      <c r="H1760" s="118"/>
      <c r="I1760" s="120">
        <v>12.351000000000001</v>
      </c>
      <c r="J1760" s="118"/>
      <c r="K1760" s="120">
        <v>16.350000000000001</v>
      </c>
      <c r="L1760" s="450">
        <f t="shared" ref="L1760:L1767" si="133">SUM(H1760:K1760)</f>
        <v>28.701000000000001</v>
      </c>
      <c r="M1760" s="134">
        <f t="shared" ref="M1760:M1767" si="134">+L1760*G1760</f>
        <v>287.01</v>
      </c>
    </row>
    <row r="1761" spans="2:13" outlineLevel="3">
      <c r="B1761" s="116" t="s">
        <v>2902</v>
      </c>
      <c r="C1761" s="129" t="s">
        <v>3015</v>
      </c>
      <c r="D1761" s="154" t="s">
        <v>3016</v>
      </c>
      <c r="E1761" s="129" t="s">
        <v>1633</v>
      </c>
      <c r="F1761" s="130"/>
      <c r="G1761" s="131">
        <v>294</v>
      </c>
      <c r="H1761" s="118"/>
      <c r="I1761" s="120">
        <v>16.45</v>
      </c>
      <c r="J1761" s="118"/>
      <c r="K1761" s="120">
        <v>24.84</v>
      </c>
      <c r="L1761" s="450">
        <f t="shared" si="133"/>
        <v>41.29</v>
      </c>
      <c r="M1761" s="134">
        <f t="shared" si="134"/>
        <v>12139.26</v>
      </c>
    </row>
    <row r="1762" spans="2:13" outlineLevel="3">
      <c r="B1762" s="116" t="s">
        <v>2902</v>
      </c>
      <c r="C1762" s="129" t="s">
        <v>3017</v>
      </c>
      <c r="D1762" s="154" t="s">
        <v>3018</v>
      </c>
      <c r="E1762" s="129" t="s">
        <v>1633</v>
      </c>
      <c r="F1762" s="130"/>
      <c r="G1762" s="131">
        <v>156</v>
      </c>
      <c r="H1762" s="118"/>
      <c r="I1762" s="120">
        <v>26.85</v>
      </c>
      <c r="J1762" s="118"/>
      <c r="K1762" s="120">
        <v>26.5</v>
      </c>
      <c r="L1762" s="450">
        <f t="shared" si="133"/>
        <v>53.35</v>
      </c>
      <c r="M1762" s="134">
        <f t="shared" si="134"/>
        <v>8322.6</v>
      </c>
    </row>
    <row r="1763" spans="2:13" outlineLevel="3">
      <c r="B1763" s="116" t="s">
        <v>2902</v>
      </c>
      <c r="C1763" s="129" t="s">
        <v>3019</v>
      </c>
      <c r="D1763" s="154" t="s">
        <v>3020</v>
      </c>
      <c r="E1763" s="129" t="s">
        <v>1633</v>
      </c>
      <c r="F1763" s="130"/>
      <c r="G1763" s="131">
        <v>79</v>
      </c>
      <c r="H1763" s="118"/>
      <c r="I1763" s="120">
        <v>40.893999999999998</v>
      </c>
      <c r="J1763" s="118"/>
      <c r="K1763" s="120">
        <v>38.5</v>
      </c>
      <c r="L1763" s="450">
        <f t="shared" si="133"/>
        <v>79.394000000000005</v>
      </c>
      <c r="M1763" s="134">
        <f t="shared" si="134"/>
        <v>6272.1260000000002</v>
      </c>
    </row>
    <row r="1764" spans="2:13" outlineLevel="3">
      <c r="B1764" s="116" t="s">
        <v>2902</v>
      </c>
      <c r="C1764" s="129" t="s">
        <v>3021</v>
      </c>
      <c r="D1764" s="154" t="s">
        <v>3022</v>
      </c>
      <c r="E1764" s="129" t="s">
        <v>1633</v>
      </c>
      <c r="F1764" s="130"/>
      <c r="G1764" s="131">
        <v>5847</v>
      </c>
      <c r="H1764" s="118"/>
      <c r="I1764" s="120">
        <v>7.0259999999999998</v>
      </c>
      <c r="J1764" s="118"/>
      <c r="K1764" s="120">
        <v>8.7799999999999994</v>
      </c>
      <c r="L1764" s="450">
        <f t="shared" si="133"/>
        <v>15.805999999999999</v>
      </c>
      <c r="M1764" s="134">
        <f t="shared" si="134"/>
        <v>92417.682000000001</v>
      </c>
    </row>
    <row r="1765" spans="2:13" outlineLevel="3">
      <c r="B1765" s="116" t="s">
        <v>2902</v>
      </c>
      <c r="C1765" s="129" t="s">
        <v>3023</v>
      </c>
      <c r="D1765" s="154" t="s">
        <v>3024</v>
      </c>
      <c r="E1765" s="129" t="s">
        <v>1633</v>
      </c>
      <c r="F1765" s="130"/>
      <c r="G1765" s="131">
        <v>51</v>
      </c>
      <c r="H1765" s="118"/>
      <c r="I1765" s="120">
        <v>10.728999999999999</v>
      </c>
      <c r="J1765" s="118"/>
      <c r="K1765" s="120">
        <v>10.79</v>
      </c>
      <c r="L1765" s="450">
        <f t="shared" si="133"/>
        <v>21.518999999999998</v>
      </c>
      <c r="M1765" s="134">
        <f t="shared" si="134"/>
        <v>1097.4689999999998</v>
      </c>
    </row>
    <row r="1766" spans="2:13" outlineLevel="3">
      <c r="B1766" s="116" t="s">
        <v>2902</v>
      </c>
      <c r="C1766" s="129" t="s">
        <v>3025</v>
      </c>
      <c r="D1766" s="154" t="s">
        <v>3026</v>
      </c>
      <c r="E1766" s="129" t="s">
        <v>1633</v>
      </c>
      <c r="F1766" s="130"/>
      <c r="G1766" s="131">
        <v>587</v>
      </c>
      <c r="H1766" s="118"/>
      <c r="I1766" s="120">
        <v>18.75</v>
      </c>
      <c r="J1766" s="118"/>
      <c r="K1766" s="120">
        <v>12.34</v>
      </c>
      <c r="L1766" s="450">
        <f t="shared" si="133"/>
        <v>31.09</v>
      </c>
      <c r="M1766" s="134">
        <f t="shared" si="134"/>
        <v>18249.829999999998</v>
      </c>
    </row>
    <row r="1767" spans="2:13" outlineLevel="3">
      <c r="B1767" s="116" t="s">
        <v>2902</v>
      </c>
      <c r="C1767" s="129" t="s">
        <v>3027</v>
      </c>
      <c r="D1767" s="154" t="s">
        <v>3028</v>
      </c>
      <c r="E1767" s="129" t="s">
        <v>1633</v>
      </c>
      <c r="F1767" s="130"/>
      <c r="G1767" s="131">
        <v>11</v>
      </c>
      <c r="H1767" s="118"/>
      <c r="I1767" s="120">
        <v>33.0625</v>
      </c>
      <c r="J1767" s="118"/>
      <c r="K1767" s="120">
        <v>22.5</v>
      </c>
      <c r="L1767" s="450">
        <f t="shared" si="133"/>
        <v>55.5625</v>
      </c>
      <c r="M1767" s="134">
        <f t="shared" si="134"/>
        <v>611.1875</v>
      </c>
    </row>
    <row r="1768" spans="2:13" outlineLevel="2">
      <c r="B1768" s="116"/>
      <c r="C1768" s="126" t="s">
        <v>3029</v>
      </c>
      <c r="D1768" s="260" t="s">
        <v>3030</v>
      </c>
      <c r="E1768" s="118" t="s">
        <v>99</v>
      </c>
      <c r="F1768" s="161"/>
      <c r="G1768" s="116"/>
      <c r="H1768" s="118"/>
      <c r="I1768" s="120"/>
      <c r="J1768" s="118"/>
      <c r="K1768" s="120"/>
      <c r="L1768" s="121"/>
      <c r="M1768" s="264">
        <f>SUM(M1769:M1770)</f>
        <v>221704.80000000002</v>
      </c>
    </row>
    <row r="1769" spans="2:13" outlineLevel="3">
      <c r="B1769" s="116" t="s">
        <v>2902</v>
      </c>
      <c r="C1769" s="129" t="s">
        <v>3031</v>
      </c>
      <c r="D1769" s="154" t="s">
        <v>3026</v>
      </c>
      <c r="E1769" s="129" t="s">
        <v>1633</v>
      </c>
      <c r="F1769" s="130"/>
      <c r="G1769" s="131">
        <v>2950</v>
      </c>
      <c r="H1769" s="118"/>
      <c r="I1769" s="120">
        <v>58.2</v>
      </c>
      <c r="J1769" s="118"/>
      <c r="K1769" s="120">
        <v>16.100000000000001</v>
      </c>
      <c r="L1769" s="450">
        <f>SUM(H1769:K1769)</f>
        <v>74.300000000000011</v>
      </c>
      <c r="M1769" s="134">
        <f>+L1769*G1769</f>
        <v>219185.00000000003</v>
      </c>
    </row>
    <row r="1770" spans="2:13" outlineLevel="3">
      <c r="B1770" s="116" t="s">
        <v>2902</v>
      </c>
      <c r="C1770" s="129" t="s">
        <v>3032</v>
      </c>
      <c r="D1770" s="154" t="s">
        <v>3033</v>
      </c>
      <c r="E1770" s="129" t="s">
        <v>1633</v>
      </c>
      <c r="F1770" s="130"/>
      <c r="G1770" s="131">
        <v>43</v>
      </c>
      <c r="H1770" s="118"/>
      <c r="I1770" s="120">
        <v>42.5</v>
      </c>
      <c r="J1770" s="118"/>
      <c r="K1770" s="120">
        <v>16.100000000000001</v>
      </c>
      <c r="L1770" s="450">
        <f>SUM(H1770:K1770)</f>
        <v>58.6</v>
      </c>
      <c r="M1770" s="134">
        <f>+L1770*G1770</f>
        <v>2519.8000000000002</v>
      </c>
    </row>
    <row r="1771" spans="2:13" outlineLevel="2">
      <c r="B1771" s="116"/>
      <c r="C1771" s="126" t="s">
        <v>3034</v>
      </c>
      <c r="D1771" s="260" t="s">
        <v>3035</v>
      </c>
      <c r="E1771" s="118" t="s">
        <v>99</v>
      </c>
      <c r="F1771" s="161"/>
      <c r="G1771" s="116"/>
      <c r="H1771" s="118"/>
      <c r="I1771" s="118"/>
      <c r="J1771" s="118"/>
      <c r="K1771" s="120"/>
      <c r="L1771" s="121"/>
      <c r="M1771" s="264">
        <f>SUM(M1772:M1784)</f>
        <v>60604.757499999992</v>
      </c>
    </row>
    <row r="1772" spans="2:13" outlineLevel="3">
      <c r="B1772" s="116" t="s">
        <v>2902</v>
      </c>
      <c r="C1772" s="129" t="s">
        <v>3036</v>
      </c>
      <c r="D1772" s="154" t="s">
        <v>3037</v>
      </c>
      <c r="E1772" s="129" t="s">
        <v>890</v>
      </c>
      <c r="F1772" s="130"/>
      <c r="G1772" s="131">
        <f>803-G1773</f>
        <v>553</v>
      </c>
      <c r="H1772" s="118"/>
      <c r="I1772" s="118">
        <v>19.45</v>
      </c>
      <c r="J1772" s="118"/>
      <c r="K1772" s="120">
        <v>13.5</v>
      </c>
      <c r="L1772" s="450">
        <f t="shared" ref="L1772:L1784" si="135">SUM(H1772:K1772)</f>
        <v>32.950000000000003</v>
      </c>
      <c r="M1772" s="134">
        <f t="shared" ref="M1772:M1784" si="136">+L1772*G1772</f>
        <v>18221.350000000002</v>
      </c>
    </row>
    <row r="1773" spans="2:13" s="153" customFormat="1" outlineLevel="3">
      <c r="B1773" s="144" t="s">
        <v>2902</v>
      </c>
      <c r="C1773" s="145"/>
      <c r="D1773" s="146" t="s">
        <v>3038</v>
      </c>
      <c r="E1773" s="145" t="s">
        <v>890</v>
      </c>
      <c r="F1773" s="147"/>
      <c r="G1773" s="148">
        <v>250</v>
      </c>
      <c r="H1773" s="149"/>
      <c r="I1773" s="149">
        <v>38</v>
      </c>
      <c r="J1773" s="149"/>
      <c r="K1773" s="150">
        <v>13.5</v>
      </c>
      <c r="L1773" s="458">
        <f t="shared" si="135"/>
        <v>51.5</v>
      </c>
      <c r="M1773" s="152">
        <f t="shared" si="136"/>
        <v>12875</v>
      </c>
    </row>
    <row r="1774" spans="2:13" outlineLevel="3">
      <c r="B1774" s="116" t="s">
        <v>2902</v>
      </c>
      <c r="C1774" s="129" t="s">
        <v>3039</v>
      </c>
      <c r="D1774" s="154" t="s">
        <v>3040</v>
      </c>
      <c r="E1774" s="129" t="s">
        <v>890</v>
      </c>
      <c r="F1774" s="130"/>
      <c r="G1774" s="131">
        <v>39</v>
      </c>
      <c r="H1774" s="118"/>
      <c r="I1774" s="118">
        <v>19.45</v>
      </c>
      <c r="J1774" s="118"/>
      <c r="K1774" s="120">
        <v>13.5</v>
      </c>
      <c r="L1774" s="450">
        <f t="shared" si="135"/>
        <v>32.950000000000003</v>
      </c>
      <c r="M1774" s="134">
        <f t="shared" si="136"/>
        <v>1285.0500000000002</v>
      </c>
    </row>
    <row r="1775" spans="2:13" outlineLevel="3">
      <c r="B1775" s="116" t="s">
        <v>2902</v>
      </c>
      <c r="C1775" s="129" t="s">
        <v>3041</v>
      </c>
      <c r="D1775" s="154" t="s">
        <v>3042</v>
      </c>
      <c r="E1775" s="129" t="s">
        <v>890</v>
      </c>
      <c r="F1775" s="130"/>
      <c r="G1775" s="131">
        <v>17</v>
      </c>
      <c r="H1775" s="118"/>
      <c r="I1775" s="118">
        <v>24.78</v>
      </c>
      <c r="J1775" s="118"/>
      <c r="K1775" s="120">
        <v>21.28</v>
      </c>
      <c r="L1775" s="450">
        <f t="shared" si="135"/>
        <v>46.06</v>
      </c>
      <c r="M1775" s="134">
        <f t="shared" si="136"/>
        <v>783.02</v>
      </c>
    </row>
    <row r="1776" spans="2:13" outlineLevel="3">
      <c r="B1776" s="116" t="s">
        <v>2902</v>
      </c>
      <c r="C1776" s="129" t="s">
        <v>3043</v>
      </c>
      <c r="D1776" s="154" t="s">
        <v>3044</v>
      </c>
      <c r="E1776" s="129" t="s">
        <v>890</v>
      </c>
      <c r="F1776" s="130"/>
      <c r="G1776" s="131">
        <v>3</v>
      </c>
      <c r="H1776" s="118"/>
      <c r="I1776" s="118">
        <v>77.17</v>
      </c>
      <c r="J1776" s="118"/>
      <c r="K1776" s="120">
        <v>21.28</v>
      </c>
      <c r="L1776" s="450">
        <f t="shared" si="135"/>
        <v>98.45</v>
      </c>
      <c r="M1776" s="134">
        <f t="shared" si="136"/>
        <v>295.35000000000002</v>
      </c>
    </row>
    <row r="1777" spans="2:13" outlineLevel="3">
      <c r="B1777" s="116" t="s">
        <v>2902</v>
      </c>
      <c r="C1777" s="129" t="s">
        <v>3045</v>
      </c>
      <c r="D1777" s="154" t="s">
        <v>3046</v>
      </c>
      <c r="E1777" s="129" t="s">
        <v>890</v>
      </c>
      <c r="F1777" s="130"/>
      <c r="G1777" s="131">
        <v>2</v>
      </c>
      <c r="H1777" s="118"/>
      <c r="I1777" s="118">
        <v>77.17</v>
      </c>
      <c r="J1777" s="118"/>
      <c r="K1777" s="120">
        <v>25.1</v>
      </c>
      <c r="L1777" s="450">
        <f t="shared" si="135"/>
        <v>102.27000000000001</v>
      </c>
      <c r="M1777" s="134">
        <f t="shared" si="136"/>
        <v>204.54000000000002</v>
      </c>
    </row>
    <row r="1778" spans="2:13" outlineLevel="3">
      <c r="B1778" s="116" t="s">
        <v>2902</v>
      </c>
      <c r="C1778" s="129" t="s">
        <v>3047</v>
      </c>
      <c r="D1778" s="154" t="s">
        <v>3048</v>
      </c>
      <c r="E1778" s="129" t="s">
        <v>890</v>
      </c>
      <c r="F1778" s="130"/>
      <c r="G1778" s="131">
        <v>520</v>
      </c>
      <c r="H1778" s="118"/>
      <c r="I1778" s="118">
        <v>19.45</v>
      </c>
      <c r="J1778" s="118"/>
      <c r="K1778" s="120">
        <v>13.5</v>
      </c>
      <c r="L1778" s="450">
        <f t="shared" si="135"/>
        <v>32.950000000000003</v>
      </c>
      <c r="M1778" s="134">
        <f t="shared" si="136"/>
        <v>17134</v>
      </c>
    </row>
    <row r="1779" spans="2:13" outlineLevel="3">
      <c r="B1779" s="116" t="s">
        <v>2902</v>
      </c>
      <c r="C1779" s="129" t="s">
        <v>3049</v>
      </c>
      <c r="D1779" s="154" t="s">
        <v>3050</v>
      </c>
      <c r="E1779" s="129" t="s">
        <v>890</v>
      </c>
      <c r="F1779" s="130"/>
      <c r="G1779" s="131">
        <v>1</v>
      </c>
      <c r="H1779" s="118"/>
      <c r="I1779" s="118">
        <v>77.17</v>
      </c>
      <c r="J1779" s="118"/>
      <c r="K1779" s="120">
        <v>21.28</v>
      </c>
      <c r="L1779" s="450">
        <f t="shared" si="135"/>
        <v>98.45</v>
      </c>
      <c r="M1779" s="134">
        <f t="shared" si="136"/>
        <v>98.45</v>
      </c>
    </row>
    <row r="1780" spans="2:13" outlineLevel="3">
      <c r="B1780" s="116" t="s">
        <v>2902</v>
      </c>
      <c r="C1780" s="129" t="s">
        <v>3051</v>
      </c>
      <c r="D1780" s="154" t="s">
        <v>3052</v>
      </c>
      <c r="E1780" s="129" t="s">
        <v>890</v>
      </c>
      <c r="F1780" s="130"/>
      <c r="G1780" s="131">
        <v>29</v>
      </c>
      <c r="H1780" s="118"/>
      <c r="I1780" s="118">
        <v>22.682500000000001</v>
      </c>
      <c r="J1780" s="118"/>
      <c r="K1780" s="120">
        <v>22.7</v>
      </c>
      <c r="L1780" s="450">
        <f t="shared" si="135"/>
        <v>45.3825</v>
      </c>
      <c r="M1780" s="134">
        <f t="shared" si="136"/>
        <v>1316.0925</v>
      </c>
    </row>
    <row r="1781" spans="2:13" outlineLevel="3">
      <c r="B1781" s="116" t="s">
        <v>2902</v>
      </c>
      <c r="C1781" s="129" t="s">
        <v>3053</v>
      </c>
      <c r="D1781" s="154" t="s">
        <v>3054</v>
      </c>
      <c r="E1781" s="129" t="s">
        <v>890</v>
      </c>
      <c r="F1781" s="130"/>
      <c r="G1781" s="131">
        <v>22</v>
      </c>
      <c r="H1781" s="118"/>
      <c r="I1781" s="118">
        <v>35.6</v>
      </c>
      <c r="J1781" s="118"/>
      <c r="K1781" s="120">
        <v>25.1</v>
      </c>
      <c r="L1781" s="450">
        <f t="shared" si="135"/>
        <v>60.7</v>
      </c>
      <c r="M1781" s="134">
        <f t="shared" si="136"/>
        <v>1335.4</v>
      </c>
    </row>
    <row r="1782" spans="2:13" outlineLevel="3">
      <c r="B1782" s="116" t="s">
        <v>2902</v>
      </c>
      <c r="C1782" s="129" t="s">
        <v>3055</v>
      </c>
      <c r="D1782" s="154" t="s">
        <v>3056</v>
      </c>
      <c r="E1782" s="129" t="s">
        <v>890</v>
      </c>
      <c r="F1782" s="130"/>
      <c r="G1782" s="131">
        <v>5</v>
      </c>
      <c r="H1782" s="118"/>
      <c r="I1782" s="118">
        <v>56.000999999999998</v>
      </c>
      <c r="J1782" s="118"/>
      <c r="K1782" s="120">
        <v>25.1</v>
      </c>
      <c r="L1782" s="450">
        <f t="shared" si="135"/>
        <v>81.100999999999999</v>
      </c>
      <c r="M1782" s="134">
        <f t="shared" si="136"/>
        <v>405.505</v>
      </c>
    </row>
    <row r="1783" spans="2:13" outlineLevel="3">
      <c r="B1783" s="116" t="s">
        <v>2902</v>
      </c>
      <c r="C1783" s="129" t="s">
        <v>3057</v>
      </c>
      <c r="D1783" s="154" t="s">
        <v>3058</v>
      </c>
      <c r="E1783" s="129" t="s">
        <v>890</v>
      </c>
      <c r="F1783" s="130"/>
      <c r="G1783" s="131">
        <v>10</v>
      </c>
      <c r="H1783" s="118"/>
      <c r="I1783" s="118">
        <v>250</v>
      </c>
      <c r="J1783" s="118"/>
      <c r="K1783" s="120">
        <v>185</v>
      </c>
      <c r="L1783" s="450">
        <f t="shared" si="135"/>
        <v>435</v>
      </c>
      <c r="M1783" s="134">
        <f t="shared" si="136"/>
        <v>4350</v>
      </c>
    </row>
    <row r="1784" spans="2:13" outlineLevel="3">
      <c r="B1784" s="116" t="s">
        <v>2902</v>
      </c>
      <c r="C1784" s="129" t="s">
        <v>3059</v>
      </c>
      <c r="D1784" s="154" t="s">
        <v>3060</v>
      </c>
      <c r="E1784" s="129" t="s">
        <v>890</v>
      </c>
      <c r="F1784" s="130"/>
      <c r="G1784" s="131">
        <v>59</v>
      </c>
      <c r="H1784" s="118"/>
      <c r="I1784" s="118">
        <v>24.5</v>
      </c>
      <c r="J1784" s="118"/>
      <c r="K1784" s="120">
        <v>14.5</v>
      </c>
      <c r="L1784" s="450">
        <f t="shared" si="135"/>
        <v>39</v>
      </c>
      <c r="M1784" s="134">
        <f t="shared" si="136"/>
        <v>2301</v>
      </c>
    </row>
    <row r="1785" spans="2:13" outlineLevel="2">
      <c r="B1785" s="116"/>
      <c r="C1785" s="126" t="s">
        <v>3061</v>
      </c>
      <c r="D1785" s="260" t="s">
        <v>2962</v>
      </c>
      <c r="E1785" s="118" t="s">
        <v>99</v>
      </c>
      <c r="F1785" s="161"/>
      <c r="G1785" s="116"/>
      <c r="H1785" s="118"/>
      <c r="I1785" s="118"/>
      <c r="J1785" s="118"/>
      <c r="K1785" s="120"/>
      <c r="L1785" s="121"/>
      <c r="M1785" s="264">
        <f>SUM(M1786)</f>
        <v>3800</v>
      </c>
    </row>
    <row r="1786" spans="2:13" outlineLevel="3">
      <c r="B1786" s="116" t="s">
        <v>2902</v>
      </c>
      <c r="C1786" s="129" t="s">
        <v>3062</v>
      </c>
      <c r="D1786" s="154" t="s">
        <v>3063</v>
      </c>
      <c r="E1786" s="129" t="s">
        <v>309</v>
      </c>
      <c r="F1786" s="130"/>
      <c r="G1786" s="131">
        <v>1</v>
      </c>
      <c r="H1786" s="118"/>
      <c r="I1786" s="118"/>
      <c r="J1786" s="118"/>
      <c r="K1786" s="120">
        <v>3800</v>
      </c>
      <c r="L1786" s="450">
        <f>SUM(H1786:K1786)</f>
        <v>3800</v>
      </c>
      <c r="M1786" s="134">
        <f>+L1786*G1786</f>
        <v>3800</v>
      </c>
    </row>
    <row r="1787" spans="2:13" outlineLevel="2">
      <c r="B1787" s="116"/>
      <c r="C1787" s="129"/>
      <c r="D1787" s="154"/>
      <c r="E1787" s="129"/>
      <c r="F1787" s="130"/>
      <c r="G1787" s="131"/>
      <c r="H1787" s="118"/>
      <c r="I1787" s="118"/>
      <c r="J1787" s="118"/>
      <c r="K1787" s="120"/>
      <c r="L1787" s="450"/>
      <c r="M1787" s="134"/>
    </row>
    <row r="1788" spans="2:13" outlineLevel="1">
      <c r="B1788" s="116"/>
      <c r="C1788" s="123" t="s">
        <v>3064</v>
      </c>
      <c r="D1788" s="449" t="s">
        <v>3065</v>
      </c>
      <c r="E1788" s="118" t="s">
        <v>96</v>
      </c>
      <c r="F1788" s="262"/>
      <c r="G1788" s="116"/>
      <c r="H1788" s="118"/>
      <c r="I1788" s="118"/>
      <c r="J1788" s="118"/>
      <c r="K1788" s="120"/>
      <c r="L1788" s="121"/>
      <c r="M1788" s="263">
        <f>+M1789+M1792</f>
        <v>158649.70799999993</v>
      </c>
    </row>
    <row r="1789" spans="2:13" outlineLevel="2">
      <c r="B1789" s="116"/>
      <c r="C1789" s="126" t="s">
        <v>3066</v>
      </c>
      <c r="D1789" s="260" t="s">
        <v>3067</v>
      </c>
      <c r="E1789" s="118" t="s">
        <v>99</v>
      </c>
      <c r="F1789" s="161"/>
      <c r="G1789" s="116"/>
      <c r="H1789" s="118"/>
      <c r="I1789" s="118"/>
      <c r="J1789" s="118"/>
      <c r="K1789" s="120"/>
      <c r="L1789" s="121"/>
      <c r="M1789" s="264">
        <f>SUM(M1790:M1791)</f>
        <v>96158</v>
      </c>
    </row>
    <row r="1790" spans="2:13" outlineLevel="3">
      <c r="B1790" s="116" t="s">
        <v>2902</v>
      </c>
      <c r="C1790" s="129" t="s">
        <v>3068</v>
      </c>
      <c r="D1790" s="154" t="s">
        <v>3069</v>
      </c>
      <c r="E1790" s="129" t="s">
        <v>890</v>
      </c>
      <c r="F1790" s="130"/>
      <c r="G1790" s="131">
        <v>799</v>
      </c>
      <c r="H1790" s="118"/>
      <c r="I1790" s="118"/>
      <c r="J1790" s="118"/>
      <c r="K1790" s="120">
        <v>80</v>
      </c>
      <c r="L1790" s="450">
        <f>SUM(H1790:K1790)</f>
        <v>80</v>
      </c>
      <c r="M1790" s="134">
        <f>+L1790*G1790</f>
        <v>63920</v>
      </c>
    </row>
    <row r="1791" spans="2:13" outlineLevel="3">
      <c r="B1791" s="116" t="s">
        <v>2902</v>
      </c>
      <c r="C1791" s="129" t="s">
        <v>3070</v>
      </c>
      <c r="D1791" s="154" t="s">
        <v>3071</v>
      </c>
      <c r="E1791" s="129" t="s">
        <v>890</v>
      </c>
      <c r="F1791" s="130"/>
      <c r="G1791" s="131">
        <v>796</v>
      </c>
      <c r="H1791" s="118"/>
      <c r="I1791" s="118"/>
      <c r="J1791" s="118"/>
      <c r="K1791" s="120">
        <v>40.5</v>
      </c>
      <c r="L1791" s="450">
        <f>SUM(H1791:K1791)</f>
        <v>40.5</v>
      </c>
      <c r="M1791" s="134">
        <f>+L1791*G1791</f>
        <v>32238</v>
      </c>
    </row>
    <row r="1792" spans="2:13" outlineLevel="2">
      <c r="B1792" s="116"/>
      <c r="C1792" s="126" t="s">
        <v>3072</v>
      </c>
      <c r="D1792" s="260" t="s">
        <v>3073</v>
      </c>
      <c r="E1792" s="118" t="s">
        <v>99</v>
      </c>
      <c r="F1792" s="161"/>
      <c r="G1792" s="116"/>
      <c r="H1792" s="118"/>
      <c r="I1792" s="118"/>
      <c r="J1792" s="118"/>
      <c r="K1792" s="120"/>
      <c r="L1792" s="121"/>
      <c r="M1792" s="264">
        <f>SUM(M1793:M1798)</f>
        <v>62491.707999999941</v>
      </c>
    </row>
    <row r="1793" spans="2:13" outlineLevel="3">
      <c r="B1793" s="116" t="s">
        <v>2902</v>
      </c>
      <c r="C1793" s="129" t="s">
        <v>3074</v>
      </c>
      <c r="D1793" s="154" t="s">
        <v>3075</v>
      </c>
      <c r="E1793" s="129" t="s">
        <v>890</v>
      </c>
      <c r="F1793" s="130"/>
      <c r="G1793" s="131">
        <v>8</v>
      </c>
      <c r="H1793" s="118"/>
      <c r="I1793" s="118">
        <v>85</v>
      </c>
      <c r="J1793" s="118"/>
      <c r="K1793" s="120">
        <v>62.1</v>
      </c>
      <c r="L1793" s="450">
        <f t="shared" ref="L1793:L1798" si="137">SUM(H1793:K1793)</f>
        <v>147.1</v>
      </c>
      <c r="M1793" s="134">
        <f t="shared" ref="M1793:M1798" si="138">+L1793*G1793</f>
        <v>1176.8</v>
      </c>
    </row>
    <row r="1794" spans="2:13" s="171" customFormat="1" outlineLevel="3">
      <c r="B1794" s="166" t="s">
        <v>2902</v>
      </c>
      <c r="C1794" s="117"/>
      <c r="D1794" s="451" t="s">
        <v>3076</v>
      </c>
      <c r="E1794" s="117"/>
      <c r="F1794" s="142"/>
      <c r="G1794" s="167">
        <v>1</v>
      </c>
      <c r="H1794" s="168"/>
      <c r="I1794" s="168"/>
      <c r="J1794" s="168"/>
      <c r="K1794" s="169">
        <v>38164.407999999938</v>
      </c>
      <c r="L1794" s="450">
        <f t="shared" si="137"/>
        <v>38164.407999999938</v>
      </c>
      <c r="M1794" s="134">
        <f t="shared" si="138"/>
        <v>38164.407999999938</v>
      </c>
    </row>
    <row r="1795" spans="2:13" outlineLevel="3">
      <c r="B1795" s="116" t="s">
        <v>2902</v>
      </c>
      <c r="C1795" s="129" t="s">
        <v>3077</v>
      </c>
      <c r="D1795" s="154" t="s">
        <v>3078</v>
      </c>
      <c r="E1795" s="129" t="s">
        <v>890</v>
      </c>
      <c r="F1795" s="130"/>
      <c r="G1795" s="131">
        <v>3</v>
      </c>
      <c r="H1795" s="118"/>
      <c r="I1795" s="118">
        <v>335</v>
      </c>
      <c r="J1795" s="118"/>
      <c r="K1795" s="120">
        <v>70.5</v>
      </c>
      <c r="L1795" s="450">
        <f t="shared" si="137"/>
        <v>405.5</v>
      </c>
      <c r="M1795" s="134">
        <f t="shared" si="138"/>
        <v>1216.5</v>
      </c>
    </row>
    <row r="1796" spans="2:13" outlineLevel="3">
      <c r="B1796" s="116" t="s">
        <v>2902</v>
      </c>
      <c r="C1796" s="129" t="s">
        <v>3079</v>
      </c>
      <c r="D1796" s="154" t="s">
        <v>3080</v>
      </c>
      <c r="E1796" s="129" t="s">
        <v>890</v>
      </c>
      <c r="F1796" s="130"/>
      <c r="G1796" s="131">
        <v>18</v>
      </c>
      <c r="H1796" s="118"/>
      <c r="I1796" s="118">
        <v>436.5</v>
      </c>
      <c r="J1796" s="118"/>
      <c r="K1796" s="120">
        <v>380</v>
      </c>
      <c r="L1796" s="450">
        <f t="shared" si="137"/>
        <v>816.5</v>
      </c>
      <c r="M1796" s="134">
        <f t="shared" si="138"/>
        <v>14697</v>
      </c>
    </row>
    <row r="1797" spans="2:13" outlineLevel="3">
      <c r="B1797" s="116" t="s">
        <v>2902</v>
      </c>
      <c r="C1797" s="129" t="s">
        <v>3081</v>
      </c>
      <c r="D1797" s="154" t="s">
        <v>3082</v>
      </c>
      <c r="E1797" s="129" t="s">
        <v>890</v>
      </c>
      <c r="F1797" s="130"/>
      <c r="G1797" s="131">
        <v>9</v>
      </c>
      <c r="H1797" s="118"/>
      <c r="I1797" s="118">
        <v>185</v>
      </c>
      <c r="J1797" s="118"/>
      <c r="K1797" s="120">
        <v>140</v>
      </c>
      <c r="L1797" s="450">
        <f t="shared" si="137"/>
        <v>325</v>
      </c>
      <c r="M1797" s="134">
        <f t="shared" si="138"/>
        <v>2925</v>
      </c>
    </row>
    <row r="1798" spans="2:13" outlineLevel="3">
      <c r="B1798" s="116" t="s">
        <v>2902</v>
      </c>
      <c r="C1798" s="129" t="s">
        <v>3083</v>
      </c>
      <c r="D1798" s="154" t="s">
        <v>3084</v>
      </c>
      <c r="E1798" s="129" t="s">
        <v>1633</v>
      </c>
      <c r="F1798" s="130"/>
      <c r="G1798" s="131">
        <v>539</v>
      </c>
      <c r="H1798" s="118"/>
      <c r="I1798" s="118"/>
      <c r="J1798" s="118"/>
      <c r="K1798" s="120">
        <v>8</v>
      </c>
      <c r="L1798" s="450">
        <f t="shared" si="137"/>
        <v>8</v>
      </c>
      <c r="M1798" s="134">
        <f t="shared" si="138"/>
        <v>4312</v>
      </c>
    </row>
    <row r="1799" spans="2:13" outlineLevel="2">
      <c r="B1799" s="116"/>
      <c r="G1799" s="175"/>
      <c r="M1799" s="177"/>
    </row>
    <row r="1800" spans="2:13" outlineLevel="1">
      <c r="B1800" s="116"/>
      <c r="G1800" s="175"/>
      <c r="M1800" s="177"/>
    </row>
    <row r="1801" spans="2:13">
      <c r="B1801" s="116"/>
      <c r="G1801" s="175"/>
      <c r="M1801" s="177"/>
    </row>
    <row r="1802" spans="2:13">
      <c r="B1802" s="116"/>
      <c r="C1802" s="117" t="s">
        <v>3085</v>
      </c>
      <c r="D1802" s="117" t="s">
        <v>3086</v>
      </c>
      <c r="F1802" s="119"/>
      <c r="G1802" s="116"/>
      <c r="H1802" s="118"/>
      <c r="I1802" s="118"/>
      <c r="J1802" s="118"/>
      <c r="K1802" s="120"/>
      <c r="L1802" s="121"/>
      <c r="M1802" s="122">
        <f>SUM(M1803:M1806)</f>
        <v>200750.65</v>
      </c>
    </row>
    <row r="1803" spans="2:13" outlineLevel="1">
      <c r="B1803" s="116" t="s">
        <v>3087</v>
      </c>
      <c r="C1803" s="129" t="s">
        <v>3088</v>
      </c>
      <c r="D1803" s="129" t="s">
        <v>3089</v>
      </c>
      <c r="E1803" s="129" t="s">
        <v>362</v>
      </c>
      <c r="F1803" s="130"/>
      <c r="G1803" s="131">
        <v>1</v>
      </c>
      <c r="H1803" s="118"/>
      <c r="I1803" s="118"/>
      <c r="J1803" s="118"/>
      <c r="K1803" s="256">
        <v>189250.65</v>
      </c>
      <c r="L1803" s="459">
        <f>SUM(H1803:K1803)</f>
        <v>189250.65</v>
      </c>
      <c r="M1803" s="258">
        <f>+L1803*G1803</f>
        <v>189250.65</v>
      </c>
    </row>
    <row r="1804" spans="2:13" outlineLevel="1">
      <c r="B1804" s="116" t="s">
        <v>3087</v>
      </c>
      <c r="C1804" s="129" t="s">
        <v>3090</v>
      </c>
      <c r="D1804" s="129" t="s">
        <v>3091</v>
      </c>
      <c r="E1804" s="129" t="s">
        <v>251</v>
      </c>
      <c r="F1804" s="130"/>
      <c r="G1804" s="131">
        <v>2</v>
      </c>
      <c r="H1804" s="118"/>
      <c r="I1804" s="118"/>
      <c r="J1804" s="118"/>
      <c r="K1804" s="120">
        <v>0</v>
      </c>
      <c r="L1804" s="133">
        <f>SUM(H1804:K1804)</f>
        <v>0</v>
      </c>
      <c r="M1804" s="134">
        <f>+L1804*G1804</f>
        <v>0</v>
      </c>
    </row>
    <row r="1805" spans="2:13" outlineLevel="1">
      <c r="B1805" s="116" t="s">
        <v>3087</v>
      </c>
      <c r="C1805" s="129" t="s">
        <v>3092</v>
      </c>
      <c r="D1805" s="129" t="s">
        <v>3093</v>
      </c>
      <c r="E1805" s="129" t="s">
        <v>102</v>
      </c>
      <c r="F1805" s="130"/>
      <c r="G1805" s="131">
        <v>1</v>
      </c>
      <c r="H1805" s="118"/>
      <c r="I1805" s="118"/>
      <c r="J1805" s="118"/>
      <c r="K1805" s="256">
        <v>10000</v>
      </c>
      <c r="L1805" s="459">
        <f>SUM(H1805:K1805)</f>
        <v>10000</v>
      </c>
      <c r="M1805" s="258">
        <f>+L1805*G1805</f>
        <v>10000</v>
      </c>
    </row>
    <row r="1806" spans="2:13" outlineLevel="1">
      <c r="B1806" s="116" t="s">
        <v>3087</v>
      </c>
      <c r="C1806" s="129" t="s">
        <v>3094</v>
      </c>
      <c r="D1806" s="460" t="s">
        <v>3095</v>
      </c>
      <c r="E1806" s="129" t="s">
        <v>251</v>
      </c>
      <c r="F1806" s="130"/>
      <c r="G1806" s="131">
        <v>3</v>
      </c>
      <c r="H1806" s="118"/>
      <c r="I1806" s="118"/>
      <c r="J1806" s="118"/>
      <c r="K1806" s="120">
        <v>500</v>
      </c>
      <c r="L1806" s="133">
        <f>SUM(H1806:K1806)</f>
        <v>500</v>
      </c>
      <c r="M1806" s="134">
        <f>+L1806*G1806</f>
        <v>1500</v>
      </c>
    </row>
    <row r="1807" spans="2:13">
      <c r="B1807" s="116"/>
      <c r="C1807" s="129"/>
      <c r="D1807" s="460"/>
      <c r="E1807" s="129"/>
      <c r="F1807" s="130"/>
      <c r="G1807" s="131"/>
      <c r="H1807" s="118"/>
      <c r="I1807" s="118"/>
      <c r="J1807" s="118"/>
      <c r="K1807" s="120"/>
      <c r="L1807" s="133"/>
      <c r="M1807" s="134"/>
    </row>
    <row r="1808" spans="2:13" collapsed="1">
      <c r="B1808" s="116"/>
      <c r="C1808" s="117" t="s">
        <v>3096</v>
      </c>
      <c r="D1808" s="117" t="s">
        <v>3097</v>
      </c>
      <c r="F1808" s="119"/>
      <c r="G1808" s="116"/>
      <c r="H1808" s="118"/>
      <c r="I1808" s="118"/>
      <c r="J1808" s="118"/>
      <c r="K1808" s="120"/>
      <c r="L1808" s="121"/>
      <c r="M1808" s="122">
        <f>+SUM(M1809:M1812)</f>
        <v>285157.81400000001</v>
      </c>
    </row>
    <row r="1809" spans="1:13" outlineLevel="1">
      <c r="B1809" s="116" t="s">
        <v>3098</v>
      </c>
      <c r="C1809" s="129" t="s">
        <v>3099</v>
      </c>
      <c r="D1809" s="129" t="s">
        <v>3100</v>
      </c>
      <c r="E1809" s="129" t="s">
        <v>102</v>
      </c>
      <c r="F1809" s="130"/>
      <c r="G1809" s="254">
        <v>1</v>
      </c>
      <c r="H1809" s="255"/>
      <c r="I1809" s="255"/>
      <c r="J1809" s="255"/>
      <c r="K1809" s="256">
        <v>285157.81400000001</v>
      </c>
      <c r="L1809" s="459">
        <f>SUM(H1809:K1809)</f>
        <v>285157.81400000001</v>
      </c>
      <c r="M1809" s="258">
        <f>+L1809*G1809</f>
        <v>285157.81400000001</v>
      </c>
    </row>
    <row r="1810" spans="1:13" s="171" customFormat="1" outlineLevel="1">
      <c r="B1810" s="166" t="s">
        <v>3098</v>
      </c>
      <c r="C1810" s="117" t="s">
        <v>3101</v>
      </c>
      <c r="D1810" s="117" t="s">
        <v>3102</v>
      </c>
      <c r="E1810" s="117" t="s">
        <v>102</v>
      </c>
      <c r="F1810" s="142"/>
      <c r="G1810" s="167"/>
      <c r="H1810" s="168"/>
      <c r="I1810" s="168"/>
      <c r="J1810" s="168"/>
      <c r="K1810" s="169">
        <v>25025</v>
      </c>
      <c r="L1810" s="170">
        <f>SUM(H1810:K1810)</f>
        <v>25025</v>
      </c>
      <c r="M1810" s="143">
        <f>+L1810*G1810</f>
        <v>0</v>
      </c>
    </row>
    <row r="1811" spans="1:13" s="171" customFormat="1" outlineLevel="1">
      <c r="B1811" s="166" t="s">
        <v>3098</v>
      </c>
      <c r="C1811" s="117" t="s">
        <v>3103</v>
      </c>
      <c r="D1811" s="117" t="s">
        <v>3104</v>
      </c>
      <c r="E1811" s="117" t="s">
        <v>102</v>
      </c>
      <c r="F1811" s="142"/>
      <c r="G1811" s="167"/>
      <c r="H1811" s="168"/>
      <c r="I1811" s="168"/>
      <c r="J1811" s="168"/>
      <c r="K1811" s="169">
        <v>713597.5</v>
      </c>
      <c r="L1811" s="170">
        <f>SUM(H1811:K1811)</f>
        <v>713597.5</v>
      </c>
      <c r="M1811" s="143">
        <f>+L1811*G1811</f>
        <v>0</v>
      </c>
    </row>
    <row r="1812" spans="1:13" s="171" customFormat="1" outlineLevel="1">
      <c r="B1812" s="166" t="s">
        <v>3098</v>
      </c>
      <c r="C1812" s="117" t="s">
        <v>3105</v>
      </c>
      <c r="D1812" s="117" t="s">
        <v>3106</v>
      </c>
      <c r="E1812" s="117" t="s">
        <v>102</v>
      </c>
      <c r="F1812" s="142"/>
      <c r="G1812" s="167"/>
      <c r="H1812" s="168"/>
      <c r="I1812" s="168"/>
      <c r="J1812" s="168"/>
      <c r="K1812" s="169">
        <v>30415</v>
      </c>
      <c r="L1812" s="170">
        <f>SUM(H1812:K1812)</f>
        <v>30415</v>
      </c>
      <c r="M1812" s="143">
        <f>+L1812*G1812</f>
        <v>0</v>
      </c>
    </row>
    <row r="1813" spans="1:13">
      <c r="B1813" s="116"/>
      <c r="C1813" s="129"/>
      <c r="D1813" s="129"/>
      <c r="E1813" s="129"/>
      <c r="F1813" s="130"/>
      <c r="G1813" s="131"/>
      <c r="H1813" s="118"/>
      <c r="I1813" s="118"/>
      <c r="J1813" s="118"/>
      <c r="K1813" s="120"/>
      <c r="L1813" s="133"/>
      <c r="M1813" s="134"/>
    </row>
    <row r="1814" spans="1:13" collapsed="1">
      <c r="B1814" s="116"/>
      <c r="C1814" s="117" t="s">
        <v>3107</v>
      </c>
      <c r="D1814" s="117" t="s">
        <v>3108</v>
      </c>
      <c r="F1814" s="119"/>
      <c r="G1814" s="116"/>
      <c r="H1814" s="118"/>
      <c r="I1814" s="118"/>
      <c r="J1814" s="118"/>
      <c r="K1814" s="120"/>
      <c r="L1814" s="121"/>
      <c r="M1814" s="122">
        <f>+M1815+M1822+M1834+M2002+M2004+M2014+M2022+M2031</f>
        <v>1338247.1347542373</v>
      </c>
    </row>
    <row r="1815" spans="1:13" outlineLevel="1">
      <c r="B1815" s="116"/>
      <c r="C1815" s="123" t="s">
        <v>3109</v>
      </c>
      <c r="D1815" s="123" t="s">
        <v>3110</v>
      </c>
      <c r="F1815" s="124"/>
      <c r="G1815" s="116"/>
      <c r="H1815" s="118"/>
      <c r="I1815" s="118"/>
      <c r="J1815" s="118"/>
      <c r="K1815" s="120"/>
      <c r="L1815" s="121"/>
      <c r="M1815" s="125">
        <f>SUM(M1816:M1821)</f>
        <v>537524.91525423736</v>
      </c>
    </row>
    <row r="1816" spans="1:13" outlineLevel="2">
      <c r="A1816" t="s">
        <v>3111</v>
      </c>
      <c r="B1816" s="116" t="s">
        <v>1452</v>
      </c>
      <c r="C1816" s="129" t="s">
        <v>3112</v>
      </c>
      <c r="D1816" s="129" t="s">
        <v>3113</v>
      </c>
      <c r="E1816" s="129" t="s">
        <v>228</v>
      </c>
      <c r="F1816" s="130"/>
      <c r="G1816" s="131">
        <v>1</v>
      </c>
      <c r="H1816" s="118"/>
      <c r="I1816" s="118"/>
      <c r="J1816" s="118"/>
      <c r="K1816" s="120">
        <v>503500</v>
      </c>
      <c r="L1816" s="133">
        <f t="shared" ref="L1816:L1821" si="139">SUM(H1816:K1816)</f>
        <v>503500</v>
      </c>
      <c r="M1816" s="134">
        <f t="shared" ref="M1816:M1821" si="140">+L1816*G1816</f>
        <v>503500</v>
      </c>
    </row>
    <row r="1817" spans="1:13" outlineLevel="2">
      <c r="A1817" t="s">
        <v>3111</v>
      </c>
      <c r="B1817" s="116" t="s">
        <v>1452</v>
      </c>
      <c r="C1817" s="190" t="s">
        <v>3114</v>
      </c>
      <c r="D1817" s="461" t="s">
        <v>3115</v>
      </c>
      <c r="E1817" s="190" t="s">
        <v>102</v>
      </c>
      <c r="F1817" s="130"/>
      <c r="G1817" s="192">
        <v>1</v>
      </c>
      <c r="H1817" s="118"/>
      <c r="I1817" s="118"/>
      <c r="J1817" s="118"/>
      <c r="K1817" s="120">
        <v>4800</v>
      </c>
      <c r="L1817" s="133">
        <f t="shared" si="139"/>
        <v>4800</v>
      </c>
      <c r="M1817" s="134">
        <f t="shared" si="140"/>
        <v>4800</v>
      </c>
    </row>
    <row r="1818" spans="1:13" outlineLevel="2">
      <c r="A1818" t="s">
        <v>3111</v>
      </c>
      <c r="B1818" s="116" t="s">
        <v>1452</v>
      </c>
      <c r="C1818" s="190" t="s">
        <v>3116</v>
      </c>
      <c r="D1818" s="461" t="s">
        <v>3117</v>
      </c>
      <c r="E1818" s="190" t="s">
        <v>102</v>
      </c>
      <c r="F1818" s="130"/>
      <c r="G1818" s="192">
        <v>1</v>
      </c>
      <c r="H1818" s="118"/>
      <c r="I1818" s="118"/>
      <c r="J1818" s="118"/>
      <c r="K1818" s="120">
        <v>8814.9152542372885</v>
      </c>
      <c r="L1818" s="133">
        <f t="shared" si="139"/>
        <v>8814.9152542372885</v>
      </c>
      <c r="M1818" s="134">
        <f t="shared" si="140"/>
        <v>8814.9152542372885</v>
      </c>
    </row>
    <row r="1819" spans="1:13" outlineLevel="2">
      <c r="A1819" t="s">
        <v>3111</v>
      </c>
      <c r="B1819" s="116" t="s">
        <v>1452</v>
      </c>
      <c r="C1819" s="190" t="s">
        <v>3118</v>
      </c>
      <c r="D1819" s="461" t="s">
        <v>3119</v>
      </c>
      <c r="E1819" s="190" t="s">
        <v>102</v>
      </c>
      <c r="F1819" s="130"/>
      <c r="G1819" s="192">
        <v>1</v>
      </c>
      <c r="H1819" s="118"/>
      <c r="I1819" s="118"/>
      <c r="J1819" s="118"/>
      <c r="K1819" s="120">
        <v>1500</v>
      </c>
      <c r="L1819" s="133">
        <f t="shared" si="139"/>
        <v>1500</v>
      </c>
      <c r="M1819" s="134">
        <f t="shared" si="140"/>
        <v>1500</v>
      </c>
    </row>
    <row r="1820" spans="1:13" outlineLevel="2">
      <c r="A1820" t="s">
        <v>3111</v>
      </c>
      <c r="B1820" s="116" t="s">
        <v>1452</v>
      </c>
      <c r="C1820" s="190" t="s">
        <v>3120</v>
      </c>
      <c r="D1820" s="461" t="s">
        <v>3121</v>
      </c>
      <c r="E1820" s="190" t="s">
        <v>251</v>
      </c>
      <c r="F1820" s="130"/>
      <c r="G1820" s="192">
        <v>1</v>
      </c>
      <c r="H1820" s="118"/>
      <c r="I1820" s="118"/>
      <c r="J1820" s="118"/>
      <c r="K1820" s="120">
        <v>1200</v>
      </c>
      <c r="L1820" s="133">
        <f t="shared" si="139"/>
        <v>1200</v>
      </c>
      <c r="M1820" s="134">
        <f t="shared" si="140"/>
        <v>1200</v>
      </c>
    </row>
    <row r="1821" spans="1:13" outlineLevel="2">
      <c r="A1821" t="s">
        <v>3111</v>
      </c>
      <c r="B1821" s="116" t="s">
        <v>1452</v>
      </c>
      <c r="C1821" s="190" t="s">
        <v>3122</v>
      </c>
      <c r="D1821" s="190" t="s">
        <v>3123</v>
      </c>
      <c r="E1821" s="190" t="s">
        <v>102</v>
      </c>
      <c r="F1821" s="130"/>
      <c r="G1821" s="192">
        <v>1</v>
      </c>
      <c r="H1821" s="118"/>
      <c r="I1821" s="118"/>
      <c r="J1821" s="118"/>
      <c r="K1821" s="120">
        <v>17710</v>
      </c>
      <c r="L1821" s="133">
        <f t="shared" si="139"/>
        <v>17710</v>
      </c>
      <c r="M1821" s="134">
        <f t="shared" si="140"/>
        <v>17710</v>
      </c>
    </row>
    <row r="1822" spans="1:13" outlineLevel="1">
      <c r="B1822" s="116"/>
      <c r="C1822" s="123" t="s">
        <v>3124</v>
      </c>
      <c r="D1822" s="123" t="s">
        <v>3125</v>
      </c>
      <c r="F1822" s="124"/>
      <c r="G1822" s="116"/>
      <c r="H1822" s="118"/>
      <c r="I1822" s="118"/>
      <c r="J1822" s="118"/>
      <c r="K1822" s="120"/>
      <c r="L1822" s="121"/>
      <c r="M1822" s="125">
        <f>+M1823+M1826+M1830</f>
        <v>180338.95599999998</v>
      </c>
    </row>
    <row r="1823" spans="1:13" outlineLevel="2">
      <c r="B1823" s="116"/>
      <c r="C1823" s="126" t="s">
        <v>3126</v>
      </c>
      <c r="D1823" s="126" t="s">
        <v>3127</v>
      </c>
      <c r="F1823" s="127"/>
      <c r="G1823" s="116"/>
      <c r="H1823" s="118"/>
      <c r="I1823" s="118"/>
      <c r="J1823" s="118"/>
      <c r="K1823" s="120"/>
      <c r="L1823" s="121"/>
      <c r="M1823" s="128">
        <f>SUM(M1824:M1825)</f>
        <v>104387.44399999999</v>
      </c>
    </row>
    <row r="1824" spans="1:13" outlineLevel="3">
      <c r="A1824" t="s">
        <v>3128</v>
      </c>
      <c r="B1824" s="116" t="s">
        <v>1452</v>
      </c>
      <c r="C1824" s="129" t="s">
        <v>3129</v>
      </c>
      <c r="D1824" s="129" t="s">
        <v>3130</v>
      </c>
      <c r="E1824" s="129" t="s">
        <v>102</v>
      </c>
      <c r="F1824" s="130"/>
      <c r="G1824" s="131">
        <v>1</v>
      </c>
      <c r="H1824" s="118"/>
      <c r="I1824" s="118"/>
      <c r="J1824" s="118"/>
      <c r="K1824" s="120">
        <v>75217.655999999988</v>
      </c>
      <c r="L1824" s="133">
        <f>SUM(H1824:K1824)</f>
        <v>75217.655999999988</v>
      </c>
      <c r="M1824" s="134">
        <f>+L1824*G1824</f>
        <v>75217.655999999988</v>
      </c>
    </row>
    <row r="1825" spans="1:13" outlineLevel="3">
      <c r="A1825" t="s">
        <v>3128</v>
      </c>
      <c r="B1825" s="116" t="s">
        <v>1452</v>
      </c>
      <c r="C1825" s="129" t="s">
        <v>3131</v>
      </c>
      <c r="D1825" s="129" t="s">
        <v>3132</v>
      </c>
      <c r="E1825" s="129" t="s">
        <v>102</v>
      </c>
      <c r="F1825" s="130"/>
      <c r="G1825" s="131">
        <v>1</v>
      </c>
      <c r="H1825" s="118"/>
      <c r="I1825" s="118"/>
      <c r="J1825" s="118"/>
      <c r="K1825" s="120">
        <v>29169.788</v>
      </c>
      <c r="L1825" s="133">
        <f>SUM(H1825:K1825)</f>
        <v>29169.788</v>
      </c>
      <c r="M1825" s="134">
        <f>+L1825*G1825</f>
        <v>29169.788</v>
      </c>
    </row>
    <row r="1826" spans="1:13" outlineLevel="2">
      <c r="B1826" s="116"/>
      <c r="C1826" s="126" t="s">
        <v>3133</v>
      </c>
      <c r="D1826" s="126" t="s">
        <v>3134</v>
      </c>
      <c r="F1826" s="127"/>
      <c r="G1826" s="116">
        <v>0</v>
      </c>
      <c r="H1826" s="118"/>
      <c r="I1826" s="118"/>
      <c r="J1826" s="118"/>
      <c r="K1826" s="120"/>
      <c r="L1826" s="121"/>
      <c r="M1826" s="128">
        <f>SUM(M1827:M1829)</f>
        <v>54853.873999999996</v>
      </c>
    </row>
    <row r="1827" spans="1:13" outlineLevel="3">
      <c r="A1827" t="s">
        <v>3128</v>
      </c>
      <c r="B1827" s="116" t="s">
        <v>1452</v>
      </c>
      <c r="C1827" s="129" t="s">
        <v>3135</v>
      </c>
      <c r="D1827" s="129" t="s">
        <v>3136</v>
      </c>
      <c r="E1827" s="129" t="s">
        <v>102</v>
      </c>
      <c r="F1827" s="130"/>
      <c r="G1827" s="131">
        <v>1</v>
      </c>
      <c r="H1827" s="118"/>
      <c r="I1827" s="118"/>
      <c r="J1827" s="118"/>
      <c r="K1827" s="120">
        <v>24399.876</v>
      </c>
      <c r="L1827" s="133">
        <f>SUM(H1827:K1827)</f>
        <v>24399.876</v>
      </c>
      <c r="M1827" s="134">
        <f>+L1827*G1827</f>
        <v>24399.876</v>
      </c>
    </row>
    <row r="1828" spans="1:13" outlineLevel="3">
      <c r="A1828" t="s">
        <v>3128</v>
      </c>
      <c r="B1828" s="116" t="s">
        <v>1452</v>
      </c>
      <c r="C1828" s="129" t="s">
        <v>3137</v>
      </c>
      <c r="D1828" s="129" t="s">
        <v>3138</v>
      </c>
      <c r="E1828" s="129" t="s">
        <v>102</v>
      </c>
      <c r="F1828" s="130"/>
      <c r="G1828" s="131">
        <v>1</v>
      </c>
      <c r="H1828" s="118"/>
      <c r="I1828" s="118"/>
      <c r="J1828" s="118"/>
      <c r="K1828" s="120">
        <v>14493.161999999998</v>
      </c>
      <c r="L1828" s="133">
        <f>SUM(H1828:K1828)</f>
        <v>14493.161999999998</v>
      </c>
      <c r="M1828" s="134">
        <f>+L1828*G1828</f>
        <v>14493.161999999998</v>
      </c>
    </row>
    <row r="1829" spans="1:13" outlineLevel="3">
      <c r="A1829" t="s">
        <v>3128</v>
      </c>
      <c r="B1829" s="116" t="s">
        <v>1452</v>
      </c>
      <c r="C1829" s="129" t="s">
        <v>3139</v>
      </c>
      <c r="D1829" s="129" t="s">
        <v>3140</v>
      </c>
      <c r="E1829" s="129" t="s">
        <v>102</v>
      </c>
      <c r="F1829" s="130"/>
      <c r="G1829" s="131">
        <v>1</v>
      </c>
      <c r="H1829" s="118"/>
      <c r="I1829" s="118"/>
      <c r="J1829" s="118"/>
      <c r="K1829" s="120">
        <v>15960.835999999999</v>
      </c>
      <c r="L1829" s="133">
        <f>SUM(H1829:K1829)</f>
        <v>15960.835999999999</v>
      </c>
      <c r="M1829" s="134">
        <f>+L1829*G1829</f>
        <v>15960.835999999999</v>
      </c>
    </row>
    <row r="1830" spans="1:13" outlineLevel="2">
      <c r="B1830" s="116"/>
      <c r="C1830" s="126" t="s">
        <v>3141</v>
      </c>
      <c r="D1830" s="126" t="s">
        <v>3142</v>
      </c>
      <c r="F1830" s="127"/>
      <c r="G1830" s="116">
        <v>0</v>
      </c>
      <c r="H1830" s="118"/>
      <c r="I1830" s="118"/>
      <c r="J1830" s="118"/>
      <c r="K1830" s="120"/>
      <c r="L1830" s="121"/>
      <c r="M1830" s="128">
        <f>SUM(M1831:M1832)</f>
        <v>21097.637999999999</v>
      </c>
    </row>
    <row r="1831" spans="1:13" outlineLevel="3">
      <c r="A1831" t="s">
        <v>3128</v>
      </c>
      <c r="B1831" s="116" t="s">
        <v>1452</v>
      </c>
      <c r="C1831" s="129" t="s">
        <v>3143</v>
      </c>
      <c r="D1831" s="129" t="s">
        <v>3144</v>
      </c>
      <c r="E1831" s="129" t="s">
        <v>102</v>
      </c>
      <c r="F1831" s="130"/>
      <c r="G1831" s="131">
        <v>1</v>
      </c>
      <c r="H1831" s="118"/>
      <c r="I1831" s="118"/>
      <c r="J1831" s="118"/>
      <c r="K1831" s="120">
        <v>16511.189999999999</v>
      </c>
      <c r="L1831" s="133">
        <f>SUM(H1831:K1831)</f>
        <v>16511.189999999999</v>
      </c>
      <c r="M1831" s="134">
        <f>+L1831*G1831</f>
        <v>16511.189999999999</v>
      </c>
    </row>
    <row r="1832" spans="1:13" outlineLevel="3">
      <c r="A1832" t="s">
        <v>3128</v>
      </c>
      <c r="B1832" s="116" t="s">
        <v>1452</v>
      </c>
      <c r="C1832" s="129" t="s">
        <v>3145</v>
      </c>
      <c r="D1832" s="129" t="s">
        <v>3146</v>
      </c>
      <c r="E1832" s="129" t="s">
        <v>102</v>
      </c>
      <c r="F1832" s="130"/>
      <c r="G1832" s="131">
        <v>1</v>
      </c>
      <c r="H1832" s="118"/>
      <c r="I1832" s="118"/>
      <c r="J1832" s="118"/>
      <c r="K1832" s="120">
        <v>4586.4480000000003</v>
      </c>
      <c r="L1832" s="133">
        <f>SUM(H1832:K1832)</f>
        <v>4586.4480000000003</v>
      </c>
      <c r="M1832" s="134">
        <f>+L1832*G1832</f>
        <v>4586.4480000000003</v>
      </c>
    </row>
    <row r="1833" spans="1:13" outlineLevel="2">
      <c r="B1833" s="116"/>
      <c r="C1833" s="129"/>
      <c r="D1833" s="129"/>
      <c r="E1833" s="129"/>
      <c r="F1833" s="130"/>
      <c r="G1833" s="131"/>
      <c r="H1833" s="118"/>
      <c r="I1833" s="118"/>
      <c r="J1833" s="118"/>
      <c r="K1833" s="120"/>
      <c r="L1833" s="133"/>
      <c r="M1833" s="134"/>
    </row>
    <row r="1834" spans="1:13" outlineLevel="1">
      <c r="B1834" s="116"/>
      <c r="C1834" s="123" t="s">
        <v>3147</v>
      </c>
      <c r="D1834" s="123" t="s">
        <v>3148</v>
      </c>
      <c r="F1834" s="124"/>
      <c r="G1834" s="116"/>
      <c r="H1834" s="118"/>
      <c r="I1834" s="118"/>
      <c r="J1834" s="118"/>
      <c r="K1834" s="120"/>
      <c r="L1834" s="121"/>
      <c r="M1834" s="125">
        <f>+M1835+M1855+M1875+M1899+M1913+M1920+M1938+M1964+M1981+M1994+M1996+M1999</f>
        <v>457456.30949999992</v>
      </c>
    </row>
    <row r="1835" spans="1:13" outlineLevel="2">
      <c r="B1835" s="116"/>
      <c r="C1835" s="126" t="s">
        <v>3149</v>
      </c>
      <c r="D1835" s="126" t="s">
        <v>3150</v>
      </c>
      <c r="F1835" s="127"/>
      <c r="G1835" s="116"/>
      <c r="H1835" s="118"/>
      <c r="I1835" s="118"/>
      <c r="J1835" s="118"/>
      <c r="K1835" s="120"/>
      <c r="L1835" s="121"/>
      <c r="M1835" s="128">
        <f>+M1836+M1844</f>
        <v>209783.522</v>
      </c>
    </row>
    <row r="1836" spans="1:13" outlineLevel="3">
      <c r="B1836" s="116"/>
      <c r="C1836" s="158" t="s">
        <v>3151</v>
      </c>
      <c r="D1836" s="158" t="s">
        <v>3152</v>
      </c>
      <c r="F1836" s="159"/>
      <c r="G1836" s="116"/>
      <c r="H1836" s="118"/>
      <c r="I1836" s="118"/>
      <c r="J1836" s="118"/>
      <c r="K1836" s="120"/>
      <c r="L1836" s="121"/>
      <c r="M1836" s="160">
        <f>SUM(M1837:M1843)</f>
        <v>209783.522</v>
      </c>
    </row>
    <row r="1837" spans="1:13" outlineLevel="4">
      <c r="A1837" t="s">
        <v>3153</v>
      </c>
      <c r="B1837" s="116" t="s">
        <v>1452</v>
      </c>
      <c r="C1837" s="129" t="s">
        <v>3154</v>
      </c>
      <c r="D1837" s="129" t="s">
        <v>3155</v>
      </c>
      <c r="E1837" s="129" t="s">
        <v>251</v>
      </c>
      <c r="F1837" s="130"/>
      <c r="G1837" s="131">
        <v>1</v>
      </c>
      <c r="H1837" s="118"/>
      <c r="I1837" s="118"/>
      <c r="J1837" s="118"/>
      <c r="K1837" s="120">
        <v>209783.522</v>
      </c>
      <c r="L1837" s="133">
        <f t="shared" ref="L1837:L1843" si="141">SUM(H1837:K1837)</f>
        <v>209783.522</v>
      </c>
      <c r="M1837" s="134">
        <f t="shared" ref="M1837:M1843" si="142">+L1837*G1837</f>
        <v>209783.522</v>
      </c>
    </row>
    <row r="1838" spans="1:13" outlineLevel="4">
      <c r="A1838" t="s">
        <v>3153</v>
      </c>
      <c r="B1838" s="116" t="s">
        <v>1452</v>
      </c>
      <c r="C1838" s="129" t="s">
        <v>3156</v>
      </c>
      <c r="D1838" s="129" t="s">
        <v>3157</v>
      </c>
      <c r="E1838" s="129" t="s">
        <v>251</v>
      </c>
      <c r="F1838" s="130"/>
      <c r="G1838" s="131"/>
      <c r="H1838" s="118"/>
      <c r="I1838" s="118"/>
      <c r="J1838" s="118"/>
      <c r="K1838" s="120"/>
      <c r="L1838" s="133">
        <f t="shared" si="141"/>
        <v>0</v>
      </c>
      <c r="M1838" s="134">
        <f t="shared" si="142"/>
        <v>0</v>
      </c>
    </row>
    <row r="1839" spans="1:13" outlineLevel="4">
      <c r="A1839" t="s">
        <v>3153</v>
      </c>
      <c r="B1839" s="116" t="s">
        <v>1452</v>
      </c>
      <c r="C1839" s="129" t="s">
        <v>3158</v>
      </c>
      <c r="D1839" s="129" t="s">
        <v>3159</v>
      </c>
      <c r="E1839" s="129" t="s">
        <v>251</v>
      </c>
      <c r="F1839" s="130"/>
      <c r="G1839" s="131"/>
      <c r="H1839" s="118"/>
      <c r="I1839" s="118"/>
      <c r="J1839" s="118"/>
      <c r="K1839" s="120"/>
      <c r="L1839" s="133">
        <f t="shared" si="141"/>
        <v>0</v>
      </c>
      <c r="M1839" s="134">
        <f t="shared" si="142"/>
        <v>0</v>
      </c>
    </row>
    <row r="1840" spans="1:13" outlineLevel="4">
      <c r="A1840" t="s">
        <v>3153</v>
      </c>
      <c r="B1840" s="116" t="s">
        <v>1452</v>
      </c>
      <c r="C1840" s="129" t="s">
        <v>3160</v>
      </c>
      <c r="D1840" s="129" t="s">
        <v>3161</v>
      </c>
      <c r="E1840" s="129" t="s">
        <v>251</v>
      </c>
      <c r="F1840" s="130"/>
      <c r="G1840" s="131"/>
      <c r="H1840" s="118"/>
      <c r="I1840" s="118"/>
      <c r="J1840" s="118"/>
      <c r="K1840" s="120"/>
      <c r="L1840" s="133">
        <f t="shared" si="141"/>
        <v>0</v>
      </c>
      <c r="M1840" s="134">
        <f t="shared" si="142"/>
        <v>0</v>
      </c>
    </row>
    <row r="1841" spans="1:13" outlineLevel="4">
      <c r="A1841" t="s">
        <v>3153</v>
      </c>
      <c r="B1841" s="116" t="s">
        <v>1452</v>
      </c>
      <c r="C1841" s="129" t="s">
        <v>3162</v>
      </c>
      <c r="D1841" s="129" t="s">
        <v>3163</v>
      </c>
      <c r="E1841" s="129" t="s">
        <v>251</v>
      </c>
      <c r="F1841" s="130"/>
      <c r="G1841" s="131"/>
      <c r="H1841" s="118"/>
      <c r="I1841" s="118"/>
      <c r="J1841" s="118"/>
      <c r="K1841" s="120"/>
      <c r="L1841" s="133">
        <f t="shared" si="141"/>
        <v>0</v>
      </c>
      <c r="M1841" s="134">
        <f t="shared" si="142"/>
        <v>0</v>
      </c>
    </row>
    <row r="1842" spans="1:13" outlineLevel="4">
      <c r="A1842" t="s">
        <v>3153</v>
      </c>
      <c r="B1842" s="116" t="s">
        <v>1452</v>
      </c>
      <c r="C1842" s="129" t="s">
        <v>3164</v>
      </c>
      <c r="D1842" s="129" t="s">
        <v>3165</v>
      </c>
      <c r="E1842" s="129" t="s">
        <v>251</v>
      </c>
      <c r="F1842" s="130"/>
      <c r="G1842" s="131"/>
      <c r="H1842" s="118"/>
      <c r="I1842" s="118"/>
      <c r="J1842" s="118"/>
      <c r="K1842" s="120"/>
      <c r="L1842" s="133">
        <f t="shared" si="141"/>
        <v>0</v>
      </c>
      <c r="M1842" s="134">
        <f t="shared" si="142"/>
        <v>0</v>
      </c>
    </row>
    <row r="1843" spans="1:13" outlineLevel="4">
      <c r="A1843" t="s">
        <v>3153</v>
      </c>
      <c r="B1843" s="116" t="s">
        <v>1452</v>
      </c>
      <c r="C1843" s="129" t="s">
        <v>3166</v>
      </c>
      <c r="D1843" s="129" t="s">
        <v>3167</v>
      </c>
      <c r="E1843" s="129" t="s">
        <v>251</v>
      </c>
      <c r="F1843" s="130"/>
      <c r="G1843" s="131"/>
      <c r="H1843" s="118"/>
      <c r="I1843" s="118"/>
      <c r="J1843" s="118"/>
      <c r="K1843" s="120"/>
      <c r="L1843" s="133">
        <f t="shared" si="141"/>
        <v>0</v>
      </c>
      <c r="M1843" s="134">
        <f t="shared" si="142"/>
        <v>0</v>
      </c>
    </row>
    <row r="1844" spans="1:13" outlineLevel="3">
      <c r="B1844" s="116"/>
      <c r="C1844" s="158" t="s">
        <v>3168</v>
      </c>
      <c r="D1844" s="158" t="s">
        <v>3169</v>
      </c>
      <c r="F1844" s="159"/>
      <c r="G1844" s="116"/>
      <c r="H1844" s="118"/>
      <c r="I1844" s="118"/>
      <c r="J1844" s="118"/>
      <c r="K1844" s="120"/>
      <c r="L1844" s="121"/>
      <c r="M1844" s="160">
        <f>SUM(M1845:M1853)</f>
        <v>0</v>
      </c>
    </row>
    <row r="1845" spans="1:13" outlineLevel="4">
      <c r="A1845" t="s">
        <v>3153</v>
      </c>
      <c r="B1845" s="116" t="s">
        <v>1452</v>
      </c>
      <c r="C1845" s="129" t="s">
        <v>3170</v>
      </c>
      <c r="D1845" s="129" t="s">
        <v>3171</v>
      </c>
      <c r="E1845" s="129" t="s">
        <v>424</v>
      </c>
      <c r="F1845" s="130"/>
      <c r="G1845" s="131">
        <v>1840</v>
      </c>
      <c r="H1845" s="118"/>
      <c r="I1845" s="118"/>
      <c r="J1845" s="118"/>
      <c r="K1845" s="120"/>
      <c r="L1845" s="133">
        <f t="shared" ref="L1845:L1853" si="143">SUM(H1845:K1845)</f>
        <v>0</v>
      </c>
      <c r="M1845" s="134">
        <f t="shared" ref="M1845:M1853" si="144">+L1845*G1845</f>
        <v>0</v>
      </c>
    </row>
    <row r="1846" spans="1:13" outlineLevel="4">
      <c r="A1846" t="s">
        <v>3153</v>
      </c>
      <c r="B1846" s="116" t="s">
        <v>1452</v>
      </c>
      <c r="C1846" s="129" t="s">
        <v>3172</v>
      </c>
      <c r="D1846" s="129" t="s">
        <v>3173</v>
      </c>
      <c r="E1846" s="129" t="s">
        <v>251</v>
      </c>
      <c r="F1846" s="130"/>
      <c r="G1846" s="131">
        <v>1</v>
      </c>
      <c r="H1846" s="118"/>
      <c r="I1846" s="118"/>
      <c r="J1846" s="118"/>
      <c r="K1846" s="120"/>
      <c r="L1846" s="133">
        <f t="shared" si="143"/>
        <v>0</v>
      </c>
      <c r="M1846" s="134">
        <f t="shared" si="144"/>
        <v>0</v>
      </c>
    </row>
    <row r="1847" spans="1:13" outlineLevel="4">
      <c r="A1847" t="s">
        <v>3153</v>
      </c>
      <c r="B1847" s="116" t="s">
        <v>1452</v>
      </c>
      <c r="C1847" s="129" t="s">
        <v>3174</v>
      </c>
      <c r="D1847" s="129" t="s">
        <v>3175</v>
      </c>
      <c r="E1847" s="129" t="s">
        <v>251</v>
      </c>
      <c r="F1847" s="130"/>
      <c r="G1847" s="131">
        <v>1</v>
      </c>
      <c r="H1847" s="118"/>
      <c r="I1847" s="118"/>
      <c r="J1847" s="118"/>
      <c r="K1847" s="120"/>
      <c r="L1847" s="133">
        <f t="shared" si="143"/>
        <v>0</v>
      </c>
      <c r="M1847" s="134">
        <f t="shared" si="144"/>
        <v>0</v>
      </c>
    </row>
    <row r="1848" spans="1:13" outlineLevel="4">
      <c r="A1848" t="s">
        <v>3153</v>
      </c>
      <c r="B1848" s="116" t="s">
        <v>1452</v>
      </c>
      <c r="C1848" s="129" t="s">
        <v>3176</v>
      </c>
      <c r="D1848" s="129" t="s">
        <v>3177</v>
      </c>
      <c r="E1848" s="129" t="s">
        <v>251</v>
      </c>
      <c r="F1848" s="130"/>
      <c r="G1848" s="131">
        <v>1</v>
      </c>
      <c r="H1848" s="118"/>
      <c r="I1848" s="118"/>
      <c r="J1848" s="118"/>
      <c r="K1848" s="120"/>
      <c r="L1848" s="133">
        <f t="shared" si="143"/>
        <v>0</v>
      </c>
      <c r="M1848" s="134">
        <f t="shared" si="144"/>
        <v>0</v>
      </c>
    </row>
    <row r="1849" spans="1:13" outlineLevel="4">
      <c r="A1849" t="s">
        <v>3153</v>
      </c>
      <c r="B1849" s="116" t="s">
        <v>1452</v>
      </c>
      <c r="C1849" s="129" t="s">
        <v>3178</v>
      </c>
      <c r="D1849" s="129" t="s">
        <v>3179</v>
      </c>
      <c r="E1849" s="129" t="s">
        <v>251</v>
      </c>
      <c r="F1849" s="130"/>
      <c r="G1849" s="131">
        <v>22</v>
      </c>
      <c r="H1849" s="118"/>
      <c r="I1849" s="118"/>
      <c r="J1849" s="118"/>
      <c r="K1849" s="120"/>
      <c r="L1849" s="133">
        <f t="shared" si="143"/>
        <v>0</v>
      </c>
      <c r="M1849" s="134">
        <f t="shared" si="144"/>
        <v>0</v>
      </c>
    </row>
    <row r="1850" spans="1:13" outlineLevel="4">
      <c r="A1850" t="s">
        <v>3153</v>
      </c>
      <c r="B1850" s="116" t="s">
        <v>1452</v>
      </c>
      <c r="C1850" s="129" t="s">
        <v>3180</v>
      </c>
      <c r="D1850" s="129" t="s">
        <v>3181</v>
      </c>
      <c r="E1850" s="129" t="s">
        <v>251</v>
      </c>
      <c r="F1850" s="130"/>
      <c r="G1850" s="131">
        <v>19</v>
      </c>
      <c r="H1850" s="118"/>
      <c r="I1850" s="118"/>
      <c r="J1850" s="118"/>
      <c r="K1850" s="120"/>
      <c r="L1850" s="133">
        <f t="shared" si="143"/>
        <v>0</v>
      </c>
      <c r="M1850" s="134">
        <f t="shared" si="144"/>
        <v>0</v>
      </c>
    </row>
    <row r="1851" spans="1:13" outlineLevel="4">
      <c r="A1851" t="s">
        <v>3153</v>
      </c>
      <c r="B1851" s="116" t="s">
        <v>1452</v>
      </c>
      <c r="C1851" s="129" t="s">
        <v>3182</v>
      </c>
      <c r="D1851" s="129" t="s">
        <v>3183</v>
      </c>
      <c r="E1851" s="129" t="s">
        <v>251</v>
      </c>
      <c r="F1851" s="130"/>
      <c r="G1851" s="131">
        <v>12</v>
      </c>
      <c r="H1851" s="118"/>
      <c r="I1851" s="118"/>
      <c r="J1851" s="118"/>
      <c r="K1851" s="120"/>
      <c r="L1851" s="133">
        <f t="shared" si="143"/>
        <v>0</v>
      </c>
      <c r="M1851" s="134">
        <f t="shared" si="144"/>
        <v>0</v>
      </c>
    </row>
    <row r="1852" spans="1:13" outlineLevel="4">
      <c r="A1852" t="s">
        <v>3153</v>
      </c>
      <c r="B1852" s="116" t="s">
        <v>1452</v>
      </c>
      <c r="C1852" s="129" t="s">
        <v>3184</v>
      </c>
      <c r="D1852" s="129" t="s">
        <v>3185</v>
      </c>
      <c r="E1852" s="129" t="s">
        <v>251</v>
      </c>
      <c r="F1852" s="130"/>
      <c r="G1852" s="131">
        <v>10</v>
      </c>
      <c r="H1852" s="118"/>
      <c r="I1852" s="118"/>
      <c r="J1852" s="118"/>
      <c r="K1852" s="120"/>
      <c r="L1852" s="133">
        <f t="shared" si="143"/>
        <v>0</v>
      </c>
      <c r="M1852" s="134">
        <f t="shared" si="144"/>
        <v>0</v>
      </c>
    </row>
    <row r="1853" spans="1:13" outlineLevel="4">
      <c r="A1853" t="s">
        <v>3153</v>
      </c>
      <c r="B1853" s="116" t="s">
        <v>1452</v>
      </c>
      <c r="C1853" s="129" t="s">
        <v>3186</v>
      </c>
      <c r="D1853" s="129" t="s">
        <v>3187</v>
      </c>
      <c r="E1853" s="129" t="s">
        <v>251</v>
      </c>
      <c r="F1853" s="130"/>
      <c r="G1853" s="131">
        <v>6</v>
      </c>
      <c r="H1853" s="118"/>
      <c r="I1853" s="118"/>
      <c r="J1853" s="118"/>
      <c r="K1853" s="120"/>
      <c r="L1853" s="133">
        <f t="shared" si="143"/>
        <v>0</v>
      </c>
      <c r="M1853" s="134">
        <f t="shared" si="144"/>
        <v>0</v>
      </c>
    </row>
    <row r="1854" spans="1:13" outlineLevel="3">
      <c r="B1854" s="116"/>
      <c r="C1854" s="129"/>
      <c r="D1854" s="129"/>
      <c r="E1854" s="129"/>
      <c r="F1854" s="130"/>
      <c r="G1854" s="131"/>
      <c r="H1854" s="118"/>
      <c r="I1854" s="118"/>
      <c r="J1854" s="118"/>
      <c r="K1854" s="120"/>
      <c r="L1854" s="133"/>
      <c r="M1854" s="134"/>
    </row>
    <row r="1855" spans="1:13" outlineLevel="2">
      <c r="B1855" s="116"/>
      <c r="C1855" s="126" t="s">
        <v>3188</v>
      </c>
      <c r="D1855" s="126" t="s">
        <v>3189</v>
      </c>
      <c r="F1855" s="127"/>
      <c r="G1855" s="116"/>
      <c r="H1855" s="118"/>
      <c r="I1855" s="118"/>
      <c r="J1855" s="118"/>
      <c r="K1855" s="120"/>
      <c r="L1855" s="121"/>
      <c r="M1855" s="128">
        <f>+M1856+M1863</f>
        <v>38038</v>
      </c>
    </row>
    <row r="1856" spans="1:13" outlineLevel="3">
      <c r="B1856" s="116"/>
      <c r="C1856" s="158" t="s">
        <v>3190</v>
      </c>
      <c r="D1856" s="158" t="s">
        <v>3191</v>
      </c>
      <c r="F1856" s="159"/>
      <c r="G1856" s="116"/>
      <c r="H1856" s="118"/>
      <c r="I1856" s="118"/>
      <c r="J1856" s="118"/>
      <c r="K1856" s="120"/>
      <c r="L1856" s="121"/>
      <c r="M1856" s="160">
        <f>SUM(M1857:M1862)</f>
        <v>38038</v>
      </c>
    </row>
    <row r="1857" spans="1:13" outlineLevel="4">
      <c r="A1857" t="s">
        <v>3192</v>
      </c>
      <c r="B1857" s="116" t="s">
        <v>1452</v>
      </c>
      <c r="C1857" s="129" t="s">
        <v>3193</v>
      </c>
      <c r="D1857" s="129" t="s">
        <v>3194</v>
      </c>
      <c r="E1857" s="129" t="s">
        <v>251</v>
      </c>
      <c r="F1857" s="130"/>
      <c r="G1857" s="131">
        <v>1</v>
      </c>
      <c r="H1857" s="118"/>
      <c r="I1857" s="118"/>
      <c r="J1857" s="118"/>
      <c r="K1857" s="120">
        <v>38038</v>
      </c>
      <c r="L1857" s="133">
        <f t="shared" ref="L1857:L1862" si="145">SUM(H1857:K1857)</f>
        <v>38038</v>
      </c>
      <c r="M1857" s="134">
        <f t="shared" ref="M1857:M1862" si="146">+L1857*G1857</f>
        <v>38038</v>
      </c>
    </row>
    <row r="1858" spans="1:13" outlineLevel="4">
      <c r="A1858" t="s">
        <v>3192</v>
      </c>
      <c r="B1858" s="116" t="s">
        <v>1452</v>
      </c>
      <c r="C1858" s="129" t="s">
        <v>3195</v>
      </c>
      <c r="D1858" s="129" t="s">
        <v>3196</v>
      </c>
      <c r="E1858" s="129" t="s">
        <v>251</v>
      </c>
      <c r="F1858" s="130"/>
      <c r="G1858" s="131">
        <v>1</v>
      </c>
      <c r="H1858" s="118"/>
      <c r="I1858" s="118"/>
      <c r="J1858" s="118"/>
      <c r="K1858" s="120"/>
      <c r="L1858" s="133">
        <f t="shared" si="145"/>
        <v>0</v>
      </c>
      <c r="M1858" s="134">
        <f t="shared" si="146"/>
        <v>0</v>
      </c>
    </row>
    <row r="1859" spans="1:13" outlineLevel="4">
      <c r="A1859" t="s">
        <v>3192</v>
      </c>
      <c r="B1859" s="116" t="s">
        <v>1452</v>
      </c>
      <c r="C1859" s="129" t="s">
        <v>3197</v>
      </c>
      <c r="D1859" s="129" t="s">
        <v>3198</v>
      </c>
      <c r="E1859" s="129" t="s">
        <v>251</v>
      </c>
      <c r="F1859" s="130"/>
      <c r="G1859" s="131">
        <v>1</v>
      </c>
      <c r="H1859" s="118"/>
      <c r="I1859" s="118"/>
      <c r="J1859" s="118"/>
      <c r="K1859" s="120"/>
      <c r="L1859" s="133">
        <f t="shared" si="145"/>
        <v>0</v>
      </c>
      <c r="M1859" s="134">
        <f t="shared" si="146"/>
        <v>0</v>
      </c>
    </row>
    <row r="1860" spans="1:13" outlineLevel="4">
      <c r="A1860" t="s">
        <v>3192</v>
      </c>
      <c r="B1860" s="116" t="s">
        <v>1452</v>
      </c>
      <c r="C1860" s="129" t="s">
        <v>3199</v>
      </c>
      <c r="D1860" s="129" t="s">
        <v>3200</v>
      </c>
      <c r="E1860" s="129" t="s">
        <v>251</v>
      </c>
      <c r="F1860" s="130"/>
      <c r="G1860" s="131">
        <v>15</v>
      </c>
      <c r="H1860" s="118"/>
      <c r="I1860" s="118"/>
      <c r="J1860" s="118"/>
      <c r="K1860" s="120"/>
      <c r="L1860" s="133">
        <f t="shared" si="145"/>
        <v>0</v>
      </c>
      <c r="M1860" s="134">
        <f t="shared" si="146"/>
        <v>0</v>
      </c>
    </row>
    <row r="1861" spans="1:13" outlineLevel="4">
      <c r="A1861" t="s">
        <v>3192</v>
      </c>
      <c r="B1861" s="116" t="s">
        <v>1452</v>
      </c>
      <c r="C1861" s="129" t="s">
        <v>3201</v>
      </c>
      <c r="D1861" s="129" t="s">
        <v>3202</v>
      </c>
      <c r="E1861" s="129" t="s">
        <v>251</v>
      </c>
      <c r="F1861" s="130"/>
      <c r="G1861" s="131">
        <v>15</v>
      </c>
      <c r="H1861" s="118"/>
      <c r="I1861" s="118"/>
      <c r="J1861" s="118"/>
      <c r="K1861" s="120"/>
      <c r="L1861" s="133">
        <f t="shared" si="145"/>
        <v>0</v>
      </c>
      <c r="M1861" s="134">
        <f t="shared" si="146"/>
        <v>0</v>
      </c>
    </row>
    <row r="1862" spans="1:13" outlineLevel="4">
      <c r="A1862" t="s">
        <v>3192</v>
      </c>
      <c r="B1862" s="116" t="s">
        <v>1452</v>
      </c>
      <c r="C1862" s="129" t="s">
        <v>3203</v>
      </c>
      <c r="D1862" s="129" t="s">
        <v>3167</v>
      </c>
      <c r="E1862" s="129" t="s">
        <v>251</v>
      </c>
      <c r="F1862" s="130"/>
      <c r="G1862" s="131">
        <v>1</v>
      </c>
      <c r="H1862" s="118"/>
      <c r="I1862" s="118"/>
      <c r="J1862" s="118"/>
      <c r="K1862" s="120"/>
      <c r="L1862" s="133">
        <f t="shared" si="145"/>
        <v>0</v>
      </c>
      <c r="M1862" s="134">
        <f t="shared" si="146"/>
        <v>0</v>
      </c>
    </row>
    <row r="1863" spans="1:13" outlineLevel="3">
      <c r="B1863" s="116"/>
      <c r="C1863" s="158" t="s">
        <v>3204</v>
      </c>
      <c r="D1863" s="158" t="s">
        <v>3205</v>
      </c>
      <c r="F1863" s="159"/>
      <c r="G1863" s="116"/>
      <c r="H1863" s="118"/>
      <c r="I1863" s="118"/>
      <c r="J1863" s="118"/>
      <c r="K1863" s="120"/>
      <c r="L1863" s="121"/>
      <c r="M1863" s="160">
        <f>SUM(M1864:M1873)</f>
        <v>0</v>
      </c>
    </row>
    <row r="1864" spans="1:13" outlineLevel="4">
      <c r="A1864" t="s">
        <v>3192</v>
      </c>
      <c r="B1864" s="116" t="s">
        <v>1452</v>
      </c>
      <c r="C1864" s="129" t="s">
        <v>3206</v>
      </c>
      <c r="D1864" s="129" t="s">
        <v>3207</v>
      </c>
      <c r="E1864" s="129" t="s">
        <v>424</v>
      </c>
      <c r="F1864" s="130"/>
      <c r="G1864" s="131">
        <v>170</v>
      </c>
      <c r="H1864" s="118"/>
      <c r="I1864" s="118"/>
      <c r="J1864" s="118"/>
      <c r="K1864" s="120"/>
      <c r="L1864" s="133">
        <f t="shared" ref="L1864:L1873" si="147">SUM(H1864:K1864)</f>
        <v>0</v>
      </c>
      <c r="M1864" s="134">
        <f t="shared" ref="M1864:M1873" si="148">+L1864*G1864</f>
        <v>0</v>
      </c>
    </row>
    <row r="1865" spans="1:13" outlineLevel="4">
      <c r="A1865" t="s">
        <v>3192</v>
      </c>
      <c r="B1865" s="116" t="s">
        <v>1452</v>
      </c>
      <c r="C1865" s="129" t="s">
        <v>3208</v>
      </c>
      <c r="D1865" s="129" t="s">
        <v>3209</v>
      </c>
      <c r="E1865" s="129" t="s">
        <v>251</v>
      </c>
      <c r="F1865" s="130"/>
      <c r="G1865" s="131">
        <v>1</v>
      </c>
      <c r="H1865" s="118"/>
      <c r="I1865" s="118"/>
      <c r="J1865" s="118"/>
      <c r="K1865" s="120"/>
      <c r="L1865" s="133">
        <f t="shared" si="147"/>
        <v>0</v>
      </c>
      <c r="M1865" s="134">
        <f t="shared" si="148"/>
        <v>0</v>
      </c>
    </row>
    <row r="1866" spans="1:13" outlineLevel="4">
      <c r="A1866" t="s">
        <v>3192</v>
      </c>
      <c r="B1866" s="116" t="s">
        <v>1452</v>
      </c>
      <c r="C1866" s="129" t="s">
        <v>3210</v>
      </c>
      <c r="D1866" s="129" t="s">
        <v>3211</v>
      </c>
      <c r="E1866" s="129" t="s">
        <v>251</v>
      </c>
      <c r="F1866" s="130"/>
      <c r="G1866" s="131">
        <v>1</v>
      </c>
      <c r="H1866" s="118"/>
      <c r="I1866" s="118"/>
      <c r="J1866" s="118"/>
      <c r="K1866" s="120"/>
      <c r="L1866" s="133">
        <f t="shared" si="147"/>
        <v>0</v>
      </c>
      <c r="M1866" s="134">
        <f t="shared" si="148"/>
        <v>0</v>
      </c>
    </row>
    <row r="1867" spans="1:13" outlineLevel="4">
      <c r="A1867" t="s">
        <v>3192</v>
      </c>
      <c r="B1867" s="116" t="s">
        <v>1452</v>
      </c>
      <c r="C1867" s="129" t="s">
        <v>3212</v>
      </c>
      <c r="D1867" s="129" t="s">
        <v>3213</v>
      </c>
      <c r="E1867" s="129" t="s">
        <v>251</v>
      </c>
      <c r="F1867" s="130"/>
      <c r="G1867" s="131">
        <v>2</v>
      </c>
      <c r="H1867" s="118"/>
      <c r="I1867" s="118"/>
      <c r="J1867" s="118"/>
      <c r="K1867" s="120"/>
      <c r="L1867" s="133">
        <f t="shared" si="147"/>
        <v>0</v>
      </c>
      <c r="M1867" s="134">
        <f t="shared" si="148"/>
        <v>0</v>
      </c>
    </row>
    <row r="1868" spans="1:13" outlineLevel="4">
      <c r="A1868" t="s">
        <v>3192</v>
      </c>
      <c r="B1868" s="116" t="s">
        <v>1452</v>
      </c>
      <c r="C1868" s="129" t="s">
        <v>3214</v>
      </c>
      <c r="D1868" s="129" t="s">
        <v>3215</v>
      </c>
      <c r="E1868" s="129" t="s">
        <v>251</v>
      </c>
      <c r="F1868" s="130"/>
      <c r="G1868" s="131">
        <v>2</v>
      </c>
      <c r="H1868" s="118"/>
      <c r="I1868" s="118"/>
      <c r="J1868" s="118"/>
      <c r="K1868" s="120"/>
      <c r="L1868" s="133">
        <f t="shared" si="147"/>
        <v>0</v>
      </c>
      <c r="M1868" s="134">
        <f t="shared" si="148"/>
        <v>0</v>
      </c>
    </row>
    <row r="1869" spans="1:13" outlineLevel="4">
      <c r="A1869" t="s">
        <v>3192</v>
      </c>
      <c r="B1869" s="116" t="s">
        <v>1452</v>
      </c>
      <c r="C1869" s="129" t="s">
        <v>3216</v>
      </c>
      <c r="D1869" s="129" t="s">
        <v>3217</v>
      </c>
      <c r="E1869" s="129" t="s">
        <v>251</v>
      </c>
      <c r="F1869" s="130"/>
      <c r="G1869" s="131">
        <v>1</v>
      </c>
      <c r="H1869" s="118"/>
      <c r="I1869" s="118"/>
      <c r="J1869" s="118"/>
      <c r="K1869" s="120"/>
      <c r="L1869" s="133">
        <f t="shared" si="147"/>
        <v>0</v>
      </c>
      <c r="M1869" s="134">
        <f t="shared" si="148"/>
        <v>0</v>
      </c>
    </row>
    <row r="1870" spans="1:13" outlineLevel="4">
      <c r="A1870" t="s">
        <v>3192</v>
      </c>
      <c r="B1870" s="116" t="s">
        <v>1452</v>
      </c>
      <c r="C1870" s="129" t="s">
        <v>3218</v>
      </c>
      <c r="D1870" s="129" t="s">
        <v>3219</v>
      </c>
      <c r="E1870" s="129" t="s">
        <v>251</v>
      </c>
      <c r="F1870" s="130"/>
      <c r="G1870" s="131">
        <v>1</v>
      </c>
      <c r="H1870" s="118"/>
      <c r="I1870" s="118"/>
      <c r="J1870" s="118"/>
      <c r="K1870" s="120"/>
      <c r="L1870" s="133">
        <f t="shared" si="147"/>
        <v>0</v>
      </c>
      <c r="M1870" s="134">
        <f t="shared" si="148"/>
        <v>0</v>
      </c>
    </row>
    <row r="1871" spans="1:13" outlineLevel="4">
      <c r="A1871" t="s">
        <v>3192</v>
      </c>
      <c r="B1871" s="116" t="s">
        <v>1452</v>
      </c>
      <c r="C1871" s="129" t="s">
        <v>3220</v>
      </c>
      <c r="D1871" s="129" t="s">
        <v>3221</v>
      </c>
      <c r="E1871" s="129" t="s">
        <v>251</v>
      </c>
      <c r="F1871" s="130"/>
      <c r="G1871" s="131">
        <v>3</v>
      </c>
      <c r="H1871" s="118"/>
      <c r="I1871" s="118"/>
      <c r="J1871" s="118"/>
      <c r="K1871" s="120"/>
      <c r="L1871" s="133">
        <f t="shared" si="147"/>
        <v>0</v>
      </c>
      <c r="M1871" s="134">
        <f t="shared" si="148"/>
        <v>0</v>
      </c>
    </row>
    <row r="1872" spans="1:13" outlineLevel="4">
      <c r="A1872" t="s">
        <v>3192</v>
      </c>
      <c r="B1872" s="116" t="s">
        <v>1452</v>
      </c>
      <c r="C1872" s="129" t="s">
        <v>3222</v>
      </c>
      <c r="D1872" s="129" t="s">
        <v>3223</v>
      </c>
      <c r="E1872" s="129" t="s">
        <v>251</v>
      </c>
      <c r="F1872" s="130"/>
      <c r="G1872" s="131">
        <v>30</v>
      </c>
      <c r="H1872" s="118"/>
      <c r="I1872" s="118"/>
      <c r="J1872" s="118"/>
      <c r="K1872" s="120"/>
      <c r="L1872" s="133">
        <f t="shared" si="147"/>
        <v>0</v>
      </c>
      <c r="M1872" s="134">
        <f t="shared" si="148"/>
        <v>0</v>
      </c>
    </row>
    <row r="1873" spans="1:13" outlineLevel="4">
      <c r="A1873" t="s">
        <v>3192</v>
      </c>
      <c r="B1873" s="116" t="s">
        <v>1452</v>
      </c>
      <c r="C1873" s="129" t="s">
        <v>3224</v>
      </c>
      <c r="D1873" s="129" t="s">
        <v>3225</v>
      </c>
      <c r="E1873" s="129" t="s">
        <v>251</v>
      </c>
      <c r="F1873" s="130"/>
      <c r="G1873" s="131">
        <v>1</v>
      </c>
      <c r="H1873" s="118"/>
      <c r="I1873" s="118"/>
      <c r="J1873" s="118"/>
      <c r="K1873" s="120"/>
      <c r="L1873" s="133">
        <f t="shared" si="147"/>
        <v>0</v>
      </c>
      <c r="M1873" s="134">
        <f t="shared" si="148"/>
        <v>0</v>
      </c>
    </row>
    <row r="1874" spans="1:13" outlineLevel="3">
      <c r="B1874" s="116"/>
      <c r="C1874" s="129"/>
      <c r="D1874" s="129"/>
      <c r="E1874" s="129"/>
      <c r="F1874" s="130"/>
      <c r="G1874" s="131"/>
      <c r="H1874" s="118"/>
      <c r="I1874" s="118"/>
      <c r="J1874" s="118"/>
      <c r="K1874" s="120"/>
      <c r="L1874" s="133"/>
      <c r="M1874" s="134"/>
    </row>
    <row r="1875" spans="1:13" outlineLevel="2">
      <c r="B1875" s="116"/>
      <c r="C1875" s="126" t="s">
        <v>3226</v>
      </c>
      <c r="D1875" s="126" t="s">
        <v>3227</v>
      </c>
      <c r="F1875" s="127"/>
      <c r="G1875" s="116"/>
      <c r="H1875" s="118"/>
      <c r="I1875" s="118"/>
      <c r="J1875" s="118"/>
      <c r="K1875" s="120"/>
      <c r="L1875" s="121"/>
      <c r="M1875" s="128">
        <f>+M1876+M1881</f>
        <v>32968.799999999996</v>
      </c>
    </row>
    <row r="1876" spans="1:13" outlineLevel="3">
      <c r="B1876" s="116"/>
      <c r="C1876" s="158" t="s">
        <v>3228</v>
      </c>
      <c r="D1876" s="158" t="s">
        <v>3229</v>
      </c>
      <c r="F1876" s="159"/>
      <c r="G1876" s="116"/>
      <c r="H1876" s="118"/>
      <c r="I1876" s="118"/>
      <c r="J1876" s="118"/>
      <c r="K1876" s="120"/>
      <c r="L1876" s="121"/>
      <c r="M1876" s="160">
        <f>SUM(M1877:M1880)</f>
        <v>32968.799999999996</v>
      </c>
    </row>
    <row r="1877" spans="1:13" outlineLevel="4">
      <c r="A1877" t="s">
        <v>3153</v>
      </c>
      <c r="B1877" s="116" t="s">
        <v>1452</v>
      </c>
      <c r="C1877" s="129" t="s">
        <v>3230</v>
      </c>
      <c r="D1877" s="129" t="s">
        <v>3231</v>
      </c>
      <c r="E1877" s="129" t="s">
        <v>251</v>
      </c>
      <c r="F1877" s="130"/>
      <c r="G1877" s="131">
        <v>1</v>
      </c>
      <c r="H1877" s="118"/>
      <c r="I1877" s="118"/>
      <c r="J1877" s="118"/>
      <c r="K1877" s="120">
        <v>32968.799999999996</v>
      </c>
      <c r="L1877" s="133">
        <f>SUM(H1877:K1877)</f>
        <v>32968.799999999996</v>
      </c>
      <c r="M1877" s="134">
        <f>+L1877*G1877</f>
        <v>32968.799999999996</v>
      </c>
    </row>
    <row r="1878" spans="1:13" outlineLevel="4">
      <c r="A1878" t="s">
        <v>3153</v>
      </c>
      <c r="B1878" s="116" t="s">
        <v>1452</v>
      </c>
      <c r="C1878" s="129" t="s">
        <v>3232</v>
      </c>
      <c r="D1878" s="129" t="s">
        <v>3233</v>
      </c>
      <c r="E1878" s="129" t="s">
        <v>251</v>
      </c>
      <c r="F1878" s="130"/>
      <c r="G1878" s="131">
        <v>1</v>
      </c>
      <c r="H1878" s="118"/>
      <c r="I1878" s="118"/>
      <c r="J1878" s="118"/>
      <c r="K1878" s="120"/>
      <c r="L1878" s="133">
        <f>SUM(H1878:K1878)</f>
        <v>0</v>
      </c>
      <c r="M1878" s="134">
        <f>+L1878*G1878</f>
        <v>0</v>
      </c>
    </row>
    <row r="1879" spans="1:13" outlineLevel="4">
      <c r="A1879" t="s">
        <v>3153</v>
      </c>
      <c r="B1879" s="116" t="s">
        <v>1452</v>
      </c>
      <c r="C1879" s="129" t="s">
        <v>3234</v>
      </c>
      <c r="D1879" s="129" t="s">
        <v>3165</v>
      </c>
      <c r="E1879" s="129" t="s">
        <v>251</v>
      </c>
      <c r="F1879" s="130"/>
      <c r="G1879" s="131">
        <v>1</v>
      </c>
      <c r="H1879" s="118"/>
      <c r="I1879" s="118"/>
      <c r="J1879" s="118"/>
      <c r="K1879" s="120"/>
      <c r="L1879" s="133">
        <f>SUM(H1879:K1879)</f>
        <v>0</v>
      </c>
      <c r="M1879" s="134">
        <f>+L1879*G1879</f>
        <v>0</v>
      </c>
    </row>
    <row r="1880" spans="1:13" outlineLevel="4">
      <c r="A1880" t="s">
        <v>3153</v>
      </c>
      <c r="B1880" s="116" t="s">
        <v>1452</v>
      </c>
      <c r="C1880" s="129" t="s">
        <v>3235</v>
      </c>
      <c r="D1880" s="129" t="s">
        <v>3167</v>
      </c>
      <c r="E1880" s="129" t="s">
        <v>251</v>
      </c>
      <c r="F1880" s="130"/>
      <c r="G1880" s="131">
        <v>1</v>
      </c>
      <c r="H1880" s="118"/>
      <c r="I1880" s="118"/>
      <c r="J1880" s="118"/>
      <c r="K1880" s="120"/>
      <c r="L1880" s="133">
        <f>SUM(H1880:K1880)</f>
        <v>0</v>
      </c>
      <c r="M1880" s="134">
        <f>+L1880*G1880</f>
        <v>0</v>
      </c>
    </row>
    <row r="1881" spans="1:13" outlineLevel="3">
      <c r="B1881" s="116"/>
      <c r="C1881" s="158" t="s">
        <v>3236</v>
      </c>
      <c r="D1881" s="158" t="s">
        <v>3237</v>
      </c>
      <c r="F1881" s="159"/>
      <c r="G1881" s="131"/>
      <c r="H1881" s="118"/>
      <c r="I1881" s="118"/>
      <c r="J1881" s="118"/>
      <c r="K1881" s="120"/>
      <c r="L1881" s="121"/>
      <c r="M1881" s="160">
        <f>SUM(M1882:M1897)</f>
        <v>0</v>
      </c>
    </row>
    <row r="1882" spans="1:13" outlineLevel="4">
      <c r="A1882" t="s">
        <v>3153</v>
      </c>
      <c r="B1882" s="116" t="s">
        <v>1452</v>
      </c>
      <c r="C1882" s="129" t="s">
        <v>3238</v>
      </c>
      <c r="D1882" s="129" t="s">
        <v>3239</v>
      </c>
      <c r="E1882" s="129" t="s">
        <v>424</v>
      </c>
      <c r="F1882" s="130"/>
      <c r="G1882" s="131">
        <v>930</v>
      </c>
      <c r="H1882" s="118"/>
      <c r="I1882" s="118"/>
      <c r="J1882" s="118"/>
      <c r="K1882" s="120"/>
      <c r="L1882" s="133">
        <f t="shared" ref="L1882:L1897" si="149">SUM(H1882:K1882)</f>
        <v>0</v>
      </c>
      <c r="M1882" s="134">
        <f t="shared" ref="M1882:M1897" si="150">+L1882*G1882</f>
        <v>0</v>
      </c>
    </row>
    <row r="1883" spans="1:13" outlineLevel="4">
      <c r="A1883" t="s">
        <v>3153</v>
      </c>
      <c r="B1883" s="116" t="s">
        <v>1452</v>
      </c>
      <c r="C1883" s="129" t="s">
        <v>3240</v>
      </c>
      <c r="D1883" s="129" t="s">
        <v>3241</v>
      </c>
      <c r="E1883" s="129" t="s">
        <v>251</v>
      </c>
      <c r="F1883" s="130"/>
      <c r="G1883" s="131">
        <v>1</v>
      </c>
      <c r="H1883" s="118"/>
      <c r="I1883" s="118"/>
      <c r="J1883" s="118"/>
      <c r="K1883" s="120"/>
      <c r="L1883" s="133">
        <f t="shared" si="149"/>
        <v>0</v>
      </c>
      <c r="M1883" s="134">
        <f t="shared" si="150"/>
        <v>0</v>
      </c>
    </row>
    <row r="1884" spans="1:13" outlineLevel="4">
      <c r="A1884" t="s">
        <v>3153</v>
      </c>
      <c r="B1884" s="116" t="s">
        <v>1452</v>
      </c>
      <c r="C1884" s="129" t="s">
        <v>3242</v>
      </c>
      <c r="D1884" s="129" t="s">
        <v>3243</v>
      </c>
      <c r="E1884" s="129" t="s">
        <v>251</v>
      </c>
      <c r="F1884" s="130"/>
      <c r="G1884" s="131">
        <v>1</v>
      </c>
      <c r="H1884" s="118"/>
      <c r="I1884" s="118"/>
      <c r="J1884" s="118"/>
      <c r="K1884" s="120"/>
      <c r="L1884" s="133">
        <f t="shared" si="149"/>
        <v>0</v>
      </c>
      <c r="M1884" s="134">
        <f t="shared" si="150"/>
        <v>0</v>
      </c>
    </row>
    <row r="1885" spans="1:13" outlineLevel="4">
      <c r="A1885" t="s">
        <v>3153</v>
      </c>
      <c r="B1885" s="116" t="s">
        <v>1452</v>
      </c>
      <c r="C1885" s="129" t="s">
        <v>3244</v>
      </c>
      <c r="D1885" s="129" t="s">
        <v>3245</v>
      </c>
      <c r="E1885" s="129" t="s">
        <v>251</v>
      </c>
      <c r="F1885" s="130"/>
      <c r="G1885" s="131">
        <v>1</v>
      </c>
      <c r="H1885" s="118"/>
      <c r="I1885" s="118"/>
      <c r="J1885" s="118"/>
      <c r="K1885" s="120"/>
      <c r="L1885" s="133">
        <f t="shared" si="149"/>
        <v>0</v>
      </c>
      <c r="M1885" s="134">
        <f t="shared" si="150"/>
        <v>0</v>
      </c>
    </row>
    <row r="1886" spans="1:13" outlineLevel="4">
      <c r="A1886" t="s">
        <v>3153</v>
      </c>
      <c r="B1886" s="116" t="s">
        <v>1452</v>
      </c>
      <c r="C1886" s="129" t="s">
        <v>3246</v>
      </c>
      <c r="D1886" s="129" t="s">
        <v>3247</v>
      </c>
      <c r="E1886" s="129" t="s">
        <v>251</v>
      </c>
      <c r="F1886" s="130"/>
      <c r="G1886" s="131">
        <v>1</v>
      </c>
      <c r="H1886" s="118"/>
      <c r="I1886" s="118"/>
      <c r="J1886" s="118"/>
      <c r="K1886" s="120"/>
      <c r="L1886" s="133">
        <f t="shared" si="149"/>
        <v>0</v>
      </c>
      <c r="M1886" s="134">
        <f t="shared" si="150"/>
        <v>0</v>
      </c>
    </row>
    <row r="1887" spans="1:13" outlineLevel="4">
      <c r="A1887" t="s">
        <v>3153</v>
      </c>
      <c r="B1887" s="116" t="s">
        <v>1452</v>
      </c>
      <c r="C1887" s="129" t="s">
        <v>3248</v>
      </c>
      <c r="D1887" s="129" t="s">
        <v>3249</v>
      </c>
      <c r="E1887" s="129" t="s">
        <v>251</v>
      </c>
      <c r="F1887" s="130"/>
      <c r="G1887" s="131">
        <v>1</v>
      </c>
      <c r="H1887" s="118"/>
      <c r="I1887" s="118"/>
      <c r="J1887" s="118"/>
      <c r="K1887" s="120"/>
      <c r="L1887" s="133">
        <f t="shared" si="149"/>
        <v>0</v>
      </c>
      <c r="M1887" s="134">
        <f t="shared" si="150"/>
        <v>0</v>
      </c>
    </row>
    <row r="1888" spans="1:13" outlineLevel="4">
      <c r="A1888" t="s">
        <v>3153</v>
      </c>
      <c r="B1888" s="116" t="s">
        <v>1452</v>
      </c>
      <c r="C1888" s="129" t="s">
        <v>3250</v>
      </c>
      <c r="D1888" s="129" t="s">
        <v>3251</v>
      </c>
      <c r="E1888" s="129" t="s">
        <v>251</v>
      </c>
      <c r="F1888" s="130"/>
      <c r="G1888" s="131">
        <v>1</v>
      </c>
      <c r="H1888" s="118"/>
      <c r="I1888" s="118"/>
      <c r="J1888" s="118"/>
      <c r="K1888" s="120"/>
      <c r="L1888" s="133">
        <f t="shared" si="149"/>
        <v>0</v>
      </c>
      <c r="M1888" s="134">
        <f t="shared" si="150"/>
        <v>0</v>
      </c>
    </row>
    <row r="1889" spans="1:13" outlineLevel="4">
      <c r="A1889" t="s">
        <v>3153</v>
      </c>
      <c r="B1889" s="116" t="s">
        <v>1452</v>
      </c>
      <c r="C1889" s="129" t="s">
        <v>3252</v>
      </c>
      <c r="D1889" s="129" t="s">
        <v>3253</v>
      </c>
      <c r="E1889" s="129" t="s">
        <v>251</v>
      </c>
      <c r="F1889" s="130"/>
      <c r="G1889" s="131">
        <v>1</v>
      </c>
      <c r="H1889" s="118"/>
      <c r="I1889" s="118"/>
      <c r="J1889" s="118"/>
      <c r="K1889" s="120"/>
      <c r="L1889" s="133">
        <f t="shared" si="149"/>
        <v>0</v>
      </c>
      <c r="M1889" s="134">
        <f t="shared" si="150"/>
        <v>0</v>
      </c>
    </row>
    <row r="1890" spans="1:13" outlineLevel="4">
      <c r="A1890" t="s">
        <v>3153</v>
      </c>
      <c r="B1890" s="116" t="s">
        <v>1452</v>
      </c>
      <c r="C1890" s="129" t="s">
        <v>3254</v>
      </c>
      <c r="D1890" s="129" t="s">
        <v>3255</v>
      </c>
      <c r="E1890" s="129" t="s">
        <v>251</v>
      </c>
      <c r="F1890" s="130"/>
      <c r="G1890" s="131">
        <v>1</v>
      </c>
      <c r="H1890" s="118"/>
      <c r="I1890" s="118"/>
      <c r="J1890" s="118"/>
      <c r="K1890" s="120"/>
      <c r="L1890" s="133">
        <f t="shared" si="149"/>
        <v>0</v>
      </c>
      <c r="M1890" s="134">
        <f t="shared" si="150"/>
        <v>0</v>
      </c>
    </row>
    <row r="1891" spans="1:13" outlineLevel="4">
      <c r="A1891" t="s">
        <v>3153</v>
      </c>
      <c r="B1891" s="116" t="s">
        <v>1452</v>
      </c>
      <c r="C1891" s="129" t="s">
        <v>3256</v>
      </c>
      <c r="D1891" s="129" t="s">
        <v>3257</v>
      </c>
      <c r="E1891" s="129" t="s">
        <v>251</v>
      </c>
      <c r="F1891" s="130"/>
      <c r="G1891" s="131">
        <v>1</v>
      </c>
      <c r="H1891" s="118"/>
      <c r="I1891" s="118"/>
      <c r="J1891" s="118"/>
      <c r="K1891" s="120"/>
      <c r="L1891" s="133">
        <f t="shared" si="149"/>
        <v>0</v>
      </c>
      <c r="M1891" s="134">
        <f t="shared" si="150"/>
        <v>0</v>
      </c>
    </row>
    <row r="1892" spans="1:13" outlineLevel="4">
      <c r="A1892" t="s">
        <v>3153</v>
      </c>
      <c r="B1892" s="116" t="s">
        <v>1452</v>
      </c>
      <c r="C1892" s="129" t="s">
        <v>3258</v>
      </c>
      <c r="D1892" s="129" t="s">
        <v>3259</v>
      </c>
      <c r="E1892" s="129" t="s">
        <v>251</v>
      </c>
      <c r="F1892" s="130"/>
      <c r="G1892" s="131">
        <v>1</v>
      </c>
      <c r="H1892" s="118"/>
      <c r="I1892" s="118"/>
      <c r="J1892" s="118"/>
      <c r="K1892" s="120"/>
      <c r="L1892" s="133">
        <f t="shared" si="149"/>
        <v>0</v>
      </c>
      <c r="M1892" s="134">
        <f t="shared" si="150"/>
        <v>0</v>
      </c>
    </row>
    <row r="1893" spans="1:13" outlineLevel="4">
      <c r="A1893" t="s">
        <v>3153</v>
      </c>
      <c r="B1893" s="116" t="s">
        <v>1452</v>
      </c>
      <c r="C1893" s="129" t="s">
        <v>3260</v>
      </c>
      <c r="D1893" s="129" t="s">
        <v>3261</v>
      </c>
      <c r="E1893" s="129" t="s">
        <v>251</v>
      </c>
      <c r="F1893" s="130"/>
      <c r="G1893" s="131">
        <v>2</v>
      </c>
      <c r="H1893" s="118"/>
      <c r="I1893" s="118"/>
      <c r="J1893" s="118"/>
      <c r="K1893" s="120"/>
      <c r="L1893" s="133">
        <f t="shared" si="149"/>
        <v>0</v>
      </c>
      <c r="M1893" s="134">
        <f t="shared" si="150"/>
        <v>0</v>
      </c>
    </row>
    <row r="1894" spans="1:13" outlineLevel="4">
      <c r="A1894" t="s">
        <v>3153</v>
      </c>
      <c r="B1894" s="116" t="s">
        <v>1452</v>
      </c>
      <c r="C1894" s="129" t="s">
        <v>3262</v>
      </c>
      <c r="D1894" s="129" t="s">
        <v>3263</v>
      </c>
      <c r="E1894" s="129" t="s">
        <v>251</v>
      </c>
      <c r="F1894" s="130"/>
      <c r="G1894" s="131">
        <v>1</v>
      </c>
      <c r="H1894" s="118"/>
      <c r="I1894" s="118"/>
      <c r="J1894" s="118"/>
      <c r="K1894" s="120"/>
      <c r="L1894" s="133">
        <f t="shared" si="149"/>
        <v>0</v>
      </c>
      <c r="M1894" s="134">
        <f t="shared" si="150"/>
        <v>0</v>
      </c>
    </row>
    <row r="1895" spans="1:13" outlineLevel="4">
      <c r="A1895" t="s">
        <v>3153</v>
      </c>
      <c r="B1895" s="116" t="s">
        <v>1452</v>
      </c>
      <c r="C1895" s="129" t="s">
        <v>3264</v>
      </c>
      <c r="D1895" s="129" t="s">
        <v>3265</v>
      </c>
      <c r="E1895" s="129" t="s">
        <v>251</v>
      </c>
      <c r="F1895" s="130"/>
      <c r="G1895" s="131">
        <v>2</v>
      </c>
      <c r="H1895" s="118"/>
      <c r="I1895" s="118"/>
      <c r="J1895" s="118"/>
      <c r="K1895" s="120"/>
      <c r="L1895" s="133">
        <f t="shared" si="149"/>
        <v>0</v>
      </c>
      <c r="M1895" s="134">
        <f t="shared" si="150"/>
        <v>0</v>
      </c>
    </row>
    <row r="1896" spans="1:13" outlineLevel="4">
      <c r="A1896" t="s">
        <v>3153</v>
      </c>
      <c r="B1896" s="116" t="s">
        <v>1452</v>
      </c>
      <c r="C1896" s="129" t="s">
        <v>3266</v>
      </c>
      <c r="D1896" s="129" t="s">
        <v>3221</v>
      </c>
      <c r="E1896" s="129" t="s">
        <v>251</v>
      </c>
      <c r="F1896" s="130"/>
      <c r="G1896" s="131">
        <v>2</v>
      </c>
      <c r="H1896" s="118"/>
      <c r="I1896" s="118"/>
      <c r="J1896" s="118"/>
      <c r="K1896" s="120"/>
      <c r="L1896" s="133">
        <f t="shared" si="149"/>
        <v>0</v>
      </c>
      <c r="M1896" s="134">
        <f t="shared" si="150"/>
        <v>0</v>
      </c>
    </row>
    <row r="1897" spans="1:13" outlineLevel="4">
      <c r="A1897" t="s">
        <v>3153</v>
      </c>
      <c r="B1897" s="116" t="s">
        <v>1452</v>
      </c>
      <c r="C1897" s="129" t="s">
        <v>3267</v>
      </c>
      <c r="D1897" s="129" t="s">
        <v>3268</v>
      </c>
      <c r="E1897" s="129" t="s">
        <v>251</v>
      </c>
      <c r="F1897" s="130"/>
      <c r="G1897" s="131">
        <v>1</v>
      </c>
      <c r="H1897" s="118"/>
      <c r="I1897" s="118"/>
      <c r="J1897" s="118"/>
      <c r="K1897" s="120"/>
      <c r="L1897" s="133">
        <f t="shared" si="149"/>
        <v>0</v>
      </c>
      <c r="M1897" s="134">
        <f t="shared" si="150"/>
        <v>0</v>
      </c>
    </row>
    <row r="1898" spans="1:13" outlineLevel="3">
      <c r="B1898" s="116"/>
      <c r="C1898" s="129"/>
      <c r="D1898" s="129"/>
      <c r="E1898" s="129"/>
      <c r="F1898" s="130"/>
      <c r="G1898" s="131"/>
      <c r="H1898" s="118"/>
      <c r="I1898" s="118"/>
      <c r="J1898" s="118"/>
      <c r="K1898" s="120"/>
      <c r="L1898" s="133"/>
      <c r="M1898" s="134"/>
    </row>
    <row r="1899" spans="1:13" outlineLevel="2">
      <c r="B1899" s="116"/>
      <c r="C1899" s="126" t="s">
        <v>3269</v>
      </c>
      <c r="D1899" s="126" t="s">
        <v>3270</v>
      </c>
      <c r="F1899" s="127"/>
      <c r="G1899" s="131"/>
      <c r="H1899" s="118"/>
      <c r="I1899" s="118"/>
      <c r="J1899" s="118"/>
      <c r="K1899" s="120"/>
      <c r="L1899" s="121"/>
      <c r="M1899" s="128">
        <f>+M1900+M1903</f>
        <v>8819.7999999999993</v>
      </c>
    </row>
    <row r="1900" spans="1:13" outlineLevel="3">
      <c r="B1900" s="116"/>
      <c r="C1900" s="158" t="s">
        <v>3271</v>
      </c>
      <c r="D1900" s="158" t="s">
        <v>3272</v>
      </c>
      <c r="F1900" s="159"/>
      <c r="G1900" s="131"/>
      <c r="H1900" s="118"/>
      <c r="I1900" s="118"/>
      <c r="J1900" s="118"/>
      <c r="K1900" s="120"/>
      <c r="L1900" s="121"/>
      <c r="M1900" s="160">
        <f>SUM(M1901:M1902)</f>
        <v>8819.7999999999993</v>
      </c>
    </row>
    <row r="1901" spans="1:13" outlineLevel="4">
      <c r="A1901" t="s">
        <v>1451</v>
      </c>
      <c r="B1901" s="116" t="s">
        <v>1452</v>
      </c>
      <c r="C1901" s="129" t="s">
        <v>3273</v>
      </c>
      <c r="D1901" s="129" t="s">
        <v>3274</v>
      </c>
      <c r="E1901" s="129" t="s">
        <v>251</v>
      </c>
      <c r="F1901" s="130"/>
      <c r="G1901" s="131">
        <v>1</v>
      </c>
      <c r="H1901" s="118"/>
      <c r="I1901" s="118"/>
      <c r="J1901" s="118"/>
      <c r="K1901" s="120">
        <v>8819.7999999999993</v>
      </c>
      <c r="L1901" s="133">
        <f>SUM(H1901:K1901)</f>
        <v>8819.7999999999993</v>
      </c>
      <c r="M1901" s="134">
        <f>+L1901*G1901</f>
        <v>8819.7999999999993</v>
      </c>
    </row>
    <row r="1902" spans="1:13" outlineLevel="4">
      <c r="A1902" t="s">
        <v>1451</v>
      </c>
      <c r="B1902" s="116" t="s">
        <v>1452</v>
      </c>
      <c r="C1902" s="129" t="s">
        <v>3275</v>
      </c>
      <c r="D1902" s="129" t="s">
        <v>3165</v>
      </c>
      <c r="E1902" s="129" t="s">
        <v>251</v>
      </c>
      <c r="F1902" s="130"/>
      <c r="G1902" s="131">
        <v>1</v>
      </c>
      <c r="H1902" s="118"/>
      <c r="I1902" s="118"/>
      <c r="J1902" s="118"/>
      <c r="K1902" s="120"/>
      <c r="L1902" s="133">
        <f>SUM(H1902:K1902)</f>
        <v>0</v>
      </c>
      <c r="M1902" s="134">
        <f>+L1902*G1902</f>
        <v>0</v>
      </c>
    </row>
    <row r="1903" spans="1:13" outlineLevel="3">
      <c r="B1903" s="116"/>
      <c r="C1903" s="158" t="s">
        <v>3276</v>
      </c>
      <c r="D1903" s="158" t="s">
        <v>3277</v>
      </c>
      <c r="F1903" s="159"/>
      <c r="G1903" s="131"/>
      <c r="H1903" s="118"/>
      <c r="I1903" s="118"/>
      <c r="J1903" s="118"/>
      <c r="K1903" s="120"/>
      <c r="L1903" s="121"/>
      <c r="M1903" s="160">
        <f>SUM(M1904:M1911)</f>
        <v>0</v>
      </c>
    </row>
    <row r="1904" spans="1:13" outlineLevel="4">
      <c r="A1904" t="s">
        <v>1451</v>
      </c>
      <c r="B1904" s="116" t="s">
        <v>1452</v>
      </c>
      <c r="C1904" s="129" t="s">
        <v>3278</v>
      </c>
      <c r="D1904" s="129" t="s">
        <v>3279</v>
      </c>
      <c r="E1904" s="129" t="s">
        <v>424</v>
      </c>
      <c r="F1904" s="130"/>
      <c r="G1904" s="131">
        <v>170</v>
      </c>
      <c r="H1904" s="118"/>
      <c r="I1904" s="118"/>
      <c r="J1904" s="118"/>
      <c r="K1904" s="120"/>
      <c r="L1904" s="133">
        <f t="shared" ref="L1904:L1911" si="151">SUM(H1904:K1904)</f>
        <v>0</v>
      </c>
      <c r="M1904" s="134">
        <f t="shared" ref="M1904:M1911" si="152">+L1904*G1904</f>
        <v>0</v>
      </c>
    </row>
    <row r="1905" spans="1:13" outlineLevel="4">
      <c r="A1905" t="s">
        <v>1451</v>
      </c>
      <c r="B1905" s="116" t="s">
        <v>1452</v>
      </c>
      <c r="C1905" s="129" t="s">
        <v>3280</v>
      </c>
      <c r="D1905" s="129" t="s">
        <v>3281</v>
      </c>
      <c r="E1905" s="129" t="s">
        <v>251</v>
      </c>
      <c r="F1905" s="130"/>
      <c r="G1905" s="131">
        <v>2</v>
      </c>
      <c r="H1905" s="118"/>
      <c r="I1905" s="118"/>
      <c r="J1905" s="118"/>
      <c r="K1905" s="120"/>
      <c r="L1905" s="133">
        <f t="shared" si="151"/>
        <v>0</v>
      </c>
      <c r="M1905" s="134">
        <f t="shared" si="152"/>
        <v>0</v>
      </c>
    </row>
    <row r="1906" spans="1:13" outlineLevel="4">
      <c r="A1906" t="s">
        <v>1451</v>
      </c>
      <c r="B1906" s="116" t="s">
        <v>1452</v>
      </c>
      <c r="C1906" s="129" t="s">
        <v>3282</v>
      </c>
      <c r="D1906" s="129" t="s">
        <v>3283</v>
      </c>
      <c r="E1906" s="129" t="s">
        <v>251</v>
      </c>
      <c r="F1906" s="130"/>
      <c r="G1906" s="131">
        <v>2</v>
      </c>
      <c r="H1906" s="118"/>
      <c r="I1906" s="118"/>
      <c r="J1906" s="118"/>
      <c r="K1906" s="120"/>
      <c r="L1906" s="133">
        <f t="shared" si="151"/>
        <v>0</v>
      </c>
      <c r="M1906" s="134">
        <f t="shared" si="152"/>
        <v>0</v>
      </c>
    </row>
    <row r="1907" spans="1:13" outlineLevel="4">
      <c r="A1907" t="s">
        <v>1451</v>
      </c>
      <c r="B1907" s="116" t="s">
        <v>1452</v>
      </c>
      <c r="C1907" s="129" t="s">
        <v>3284</v>
      </c>
      <c r="D1907" s="129" t="s">
        <v>3285</v>
      </c>
      <c r="E1907" s="129" t="s">
        <v>251</v>
      </c>
      <c r="F1907" s="130"/>
      <c r="G1907" s="131">
        <v>1</v>
      </c>
      <c r="H1907" s="118"/>
      <c r="I1907" s="118"/>
      <c r="J1907" s="118"/>
      <c r="K1907" s="120"/>
      <c r="L1907" s="133">
        <f t="shared" si="151"/>
        <v>0</v>
      </c>
      <c r="M1907" s="134">
        <f t="shared" si="152"/>
        <v>0</v>
      </c>
    </row>
    <row r="1908" spans="1:13" outlineLevel="4">
      <c r="A1908" t="s">
        <v>1451</v>
      </c>
      <c r="B1908" s="116" t="s">
        <v>1452</v>
      </c>
      <c r="C1908" s="129" t="s">
        <v>3286</v>
      </c>
      <c r="D1908" s="129" t="s">
        <v>3287</v>
      </c>
      <c r="E1908" s="129" t="s">
        <v>251</v>
      </c>
      <c r="F1908" s="130"/>
      <c r="G1908" s="131">
        <v>1</v>
      </c>
      <c r="H1908" s="118"/>
      <c r="I1908" s="118"/>
      <c r="J1908" s="118"/>
      <c r="K1908" s="120"/>
      <c r="L1908" s="133">
        <f t="shared" si="151"/>
        <v>0</v>
      </c>
      <c r="M1908" s="134">
        <f t="shared" si="152"/>
        <v>0</v>
      </c>
    </row>
    <row r="1909" spans="1:13" outlineLevel="4">
      <c r="A1909" t="s">
        <v>1451</v>
      </c>
      <c r="B1909" s="116" t="s">
        <v>1452</v>
      </c>
      <c r="C1909" s="129" t="s">
        <v>3288</v>
      </c>
      <c r="D1909" s="129" t="s">
        <v>3289</v>
      </c>
      <c r="E1909" s="129" t="s">
        <v>251</v>
      </c>
      <c r="F1909" s="130"/>
      <c r="G1909" s="131">
        <v>1</v>
      </c>
      <c r="H1909" s="118"/>
      <c r="I1909" s="118"/>
      <c r="J1909" s="118"/>
      <c r="K1909" s="120"/>
      <c r="L1909" s="133">
        <f t="shared" si="151"/>
        <v>0</v>
      </c>
      <c r="M1909" s="134">
        <f t="shared" si="152"/>
        <v>0</v>
      </c>
    </row>
    <row r="1910" spans="1:13" outlineLevel="4">
      <c r="A1910" t="s">
        <v>1451</v>
      </c>
      <c r="B1910" s="116" t="s">
        <v>1452</v>
      </c>
      <c r="C1910" s="129" t="s">
        <v>3290</v>
      </c>
      <c r="D1910" s="129" t="s">
        <v>3291</v>
      </c>
      <c r="E1910" s="129" t="s">
        <v>251</v>
      </c>
      <c r="F1910" s="130"/>
      <c r="G1910" s="131">
        <v>1</v>
      </c>
      <c r="H1910" s="118"/>
      <c r="I1910" s="118"/>
      <c r="J1910" s="118"/>
      <c r="K1910" s="120"/>
      <c r="L1910" s="133">
        <f t="shared" si="151"/>
        <v>0</v>
      </c>
      <c r="M1910" s="134">
        <f t="shared" si="152"/>
        <v>0</v>
      </c>
    </row>
    <row r="1911" spans="1:13" outlineLevel="4">
      <c r="A1911" t="s">
        <v>1451</v>
      </c>
      <c r="B1911" s="116" t="s">
        <v>1452</v>
      </c>
      <c r="C1911" s="129" t="s">
        <v>3292</v>
      </c>
      <c r="D1911" s="129" t="s">
        <v>3293</v>
      </c>
      <c r="E1911" s="129" t="s">
        <v>251</v>
      </c>
      <c r="F1911" s="130"/>
      <c r="G1911" s="131">
        <v>1</v>
      </c>
      <c r="H1911" s="118"/>
      <c r="I1911" s="118"/>
      <c r="J1911" s="118"/>
      <c r="K1911" s="120"/>
      <c r="L1911" s="133">
        <f t="shared" si="151"/>
        <v>0</v>
      </c>
      <c r="M1911" s="134">
        <f t="shared" si="152"/>
        <v>0</v>
      </c>
    </row>
    <row r="1912" spans="1:13" outlineLevel="3">
      <c r="B1912" s="116"/>
      <c r="C1912" s="129"/>
      <c r="D1912" s="129"/>
      <c r="E1912" s="129"/>
      <c r="F1912" s="130"/>
      <c r="G1912" s="131"/>
      <c r="H1912" s="118"/>
      <c r="I1912" s="118"/>
      <c r="J1912" s="118"/>
      <c r="K1912" s="120"/>
      <c r="L1912" s="133"/>
      <c r="M1912" s="134"/>
    </row>
    <row r="1913" spans="1:13" outlineLevel="2">
      <c r="B1913" s="116"/>
      <c r="C1913" s="126" t="s">
        <v>3294</v>
      </c>
      <c r="D1913" s="126" t="s">
        <v>3295</v>
      </c>
      <c r="F1913" s="127"/>
      <c r="G1913" s="131"/>
      <c r="H1913" s="118"/>
      <c r="I1913" s="118"/>
      <c r="J1913" s="118"/>
      <c r="K1913" s="120"/>
      <c r="L1913" s="121"/>
      <c r="M1913" s="128">
        <f>+M1914+M1917</f>
        <v>1071.5999999999999</v>
      </c>
    </row>
    <row r="1914" spans="1:13" outlineLevel="3">
      <c r="B1914" s="116"/>
      <c r="C1914" s="158" t="s">
        <v>3296</v>
      </c>
      <c r="D1914" s="158" t="s">
        <v>3297</v>
      </c>
      <c r="F1914" s="159"/>
      <c r="G1914" s="131"/>
      <c r="H1914" s="118"/>
      <c r="I1914" s="118"/>
      <c r="J1914" s="118"/>
      <c r="K1914" s="120"/>
      <c r="L1914" s="121"/>
      <c r="M1914" s="160">
        <f>SUM(M1915:M1916)</f>
        <v>1071.5999999999999</v>
      </c>
    </row>
    <row r="1915" spans="1:13" outlineLevel="4">
      <c r="A1915" t="s">
        <v>1451</v>
      </c>
      <c r="B1915" s="116" t="s">
        <v>1452</v>
      </c>
      <c r="C1915" s="129" t="s">
        <v>3298</v>
      </c>
      <c r="D1915" s="129" t="s">
        <v>3299</v>
      </c>
      <c r="E1915" s="129" t="s">
        <v>251</v>
      </c>
      <c r="F1915" s="130"/>
      <c r="G1915" s="131">
        <v>1</v>
      </c>
      <c r="H1915" s="118"/>
      <c r="I1915" s="118"/>
      <c r="J1915" s="118"/>
      <c r="K1915" s="120">
        <v>1071.5999999999999</v>
      </c>
      <c r="L1915" s="133">
        <f>SUM(H1915:K1915)</f>
        <v>1071.5999999999999</v>
      </c>
      <c r="M1915" s="134">
        <f>+L1915*G1915</f>
        <v>1071.5999999999999</v>
      </c>
    </row>
    <row r="1916" spans="1:13" outlineLevel="4">
      <c r="A1916" t="s">
        <v>1451</v>
      </c>
      <c r="B1916" s="116" t="s">
        <v>1452</v>
      </c>
      <c r="C1916" s="129" t="s">
        <v>3300</v>
      </c>
      <c r="D1916" s="129" t="s">
        <v>3301</v>
      </c>
      <c r="E1916" s="129" t="s">
        <v>251</v>
      </c>
      <c r="F1916" s="130"/>
      <c r="G1916" s="131">
        <v>2</v>
      </c>
      <c r="H1916" s="118"/>
      <c r="I1916" s="118"/>
      <c r="J1916" s="118"/>
      <c r="K1916" s="120"/>
      <c r="L1916" s="133">
        <f>SUM(H1916:K1916)</f>
        <v>0</v>
      </c>
      <c r="M1916" s="134">
        <f>+L1916*G1916</f>
        <v>0</v>
      </c>
    </row>
    <row r="1917" spans="1:13" outlineLevel="3">
      <c r="B1917" s="116"/>
      <c r="C1917" s="158" t="s">
        <v>3302</v>
      </c>
      <c r="D1917" s="158" t="s">
        <v>3303</v>
      </c>
      <c r="F1917" s="159"/>
      <c r="G1917" s="131"/>
      <c r="H1917" s="118"/>
      <c r="I1917" s="118"/>
      <c r="J1917" s="118"/>
      <c r="K1917" s="120"/>
      <c r="L1917" s="121"/>
      <c r="M1917" s="160">
        <f>SUM(M1918:M1918)</f>
        <v>0</v>
      </c>
    </row>
    <row r="1918" spans="1:13" outlineLevel="4">
      <c r="A1918" t="s">
        <v>1451</v>
      </c>
      <c r="B1918" s="116" t="s">
        <v>1452</v>
      </c>
      <c r="C1918" s="129" t="s">
        <v>3304</v>
      </c>
      <c r="D1918" s="129" t="s">
        <v>3305</v>
      </c>
      <c r="E1918" s="129" t="s">
        <v>251</v>
      </c>
      <c r="F1918" s="130"/>
      <c r="G1918" s="131">
        <v>2</v>
      </c>
      <c r="H1918" s="118"/>
      <c r="I1918" s="118"/>
      <c r="J1918" s="118"/>
      <c r="K1918" s="120"/>
      <c r="L1918" s="133">
        <f>SUM(H1918:K1918)</f>
        <v>0</v>
      </c>
      <c r="M1918" s="134">
        <f>+L1918*G1918</f>
        <v>0</v>
      </c>
    </row>
    <row r="1919" spans="1:13" outlineLevel="3">
      <c r="B1919" s="116"/>
      <c r="C1919" s="129"/>
      <c r="D1919" s="129"/>
      <c r="E1919" s="129"/>
      <c r="F1919" s="130"/>
      <c r="G1919" s="131"/>
      <c r="H1919" s="118"/>
      <c r="I1919" s="118"/>
      <c r="J1919" s="118"/>
      <c r="K1919" s="120"/>
      <c r="L1919" s="133"/>
      <c r="M1919" s="134"/>
    </row>
    <row r="1920" spans="1:13" outlineLevel="2">
      <c r="B1920" s="116"/>
      <c r="C1920" s="126" t="s">
        <v>3306</v>
      </c>
      <c r="D1920" s="126" t="s">
        <v>3307</v>
      </c>
      <c r="F1920" s="127"/>
      <c r="G1920" s="131"/>
      <c r="H1920" s="118"/>
      <c r="I1920" s="118"/>
      <c r="J1920" s="118"/>
      <c r="K1920" s="120"/>
      <c r="L1920" s="121"/>
      <c r="M1920" s="128">
        <f>+M1921+M1926</f>
        <v>9503.7999999999993</v>
      </c>
    </row>
    <row r="1921" spans="1:13" outlineLevel="3">
      <c r="B1921" s="116"/>
      <c r="C1921" s="158" t="s">
        <v>3308</v>
      </c>
      <c r="D1921" s="158" t="s">
        <v>3309</v>
      </c>
      <c r="F1921" s="159"/>
      <c r="G1921" s="131"/>
      <c r="H1921" s="118"/>
      <c r="I1921" s="118"/>
      <c r="J1921" s="118"/>
      <c r="K1921" s="120"/>
      <c r="L1921" s="121"/>
      <c r="M1921" s="160">
        <f>SUM(M1922:M1925)</f>
        <v>9503.7999999999993</v>
      </c>
    </row>
    <row r="1922" spans="1:13" outlineLevel="4">
      <c r="A1922" t="s">
        <v>1451</v>
      </c>
      <c r="B1922" s="116" t="s">
        <v>1452</v>
      </c>
      <c r="C1922" s="129" t="s">
        <v>3310</v>
      </c>
      <c r="D1922" s="129" t="s">
        <v>3311</v>
      </c>
      <c r="E1922" s="129" t="s">
        <v>251</v>
      </c>
      <c r="F1922" s="130"/>
      <c r="G1922" s="131">
        <v>1</v>
      </c>
      <c r="H1922" s="118"/>
      <c r="I1922" s="118"/>
      <c r="J1922" s="118"/>
      <c r="K1922" s="120">
        <v>9503.7999999999993</v>
      </c>
      <c r="L1922" s="133">
        <f>SUM(H1922:K1922)</f>
        <v>9503.7999999999993</v>
      </c>
      <c r="M1922" s="134">
        <f>+L1922*G1922</f>
        <v>9503.7999999999993</v>
      </c>
    </row>
    <row r="1923" spans="1:13" outlineLevel="4">
      <c r="A1923" t="s">
        <v>1451</v>
      </c>
      <c r="B1923" s="116" t="s">
        <v>1452</v>
      </c>
      <c r="C1923" s="129" t="s">
        <v>3312</v>
      </c>
      <c r="D1923" s="129" t="s">
        <v>3313</v>
      </c>
      <c r="E1923" s="129" t="s">
        <v>251</v>
      </c>
      <c r="F1923" s="130"/>
      <c r="G1923" s="131">
        <v>1</v>
      </c>
      <c r="H1923" s="118"/>
      <c r="I1923" s="118"/>
      <c r="J1923" s="118"/>
      <c r="K1923" s="120"/>
      <c r="L1923" s="133">
        <f>SUM(H1923:K1923)</f>
        <v>0</v>
      </c>
      <c r="M1923" s="134">
        <f>+L1923*G1923</f>
        <v>0</v>
      </c>
    </row>
    <row r="1924" spans="1:13" outlineLevel="4">
      <c r="A1924" t="s">
        <v>1451</v>
      </c>
      <c r="B1924" s="116" t="s">
        <v>1452</v>
      </c>
      <c r="C1924" s="129" t="s">
        <v>3314</v>
      </c>
      <c r="D1924" s="129" t="s">
        <v>3165</v>
      </c>
      <c r="E1924" s="129" t="s">
        <v>251</v>
      </c>
      <c r="F1924" s="130"/>
      <c r="G1924" s="131">
        <v>2</v>
      </c>
      <c r="H1924" s="118"/>
      <c r="I1924" s="118"/>
      <c r="J1924" s="118"/>
      <c r="K1924" s="120"/>
      <c r="L1924" s="133">
        <f>SUM(H1924:K1924)</f>
        <v>0</v>
      </c>
      <c r="M1924" s="134">
        <f>+L1924*G1924</f>
        <v>0</v>
      </c>
    </row>
    <row r="1925" spans="1:13" outlineLevel="4">
      <c r="A1925" t="s">
        <v>1451</v>
      </c>
      <c r="B1925" s="116" t="s">
        <v>1452</v>
      </c>
      <c r="C1925" s="129" t="s">
        <v>3315</v>
      </c>
      <c r="D1925" s="129" t="s">
        <v>3167</v>
      </c>
      <c r="E1925" s="129" t="s">
        <v>251</v>
      </c>
      <c r="F1925" s="130"/>
      <c r="G1925" s="131">
        <v>2</v>
      </c>
      <c r="H1925" s="118"/>
      <c r="I1925" s="118"/>
      <c r="J1925" s="118"/>
      <c r="K1925" s="120"/>
      <c r="L1925" s="133">
        <f>SUM(H1925:K1925)</f>
        <v>0</v>
      </c>
      <c r="M1925" s="134">
        <f>+L1925*G1925</f>
        <v>0</v>
      </c>
    </row>
    <row r="1926" spans="1:13" outlineLevel="3">
      <c r="B1926" s="116"/>
      <c r="C1926" s="158" t="s">
        <v>3316</v>
      </c>
      <c r="D1926" s="158" t="s">
        <v>3317</v>
      </c>
      <c r="F1926" s="159"/>
      <c r="G1926" s="131"/>
      <c r="H1926" s="118"/>
      <c r="I1926" s="118"/>
      <c r="J1926" s="118"/>
      <c r="K1926" s="120"/>
      <c r="L1926" s="121"/>
      <c r="M1926" s="160">
        <f>SUM(M1927:M1936)</f>
        <v>0</v>
      </c>
    </row>
    <row r="1927" spans="1:13" outlineLevel="4">
      <c r="A1927" t="s">
        <v>1451</v>
      </c>
      <c r="B1927" s="116" t="s">
        <v>1452</v>
      </c>
      <c r="C1927" s="129" t="s">
        <v>3318</v>
      </c>
      <c r="D1927" s="129" t="s">
        <v>3279</v>
      </c>
      <c r="E1927" s="129" t="s">
        <v>424</v>
      </c>
      <c r="F1927" s="130"/>
      <c r="G1927" s="131">
        <v>60</v>
      </c>
      <c r="H1927" s="118"/>
      <c r="I1927" s="118"/>
      <c r="J1927" s="118"/>
      <c r="K1927" s="120"/>
      <c r="L1927" s="133">
        <f t="shared" ref="L1927:L1936" si="153">SUM(H1927:K1927)</f>
        <v>0</v>
      </c>
      <c r="M1927" s="134">
        <f t="shared" ref="M1927:M1936" si="154">+L1927*G1927</f>
        <v>0</v>
      </c>
    </row>
    <row r="1928" spans="1:13" outlineLevel="4">
      <c r="A1928" t="s">
        <v>1451</v>
      </c>
      <c r="B1928" s="116" t="s">
        <v>1452</v>
      </c>
      <c r="C1928" s="129" t="s">
        <v>3319</v>
      </c>
      <c r="D1928" s="129" t="s">
        <v>3320</v>
      </c>
      <c r="E1928" s="129" t="s">
        <v>251</v>
      </c>
      <c r="F1928" s="130"/>
      <c r="G1928" s="131">
        <v>1</v>
      </c>
      <c r="H1928" s="118"/>
      <c r="I1928" s="118"/>
      <c r="J1928" s="118"/>
      <c r="K1928" s="120"/>
      <c r="L1928" s="133">
        <f t="shared" si="153"/>
        <v>0</v>
      </c>
      <c r="M1928" s="134">
        <f t="shared" si="154"/>
        <v>0</v>
      </c>
    </row>
    <row r="1929" spans="1:13" outlineLevel="4">
      <c r="A1929" t="s">
        <v>1451</v>
      </c>
      <c r="B1929" s="116" t="s">
        <v>1452</v>
      </c>
      <c r="C1929" s="129" t="s">
        <v>3321</v>
      </c>
      <c r="D1929" s="129" t="s">
        <v>3322</v>
      </c>
      <c r="E1929" s="129" t="s">
        <v>251</v>
      </c>
      <c r="F1929" s="130"/>
      <c r="G1929" s="131">
        <v>14</v>
      </c>
      <c r="H1929" s="118"/>
      <c r="I1929" s="118"/>
      <c r="J1929" s="118"/>
      <c r="K1929" s="120"/>
      <c r="L1929" s="133">
        <f t="shared" si="153"/>
        <v>0</v>
      </c>
      <c r="M1929" s="134">
        <f t="shared" si="154"/>
        <v>0</v>
      </c>
    </row>
    <row r="1930" spans="1:13" outlineLevel="4">
      <c r="A1930" t="s">
        <v>1451</v>
      </c>
      <c r="B1930" s="116" t="s">
        <v>1452</v>
      </c>
      <c r="C1930" s="129" t="s">
        <v>3323</v>
      </c>
      <c r="D1930" s="129" t="s">
        <v>3324</v>
      </c>
      <c r="E1930" s="129" t="s">
        <v>251</v>
      </c>
      <c r="F1930" s="130"/>
      <c r="G1930" s="131">
        <v>1</v>
      </c>
      <c r="H1930" s="118"/>
      <c r="I1930" s="118"/>
      <c r="J1930" s="118"/>
      <c r="K1930" s="120"/>
      <c r="L1930" s="133">
        <f t="shared" si="153"/>
        <v>0</v>
      </c>
      <c r="M1930" s="134">
        <f t="shared" si="154"/>
        <v>0</v>
      </c>
    </row>
    <row r="1931" spans="1:13" outlineLevel="4">
      <c r="A1931" t="s">
        <v>1451</v>
      </c>
      <c r="B1931" s="116" t="s">
        <v>1452</v>
      </c>
      <c r="C1931" s="129" t="s">
        <v>3325</v>
      </c>
      <c r="D1931" s="129" t="s">
        <v>3326</v>
      </c>
      <c r="E1931" s="129" t="s">
        <v>251</v>
      </c>
      <c r="F1931" s="130"/>
      <c r="G1931" s="131">
        <v>1</v>
      </c>
      <c r="H1931" s="118"/>
      <c r="I1931" s="118"/>
      <c r="J1931" s="118"/>
      <c r="K1931" s="120"/>
      <c r="L1931" s="133">
        <f t="shared" si="153"/>
        <v>0</v>
      </c>
      <c r="M1931" s="134">
        <f t="shared" si="154"/>
        <v>0</v>
      </c>
    </row>
    <row r="1932" spans="1:13" outlineLevel="4">
      <c r="A1932" t="s">
        <v>1451</v>
      </c>
      <c r="B1932" s="116" t="s">
        <v>1452</v>
      </c>
      <c r="C1932" s="129" t="s">
        <v>3327</v>
      </c>
      <c r="D1932" s="129" t="s">
        <v>3328</v>
      </c>
      <c r="E1932" s="129" t="s">
        <v>251</v>
      </c>
      <c r="F1932" s="130"/>
      <c r="G1932" s="131">
        <v>1</v>
      </c>
      <c r="H1932" s="118"/>
      <c r="I1932" s="118"/>
      <c r="J1932" s="118"/>
      <c r="K1932" s="120"/>
      <c r="L1932" s="133">
        <f t="shared" si="153"/>
        <v>0</v>
      </c>
      <c r="M1932" s="134">
        <f t="shared" si="154"/>
        <v>0</v>
      </c>
    </row>
    <row r="1933" spans="1:13" outlineLevel="4">
      <c r="A1933" t="s">
        <v>1451</v>
      </c>
      <c r="B1933" s="116" t="s">
        <v>1452</v>
      </c>
      <c r="C1933" s="129" t="s">
        <v>3329</v>
      </c>
      <c r="D1933" s="129" t="s">
        <v>3330</v>
      </c>
      <c r="E1933" s="129" t="s">
        <v>251</v>
      </c>
      <c r="F1933" s="130"/>
      <c r="G1933" s="131">
        <v>1</v>
      </c>
      <c r="H1933" s="118"/>
      <c r="I1933" s="118"/>
      <c r="J1933" s="118"/>
      <c r="K1933" s="120"/>
      <c r="L1933" s="133">
        <f t="shared" si="153"/>
        <v>0</v>
      </c>
      <c r="M1933" s="134">
        <f t="shared" si="154"/>
        <v>0</v>
      </c>
    </row>
    <row r="1934" spans="1:13" outlineLevel="4">
      <c r="A1934" t="s">
        <v>1451</v>
      </c>
      <c r="B1934" s="116" t="s">
        <v>1452</v>
      </c>
      <c r="C1934" s="129" t="s">
        <v>3331</v>
      </c>
      <c r="D1934" s="129" t="s">
        <v>3221</v>
      </c>
      <c r="E1934" s="129" t="s">
        <v>251</v>
      </c>
      <c r="F1934" s="130"/>
      <c r="G1934" s="131">
        <v>1</v>
      </c>
      <c r="H1934" s="118"/>
      <c r="I1934" s="118"/>
      <c r="J1934" s="118"/>
      <c r="K1934" s="120"/>
      <c r="L1934" s="133">
        <f t="shared" si="153"/>
        <v>0</v>
      </c>
      <c r="M1934" s="134">
        <f t="shared" si="154"/>
        <v>0</v>
      </c>
    </row>
    <row r="1935" spans="1:13" outlineLevel="4">
      <c r="A1935" t="s">
        <v>1451</v>
      </c>
      <c r="B1935" s="116" t="s">
        <v>1452</v>
      </c>
      <c r="C1935" s="129" t="s">
        <v>3332</v>
      </c>
      <c r="D1935" s="129" t="s">
        <v>3291</v>
      </c>
      <c r="E1935" s="129" t="s">
        <v>251</v>
      </c>
      <c r="F1935" s="130"/>
      <c r="G1935" s="131">
        <v>1</v>
      </c>
      <c r="H1935" s="118"/>
      <c r="I1935" s="118"/>
      <c r="J1935" s="118"/>
      <c r="K1935" s="120"/>
      <c r="L1935" s="133">
        <f t="shared" si="153"/>
        <v>0</v>
      </c>
      <c r="M1935" s="134">
        <f t="shared" si="154"/>
        <v>0</v>
      </c>
    </row>
    <row r="1936" spans="1:13" outlineLevel="4">
      <c r="A1936" t="s">
        <v>1451</v>
      </c>
      <c r="B1936" s="116" t="s">
        <v>1452</v>
      </c>
      <c r="C1936" s="129" t="s">
        <v>3333</v>
      </c>
      <c r="D1936" s="129" t="s">
        <v>3334</v>
      </c>
      <c r="E1936" s="129" t="s">
        <v>251</v>
      </c>
      <c r="F1936" s="130"/>
      <c r="G1936" s="131">
        <v>2</v>
      </c>
      <c r="H1936" s="118"/>
      <c r="I1936" s="118"/>
      <c r="J1936" s="118"/>
      <c r="K1936" s="120"/>
      <c r="L1936" s="133">
        <f t="shared" si="153"/>
        <v>0</v>
      </c>
      <c r="M1936" s="134">
        <f t="shared" si="154"/>
        <v>0</v>
      </c>
    </row>
    <row r="1937" spans="1:13" outlineLevel="3">
      <c r="B1937" s="116"/>
      <c r="C1937" s="129"/>
      <c r="D1937" s="129"/>
      <c r="E1937" s="129"/>
      <c r="F1937" s="130"/>
      <c r="G1937" s="131"/>
      <c r="H1937" s="118"/>
      <c r="I1937" s="118"/>
      <c r="J1937" s="118"/>
      <c r="K1937" s="120"/>
      <c r="L1937" s="133"/>
      <c r="M1937" s="134"/>
    </row>
    <row r="1938" spans="1:13" outlineLevel="2">
      <c r="B1938" s="116"/>
      <c r="C1938" s="126" t="s">
        <v>3335</v>
      </c>
      <c r="D1938" s="126" t="s">
        <v>3336</v>
      </c>
      <c r="F1938" s="127"/>
      <c r="G1938" s="131"/>
      <c r="H1938" s="118"/>
      <c r="I1938" s="118"/>
      <c r="J1938" s="118"/>
      <c r="K1938" s="120"/>
      <c r="L1938" s="121"/>
      <c r="M1938" s="128">
        <f>+M1939+M1947</f>
        <v>96637.799999999988</v>
      </c>
    </row>
    <row r="1939" spans="1:13" outlineLevel="3">
      <c r="B1939" s="116"/>
      <c r="C1939" s="158" t="s">
        <v>3337</v>
      </c>
      <c r="D1939" s="158" t="s">
        <v>3338</v>
      </c>
      <c r="F1939" s="159"/>
      <c r="G1939" s="131"/>
      <c r="H1939" s="118"/>
      <c r="I1939" s="118"/>
      <c r="J1939" s="118"/>
      <c r="K1939" s="120"/>
      <c r="L1939" s="121"/>
      <c r="M1939" s="160">
        <f>SUM(M1940:M1946)</f>
        <v>96637.799999999988</v>
      </c>
    </row>
    <row r="1940" spans="1:13" outlineLevel="4">
      <c r="A1940" t="s">
        <v>1451</v>
      </c>
      <c r="B1940" s="116" t="s">
        <v>1452</v>
      </c>
      <c r="C1940" s="129" t="s">
        <v>3339</v>
      </c>
      <c r="D1940" s="129" t="s">
        <v>3340</v>
      </c>
      <c r="E1940" s="129" t="s">
        <v>251</v>
      </c>
      <c r="F1940" s="130"/>
      <c r="G1940" s="131">
        <v>1</v>
      </c>
      <c r="H1940" s="118"/>
      <c r="I1940" s="118"/>
      <c r="J1940" s="118"/>
      <c r="K1940" s="120">
        <v>96637.799999999988</v>
      </c>
      <c r="L1940" s="133">
        <f t="shared" ref="L1940:L1946" si="155">SUM(H1940:K1940)</f>
        <v>96637.799999999988</v>
      </c>
      <c r="M1940" s="134">
        <f t="shared" ref="M1940:M1946" si="156">+L1940*G1940</f>
        <v>96637.799999999988</v>
      </c>
    </row>
    <row r="1941" spans="1:13" outlineLevel="4">
      <c r="A1941" t="s">
        <v>1451</v>
      </c>
      <c r="B1941" s="116" t="s">
        <v>1452</v>
      </c>
      <c r="C1941" s="129" t="s">
        <v>3341</v>
      </c>
      <c r="D1941" s="129" t="s">
        <v>3342</v>
      </c>
      <c r="E1941" s="129" t="s">
        <v>251</v>
      </c>
      <c r="F1941" s="130"/>
      <c r="G1941" s="131">
        <v>1</v>
      </c>
      <c r="H1941" s="118"/>
      <c r="I1941" s="118"/>
      <c r="J1941" s="118"/>
      <c r="K1941" s="120"/>
      <c r="L1941" s="133">
        <f t="shared" si="155"/>
        <v>0</v>
      </c>
      <c r="M1941" s="134">
        <f t="shared" si="156"/>
        <v>0</v>
      </c>
    </row>
    <row r="1942" spans="1:13" outlineLevel="4">
      <c r="A1942" t="s">
        <v>1451</v>
      </c>
      <c r="B1942" s="116" t="s">
        <v>1452</v>
      </c>
      <c r="C1942" s="129" t="s">
        <v>3343</v>
      </c>
      <c r="D1942" s="129" t="s">
        <v>3344</v>
      </c>
      <c r="E1942" s="129" t="s">
        <v>251</v>
      </c>
      <c r="F1942" s="130"/>
      <c r="G1942" s="131">
        <v>14</v>
      </c>
      <c r="H1942" s="118"/>
      <c r="I1942" s="118"/>
      <c r="J1942" s="118"/>
      <c r="K1942" s="120"/>
      <c r="L1942" s="133">
        <f t="shared" si="155"/>
        <v>0</v>
      </c>
      <c r="M1942" s="134">
        <f t="shared" si="156"/>
        <v>0</v>
      </c>
    </row>
    <row r="1943" spans="1:13" outlineLevel="4">
      <c r="A1943" t="s">
        <v>1451</v>
      </c>
      <c r="B1943" s="116" t="s">
        <v>1452</v>
      </c>
      <c r="C1943" s="129" t="s">
        <v>3345</v>
      </c>
      <c r="D1943" s="129" t="s">
        <v>3346</v>
      </c>
      <c r="E1943" s="129" t="s">
        <v>251</v>
      </c>
      <c r="F1943" s="130"/>
      <c r="G1943" s="131">
        <v>136</v>
      </c>
      <c r="H1943" s="118"/>
      <c r="I1943" s="118"/>
      <c r="J1943" s="118"/>
      <c r="K1943" s="120"/>
      <c r="L1943" s="133">
        <f t="shared" si="155"/>
        <v>0</v>
      </c>
      <c r="M1943" s="134">
        <f t="shared" si="156"/>
        <v>0</v>
      </c>
    </row>
    <row r="1944" spans="1:13" outlineLevel="4">
      <c r="A1944" t="s">
        <v>1451</v>
      </c>
      <c r="B1944" s="116" t="s">
        <v>1452</v>
      </c>
      <c r="C1944" s="129" t="s">
        <v>3347</v>
      </c>
      <c r="D1944" s="129" t="s">
        <v>3348</v>
      </c>
      <c r="E1944" s="129" t="s">
        <v>251</v>
      </c>
      <c r="F1944" s="130"/>
      <c r="G1944" s="131">
        <v>210</v>
      </c>
      <c r="H1944" s="118"/>
      <c r="I1944" s="118"/>
      <c r="J1944" s="118"/>
      <c r="K1944" s="120"/>
      <c r="L1944" s="133">
        <f t="shared" si="155"/>
        <v>0</v>
      </c>
      <c r="M1944" s="134">
        <f t="shared" si="156"/>
        <v>0</v>
      </c>
    </row>
    <row r="1945" spans="1:13" outlineLevel="4">
      <c r="A1945" t="s">
        <v>1451</v>
      </c>
      <c r="B1945" s="116" t="s">
        <v>1452</v>
      </c>
      <c r="C1945" s="129" t="s">
        <v>3349</v>
      </c>
      <c r="D1945" s="129" t="s">
        <v>3350</v>
      </c>
      <c r="E1945" s="129" t="s">
        <v>251</v>
      </c>
      <c r="F1945" s="130"/>
      <c r="G1945" s="131">
        <v>29</v>
      </c>
      <c r="H1945" s="118"/>
      <c r="I1945" s="118"/>
      <c r="J1945" s="118"/>
      <c r="K1945" s="120"/>
      <c r="L1945" s="133">
        <f t="shared" si="155"/>
        <v>0</v>
      </c>
      <c r="M1945" s="134">
        <f t="shared" si="156"/>
        <v>0</v>
      </c>
    </row>
    <row r="1946" spans="1:13" outlineLevel="4">
      <c r="A1946" t="s">
        <v>1451</v>
      </c>
      <c r="B1946" s="116" t="s">
        <v>1452</v>
      </c>
      <c r="C1946" s="129" t="s">
        <v>3351</v>
      </c>
      <c r="D1946" s="129" t="s">
        <v>3165</v>
      </c>
      <c r="E1946" s="129" t="s">
        <v>251</v>
      </c>
      <c r="F1946" s="130"/>
      <c r="G1946" s="131">
        <v>1</v>
      </c>
      <c r="H1946" s="118"/>
      <c r="I1946" s="118"/>
      <c r="J1946" s="118"/>
      <c r="K1946" s="120"/>
      <c r="L1946" s="133">
        <f t="shared" si="155"/>
        <v>0</v>
      </c>
      <c r="M1946" s="134">
        <f t="shared" si="156"/>
        <v>0</v>
      </c>
    </row>
    <row r="1947" spans="1:13" outlineLevel="3">
      <c r="B1947" s="116"/>
      <c r="C1947" s="158" t="s">
        <v>3352</v>
      </c>
      <c r="D1947" s="158" t="s">
        <v>3353</v>
      </c>
      <c r="F1947" s="159"/>
      <c r="G1947" s="131"/>
      <c r="H1947" s="118"/>
      <c r="I1947" s="118"/>
      <c r="J1947" s="118"/>
      <c r="K1947" s="120"/>
      <c r="L1947" s="133"/>
      <c r="M1947" s="160">
        <f>SUM(M1948:M1962)</f>
        <v>0</v>
      </c>
    </row>
    <row r="1948" spans="1:13" outlineLevel="4">
      <c r="A1948" t="s">
        <v>1451</v>
      </c>
      <c r="B1948" s="116" t="s">
        <v>1452</v>
      </c>
      <c r="C1948" s="129" t="s">
        <v>3354</v>
      </c>
      <c r="D1948" s="129" t="s">
        <v>3279</v>
      </c>
      <c r="E1948" s="129" t="s">
        <v>424</v>
      </c>
      <c r="F1948" s="130"/>
      <c r="G1948" s="131">
        <v>80</v>
      </c>
      <c r="H1948" s="118"/>
      <c r="I1948" s="118"/>
      <c r="J1948" s="118"/>
      <c r="K1948" s="120"/>
      <c r="L1948" s="133">
        <f t="shared" ref="L1948:L1962" si="157">SUM(H1948:K1948)</f>
        <v>0</v>
      </c>
      <c r="M1948" s="134">
        <f t="shared" ref="M1948:M1962" si="158">+L1948*G1948</f>
        <v>0</v>
      </c>
    </row>
    <row r="1949" spans="1:13" outlineLevel="4">
      <c r="A1949" t="s">
        <v>1451</v>
      </c>
      <c r="B1949" s="116" t="s">
        <v>1452</v>
      </c>
      <c r="C1949" s="129" t="s">
        <v>3355</v>
      </c>
      <c r="D1949" s="129" t="s">
        <v>3356</v>
      </c>
      <c r="E1949" s="129" t="s">
        <v>228</v>
      </c>
      <c r="F1949" s="130"/>
      <c r="G1949" s="131">
        <v>1</v>
      </c>
      <c r="H1949" s="118"/>
      <c r="I1949" s="118"/>
      <c r="J1949" s="118"/>
      <c r="K1949" s="120"/>
      <c r="L1949" s="133">
        <f t="shared" si="157"/>
        <v>0</v>
      </c>
      <c r="M1949" s="134">
        <f t="shared" si="158"/>
        <v>0</v>
      </c>
    </row>
    <row r="1950" spans="1:13" outlineLevel="4">
      <c r="A1950" t="s">
        <v>1451</v>
      </c>
      <c r="B1950" s="116" t="s">
        <v>1452</v>
      </c>
      <c r="C1950" s="129" t="s">
        <v>3357</v>
      </c>
      <c r="D1950" s="129" t="s">
        <v>3358</v>
      </c>
      <c r="E1950" s="129" t="s">
        <v>228</v>
      </c>
      <c r="F1950" s="130"/>
      <c r="G1950" s="131">
        <v>1</v>
      </c>
      <c r="H1950" s="118"/>
      <c r="I1950" s="118"/>
      <c r="J1950" s="118"/>
      <c r="K1950" s="120"/>
      <c r="L1950" s="133">
        <f t="shared" si="157"/>
        <v>0</v>
      </c>
      <c r="M1950" s="134">
        <f t="shared" si="158"/>
        <v>0</v>
      </c>
    </row>
    <row r="1951" spans="1:13" outlineLevel="4">
      <c r="A1951" t="s">
        <v>1451</v>
      </c>
      <c r="B1951" s="116" t="s">
        <v>1452</v>
      </c>
      <c r="C1951" s="129" t="s">
        <v>3359</v>
      </c>
      <c r="D1951" s="129" t="s">
        <v>3360</v>
      </c>
      <c r="E1951" s="129" t="s">
        <v>228</v>
      </c>
      <c r="F1951" s="130"/>
      <c r="G1951" s="131">
        <v>1</v>
      </c>
      <c r="H1951" s="118"/>
      <c r="I1951" s="118"/>
      <c r="J1951" s="118"/>
      <c r="K1951" s="120"/>
      <c r="L1951" s="133">
        <f t="shared" si="157"/>
        <v>0</v>
      </c>
      <c r="M1951" s="134">
        <f t="shared" si="158"/>
        <v>0</v>
      </c>
    </row>
    <row r="1952" spans="1:13" outlineLevel="4">
      <c r="A1952" t="s">
        <v>1451</v>
      </c>
      <c r="B1952" s="116" t="s">
        <v>1452</v>
      </c>
      <c r="C1952" s="129" t="s">
        <v>3361</v>
      </c>
      <c r="D1952" s="129" t="s">
        <v>3362</v>
      </c>
      <c r="E1952" s="129" t="s">
        <v>251</v>
      </c>
      <c r="F1952" s="130"/>
      <c r="G1952" s="131">
        <v>1</v>
      </c>
      <c r="H1952" s="118"/>
      <c r="I1952" s="118"/>
      <c r="J1952" s="118"/>
      <c r="K1952" s="120"/>
      <c r="L1952" s="133">
        <f t="shared" si="157"/>
        <v>0</v>
      </c>
      <c r="M1952" s="134">
        <f t="shared" si="158"/>
        <v>0</v>
      </c>
    </row>
    <row r="1953" spans="1:13" outlineLevel="4">
      <c r="A1953" t="s">
        <v>1451</v>
      </c>
      <c r="B1953" s="116" t="s">
        <v>1452</v>
      </c>
      <c r="C1953" s="129" t="s">
        <v>3363</v>
      </c>
      <c r="D1953" s="129" t="s">
        <v>3364</v>
      </c>
      <c r="E1953" s="129" t="s">
        <v>251</v>
      </c>
      <c r="F1953" s="130"/>
      <c r="G1953" s="131">
        <v>1</v>
      </c>
      <c r="H1953" s="118"/>
      <c r="I1953" s="118"/>
      <c r="J1953" s="118"/>
      <c r="K1953" s="120"/>
      <c r="L1953" s="133">
        <f t="shared" si="157"/>
        <v>0</v>
      </c>
      <c r="M1953" s="134">
        <f t="shared" si="158"/>
        <v>0</v>
      </c>
    </row>
    <row r="1954" spans="1:13" outlineLevel="4">
      <c r="A1954" t="s">
        <v>1451</v>
      </c>
      <c r="B1954" s="116" t="s">
        <v>1452</v>
      </c>
      <c r="C1954" s="129" t="s">
        <v>3365</v>
      </c>
      <c r="D1954" s="129" t="s">
        <v>3366</v>
      </c>
      <c r="E1954" s="129" t="s">
        <v>251</v>
      </c>
      <c r="F1954" s="130"/>
      <c r="G1954" s="131">
        <v>1</v>
      </c>
      <c r="H1954" s="118"/>
      <c r="I1954" s="118"/>
      <c r="J1954" s="118"/>
      <c r="K1954" s="120"/>
      <c r="L1954" s="133">
        <f t="shared" si="157"/>
        <v>0</v>
      </c>
      <c r="M1954" s="134">
        <f t="shared" si="158"/>
        <v>0</v>
      </c>
    </row>
    <row r="1955" spans="1:13" outlineLevel="4">
      <c r="A1955" t="s">
        <v>1451</v>
      </c>
      <c r="B1955" s="116" t="s">
        <v>1452</v>
      </c>
      <c r="C1955" s="129" t="s">
        <v>3367</v>
      </c>
      <c r="D1955" s="129" t="s">
        <v>3305</v>
      </c>
      <c r="E1955" s="129" t="s">
        <v>251</v>
      </c>
      <c r="F1955" s="130"/>
      <c r="G1955" s="131">
        <v>5</v>
      </c>
      <c r="H1955" s="118"/>
      <c r="I1955" s="118"/>
      <c r="J1955" s="118"/>
      <c r="K1955" s="120"/>
      <c r="L1955" s="133">
        <f t="shared" si="157"/>
        <v>0</v>
      </c>
      <c r="M1955" s="134">
        <f t="shared" si="158"/>
        <v>0</v>
      </c>
    </row>
    <row r="1956" spans="1:13" outlineLevel="4">
      <c r="A1956" t="s">
        <v>1451</v>
      </c>
      <c r="B1956" s="116" t="s">
        <v>1452</v>
      </c>
      <c r="C1956" s="129" t="s">
        <v>3368</v>
      </c>
      <c r="D1956" s="129" t="s">
        <v>3369</v>
      </c>
      <c r="E1956" s="129" t="s">
        <v>251</v>
      </c>
      <c r="F1956" s="130"/>
      <c r="G1956" s="131">
        <v>3</v>
      </c>
      <c r="H1956" s="118"/>
      <c r="I1956" s="118"/>
      <c r="J1956" s="118"/>
      <c r="K1956" s="120"/>
      <c r="L1956" s="133">
        <f t="shared" si="157"/>
        <v>0</v>
      </c>
      <c r="M1956" s="134">
        <f t="shared" si="158"/>
        <v>0</v>
      </c>
    </row>
    <row r="1957" spans="1:13" outlineLevel="4">
      <c r="A1957" t="s">
        <v>1451</v>
      </c>
      <c r="B1957" s="116" t="s">
        <v>1452</v>
      </c>
      <c r="C1957" s="129" t="s">
        <v>3370</v>
      </c>
      <c r="D1957" s="129" t="s">
        <v>3371</v>
      </c>
      <c r="E1957" s="129" t="s">
        <v>251</v>
      </c>
      <c r="F1957" s="130"/>
      <c r="G1957" s="131">
        <v>44</v>
      </c>
      <c r="H1957" s="118"/>
      <c r="I1957" s="118"/>
      <c r="J1957" s="118"/>
      <c r="K1957" s="120"/>
      <c r="L1957" s="133">
        <f t="shared" si="157"/>
        <v>0</v>
      </c>
      <c r="M1957" s="134">
        <f t="shared" si="158"/>
        <v>0</v>
      </c>
    </row>
    <row r="1958" spans="1:13" outlineLevel="4">
      <c r="A1958" t="s">
        <v>1451</v>
      </c>
      <c r="B1958" s="116" t="s">
        <v>1452</v>
      </c>
      <c r="C1958" s="129" t="s">
        <v>3372</v>
      </c>
      <c r="D1958" s="129" t="s">
        <v>3373</v>
      </c>
      <c r="E1958" s="129" t="s">
        <v>251</v>
      </c>
      <c r="F1958" s="130"/>
      <c r="G1958" s="131">
        <v>140</v>
      </c>
      <c r="H1958" s="118"/>
      <c r="I1958" s="118"/>
      <c r="J1958" s="118"/>
      <c r="K1958" s="120"/>
      <c r="L1958" s="133">
        <f t="shared" si="157"/>
        <v>0</v>
      </c>
      <c r="M1958" s="134">
        <f t="shared" si="158"/>
        <v>0</v>
      </c>
    </row>
    <row r="1959" spans="1:13" outlineLevel="4">
      <c r="A1959" t="s">
        <v>1451</v>
      </c>
      <c r="B1959" s="116" t="s">
        <v>1452</v>
      </c>
      <c r="C1959" s="129" t="s">
        <v>3374</v>
      </c>
      <c r="D1959" s="129" t="s">
        <v>3375</v>
      </c>
      <c r="E1959" s="129" t="s">
        <v>251</v>
      </c>
      <c r="F1959" s="130"/>
      <c r="G1959" s="131">
        <v>115</v>
      </c>
      <c r="H1959" s="118"/>
      <c r="I1959" s="118"/>
      <c r="J1959" s="118"/>
      <c r="K1959" s="120"/>
      <c r="L1959" s="133">
        <f t="shared" si="157"/>
        <v>0</v>
      </c>
      <c r="M1959" s="134">
        <f t="shared" si="158"/>
        <v>0</v>
      </c>
    </row>
    <row r="1960" spans="1:13" outlineLevel="4">
      <c r="A1960" t="s">
        <v>1451</v>
      </c>
      <c r="B1960" s="116" t="s">
        <v>1452</v>
      </c>
      <c r="C1960" s="129" t="s">
        <v>3376</v>
      </c>
      <c r="D1960" s="129" t="s">
        <v>3221</v>
      </c>
      <c r="E1960" s="129" t="s">
        <v>251</v>
      </c>
      <c r="F1960" s="130"/>
      <c r="G1960" s="131">
        <v>3</v>
      </c>
      <c r="H1960" s="118"/>
      <c r="I1960" s="118"/>
      <c r="J1960" s="118"/>
      <c r="K1960" s="120"/>
      <c r="L1960" s="133">
        <f t="shared" si="157"/>
        <v>0</v>
      </c>
      <c r="M1960" s="134">
        <f t="shared" si="158"/>
        <v>0</v>
      </c>
    </row>
    <row r="1961" spans="1:13" outlineLevel="4">
      <c r="A1961" t="s">
        <v>1451</v>
      </c>
      <c r="B1961" s="116" t="s">
        <v>1452</v>
      </c>
      <c r="C1961" s="129" t="s">
        <v>3377</v>
      </c>
      <c r="D1961" s="129" t="s">
        <v>3291</v>
      </c>
      <c r="E1961" s="129" t="s">
        <v>251</v>
      </c>
      <c r="F1961" s="130"/>
      <c r="G1961" s="131">
        <v>14</v>
      </c>
      <c r="H1961" s="118"/>
      <c r="I1961" s="118"/>
      <c r="J1961" s="118"/>
      <c r="K1961" s="120"/>
      <c r="L1961" s="133">
        <f t="shared" si="157"/>
        <v>0</v>
      </c>
      <c r="M1961" s="134">
        <f t="shared" si="158"/>
        <v>0</v>
      </c>
    </row>
    <row r="1962" spans="1:13" outlineLevel="4">
      <c r="A1962" t="s">
        <v>1451</v>
      </c>
      <c r="B1962" s="116" t="s">
        <v>1452</v>
      </c>
      <c r="C1962" s="129" t="s">
        <v>3378</v>
      </c>
      <c r="D1962" s="129" t="s">
        <v>3379</v>
      </c>
      <c r="E1962" s="129" t="s">
        <v>251</v>
      </c>
      <c r="F1962" s="130"/>
      <c r="G1962" s="131">
        <v>1</v>
      </c>
      <c r="H1962" s="118"/>
      <c r="I1962" s="118"/>
      <c r="J1962" s="118"/>
      <c r="K1962" s="120"/>
      <c r="L1962" s="133">
        <f t="shared" si="157"/>
        <v>0</v>
      </c>
      <c r="M1962" s="134">
        <f t="shared" si="158"/>
        <v>0</v>
      </c>
    </row>
    <row r="1963" spans="1:13" outlineLevel="3">
      <c r="B1963" s="116"/>
      <c r="C1963" s="129"/>
      <c r="D1963" s="129"/>
      <c r="E1963" s="129"/>
      <c r="F1963" s="130"/>
      <c r="G1963" s="131"/>
      <c r="H1963" s="118"/>
      <c r="I1963" s="118"/>
      <c r="J1963" s="118"/>
      <c r="K1963" s="120"/>
      <c r="L1963" s="133"/>
      <c r="M1963" s="134"/>
    </row>
    <row r="1964" spans="1:13" outlineLevel="2">
      <c r="B1964" s="116"/>
      <c r="C1964" s="126" t="s">
        <v>3380</v>
      </c>
      <c r="D1964" s="126" t="s">
        <v>3381</v>
      </c>
      <c r="F1964" s="127"/>
      <c r="G1964" s="131"/>
      <c r="H1964" s="118"/>
      <c r="I1964" s="118"/>
      <c r="J1964" s="118"/>
      <c r="K1964" s="120"/>
      <c r="L1964" s="121"/>
      <c r="M1964" s="128">
        <f>+M1965+M1970</f>
        <v>0</v>
      </c>
    </row>
    <row r="1965" spans="1:13" outlineLevel="3">
      <c r="B1965" s="116"/>
      <c r="C1965" s="158" t="s">
        <v>3382</v>
      </c>
      <c r="D1965" s="158" t="s">
        <v>3383</v>
      </c>
      <c r="F1965" s="159"/>
      <c r="G1965" s="131"/>
      <c r="H1965" s="118"/>
      <c r="I1965" s="118"/>
      <c r="J1965" s="118"/>
      <c r="K1965" s="120"/>
      <c r="L1965" s="121"/>
      <c r="M1965" s="160">
        <f>SUM(M1966:M1969)</f>
        <v>0</v>
      </c>
    </row>
    <row r="1966" spans="1:13" outlineLevel="4">
      <c r="A1966" t="s">
        <v>1451</v>
      </c>
      <c r="B1966" s="116" t="s">
        <v>1452</v>
      </c>
      <c r="C1966" s="129" t="s">
        <v>3384</v>
      </c>
      <c r="D1966" s="129" t="s">
        <v>3385</v>
      </c>
      <c r="E1966" s="129" t="s">
        <v>251</v>
      </c>
      <c r="F1966" s="130"/>
      <c r="G1966" s="131">
        <v>1</v>
      </c>
      <c r="H1966" s="118"/>
      <c r="I1966" s="118"/>
      <c r="J1966" s="118"/>
      <c r="K1966" s="120"/>
      <c r="L1966" s="133">
        <f>SUM(H1966:K1966)</f>
        <v>0</v>
      </c>
      <c r="M1966" s="134">
        <f>+L1966*G1966</f>
        <v>0</v>
      </c>
    </row>
    <row r="1967" spans="1:13" outlineLevel="4">
      <c r="A1967" t="s">
        <v>1451</v>
      </c>
      <c r="B1967" s="116" t="s">
        <v>1452</v>
      </c>
      <c r="C1967" s="129" t="s">
        <v>3386</v>
      </c>
      <c r="D1967" s="129" t="s">
        <v>3387</v>
      </c>
      <c r="E1967" s="129" t="s">
        <v>251</v>
      </c>
      <c r="F1967" s="130"/>
      <c r="G1967" s="131">
        <v>1</v>
      </c>
      <c r="H1967" s="118"/>
      <c r="I1967" s="118"/>
      <c r="J1967" s="118"/>
      <c r="K1967" s="120"/>
      <c r="L1967" s="133">
        <f>SUM(H1967:K1967)</f>
        <v>0</v>
      </c>
      <c r="M1967" s="134">
        <f>+L1967*G1967</f>
        <v>0</v>
      </c>
    </row>
    <row r="1968" spans="1:13" outlineLevel="4">
      <c r="A1968" t="s">
        <v>1451</v>
      </c>
      <c r="B1968" s="116" t="s">
        <v>1452</v>
      </c>
      <c r="C1968" s="129" t="s">
        <v>3388</v>
      </c>
      <c r="D1968" s="129" t="s">
        <v>3165</v>
      </c>
      <c r="E1968" s="129" t="s">
        <v>251</v>
      </c>
      <c r="F1968" s="130"/>
      <c r="G1968" s="131">
        <v>2</v>
      </c>
      <c r="H1968" s="118"/>
      <c r="I1968" s="118"/>
      <c r="J1968" s="118"/>
      <c r="K1968" s="120"/>
      <c r="L1968" s="133">
        <f>SUM(H1968:K1968)</f>
        <v>0</v>
      </c>
      <c r="M1968" s="134">
        <f>+L1968*G1968</f>
        <v>0</v>
      </c>
    </row>
    <row r="1969" spans="1:13" outlineLevel="4">
      <c r="A1969" t="s">
        <v>1451</v>
      </c>
      <c r="B1969" s="116" t="s">
        <v>1452</v>
      </c>
      <c r="C1969" s="129" t="s">
        <v>3389</v>
      </c>
      <c r="D1969" s="129" t="s">
        <v>3167</v>
      </c>
      <c r="E1969" s="129" t="s">
        <v>251</v>
      </c>
      <c r="F1969" s="130"/>
      <c r="G1969" s="131">
        <v>2</v>
      </c>
      <c r="H1969" s="118"/>
      <c r="I1969" s="118"/>
      <c r="J1969" s="118"/>
      <c r="K1969" s="120"/>
      <c r="L1969" s="133">
        <f>SUM(H1969:K1969)</f>
        <v>0</v>
      </c>
      <c r="M1969" s="134">
        <f>+L1969*G1969</f>
        <v>0</v>
      </c>
    </row>
    <row r="1970" spans="1:13" outlineLevel="3">
      <c r="B1970" s="116"/>
      <c r="C1970" s="158" t="s">
        <v>3390</v>
      </c>
      <c r="D1970" s="158" t="s">
        <v>3391</v>
      </c>
      <c r="F1970" s="159"/>
      <c r="G1970" s="131"/>
      <c r="H1970" s="118"/>
      <c r="I1970" s="118"/>
      <c r="J1970" s="118"/>
      <c r="K1970" s="120"/>
      <c r="L1970" s="121"/>
      <c r="M1970" s="160">
        <f>SUM(M1971:M1979)</f>
        <v>0</v>
      </c>
    </row>
    <row r="1971" spans="1:13" outlineLevel="4">
      <c r="A1971" t="s">
        <v>1451</v>
      </c>
      <c r="B1971" s="116" t="s">
        <v>1452</v>
      </c>
      <c r="C1971" s="129" t="s">
        <v>3392</v>
      </c>
      <c r="D1971" s="129" t="s">
        <v>3239</v>
      </c>
      <c r="E1971" s="129" t="s">
        <v>424</v>
      </c>
      <c r="F1971" s="130"/>
      <c r="G1971" s="131">
        <v>170</v>
      </c>
      <c r="H1971" s="118"/>
      <c r="I1971" s="118"/>
      <c r="J1971" s="118"/>
      <c r="K1971" s="120"/>
      <c r="L1971" s="133">
        <f t="shared" ref="L1971:L1979" si="159">SUM(H1971:K1971)</f>
        <v>0</v>
      </c>
      <c r="M1971" s="134">
        <f t="shared" ref="M1971:M1979" si="160">+L1971*G1971</f>
        <v>0</v>
      </c>
    </row>
    <row r="1972" spans="1:13" outlineLevel="4">
      <c r="A1972" t="s">
        <v>1451</v>
      </c>
      <c r="B1972" s="116" t="s">
        <v>1452</v>
      </c>
      <c r="C1972" s="129" t="s">
        <v>3393</v>
      </c>
      <c r="D1972" s="129" t="s">
        <v>3394</v>
      </c>
      <c r="E1972" s="129" t="s">
        <v>251</v>
      </c>
      <c r="F1972" s="130"/>
      <c r="G1972" s="131">
        <v>2</v>
      </c>
      <c r="H1972" s="118"/>
      <c r="I1972" s="118"/>
      <c r="J1972" s="118"/>
      <c r="K1972" s="120"/>
      <c r="L1972" s="133">
        <f t="shared" si="159"/>
        <v>0</v>
      </c>
      <c r="M1972" s="134">
        <f t="shared" si="160"/>
        <v>0</v>
      </c>
    </row>
    <row r="1973" spans="1:13" outlineLevel="4">
      <c r="A1973" t="s">
        <v>1451</v>
      </c>
      <c r="B1973" s="116" t="s">
        <v>1452</v>
      </c>
      <c r="C1973" s="129" t="s">
        <v>3395</v>
      </c>
      <c r="D1973" s="129" t="s">
        <v>3396</v>
      </c>
      <c r="E1973" s="129" t="s">
        <v>251</v>
      </c>
      <c r="F1973" s="130"/>
      <c r="G1973" s="131">
        <v>2</v>
      </c>
      <c r="H1973" s="118"/>
      <c r="I1973" s="118"/>
      <c r="J1973" s="118"/>
      <c r="K1973" s="120"/>
      <c r="L1973" s="133">
        <f t="shared" si="159"/>
        <v>0</v>
      </c>
      <c r="M1973" s="134">
        <f t="shared" si="160"/>
        <v>0</v>
      </c>
    </row>
    <row r="1974" spans="1:13" outlineLevel="4">
      <c r="A1974" t="s">
        <v>1451</v>
      </c>
      <c r="B1974" s="116" t="s">
        <v>1452</v>
      </c>
      <c r="C1974" s="129" t="s">
        <v>3397</v>
      </c>
      <c r="D1974" s="129" t="s">
        <v>3398</v>
      </c>
      <c r="E1974" s="129" t="s">
        <v>251</v>
      </c>
      <c r="F1974" s="130"/>
      <c r="G1974" s="131">
        <v>1</v>
      </c>
      <c r="H1974" s="118"/>
      <c r="I1974" s="118"/>
      <c r="J1974" s="118"/>
      <c r="K1974" s="120"/>
      <c r="L1974" s="133">
        <f t="shared" si="159"/>
        <v>0</v>
      </c>
      <c r="M1974" s="134">
        <f t="shared" si="160"/>
        <v>0</v>
      </c>
    </row>
    <row r="1975" spans="1:13" outlineLevel="4">
      <c r="A1975" t="s">
        <v>1451</v>
      </c>
      <c r="B1975" s="116" t="s">
        <v>1452</v>
      </c>
      <c r="C1975" s="129" t="s">
        <v>3399</v>
      </c>
      <c r="D1975" s="129" t="s">
        <v>3400</v>
      </c>
      <c r="E1975" s="129" t="s">
        <v>251</v>
      </c>
      <c r="F1975" s="130"/>
      <c r="G1975" s="131">
        <v>1</v>
      </c>
      <c r="H1975" s="118"/>
      <c r="I1975" s="118"/>
      <c r="J1975" s="118"/>
      <c r="K1975" s="120"/>
      <c r="L1975" s="133">
        <f t="shared" si="159"/>
        <v>0</v>
      </c>
      <c r="M1975" s="134">
        <f t="shared" si="160"/>
        <v>0</v>
      </c>
    </row>
    <row r="1976" spans="1:13" outlineLevel="4">
      <c r="A1976" t="s">
        <v>1451</v>
      </c>
      <c r="B1976" s="116" t="s">
        <v>1452</v>
      </c>
      <c r="C1976" s="129" t="s">
        <v>3401</v>
      </c>
      <c r="D1976" s="129" t="s">
        <v>3402</v>
      </c>
      <c r="E1976" s="129" t="s">
        <v>251</v>
      </c>
      <c r="F1976" s="130"/>
      <c r="G1976" s="131">
        <v>1</v>
      </c>
      <c r="H1976" s="118"/>
      <c r="I1976" s="118"/>
      <c r="J1976" s="118"/>
      <c r="K1976" s="120"/>
      <c r="L1976" s="133">
        <f t="shared" si="159"/>
        <v>0</v>
      </c>
      <c r="M1976" s="134">
        <f t="shared" si="160"/>
        <v>0</v>
      </c>
    </row>
    <row r="1977" spans="1:13" outlineLevel="4">
      <c r="A1977" t="s">
        <v>1451</v>
      </c>
      <c r="B1977" s="116" t="s">
        <v>1452</v>
      </c>
      <c r="C1977" s="129" t="s">
        <v>3403</v>
      </c>
      <c r="D1977" s="129" t="s">
        <v>3404</v>
      </c>
      <c r="E1977" s="129" t="s">
        <v>251</v>
      </c>
      <c r="F1977" s="130"/>
      <c r="G1977" s="131">
        <v>1</v>
      </c>
      <c r="H1977" s="118"/>
      <c r="I1977" s="118"/>
      <c r="J1977" s="118"/>
      <c r="K1977" s="120"/>
      <c r="L1977" s="133">
        <f t="shared" si="159"/>
        <v>0</v>
      </c>
      <c r="M1977" s="134">
        <f t="shared" si="160"/>
        <v>0</v>
      </c>
    </row>
    <row r="1978" spans="1:13" outlineLevel="4">
      <c r="A1978" t="s">
        <v>1451</v>
      </c>
      <c r="B1978" s="116" t="s">
        <v>1452</v>
      </c>
      <c r="C1978" s="129" t="s">
        <v>3405</v>
      </c>
      <c r="D1978" s="129" t="s">
        <v>3406</v>
      </c>
      <c r="E1978" s="129" t="s">
        <v>251</v>
      </c>
      <c r="F1978" s="130"/>
      <c r="G1978" s="131">
        <v>2</v>
      </c>
      <c r="H1978" s="118"/>
      <c r="I1978" s="118"/>
      <c r="J1978" s="118"/>
      <c r="K1978" s="120"/>
      <c r="L1978" s="133">
        <f t="shared" si="159"/>
        <v>0</v>
      </c>
      <c r="M1978" s="134">
        <f t="shared" si="160"/>
        <v>0</v>
      </c>
    </row>
    <row r="1979" spans="1:13" outlineLevel="4">
      <c r="A1979" t="s">
        <v>1451</v>
      </c>
      <c r="B1979" s="116" t="s">
        <v>1452</v>
      </c>
      <c r="C1979" s="129" t="s">
        <v>3407</v>
      </c>
      <c r="D1979" s="129" t="s">
        <v>3408</v>
      </c>
      <c r="E1979" s="129" t="s">
        <v>251</v>
      </c>
      <c r="F1979" s="130"/>
      <c r="G1979" s="131">
        <v>2</v>
      </c>
      <c r="H1979" s="118"/>
      <c r="I1979" s="118"/>
      <c r="J1979" s="118"/>
      <c r="K1979" s="120"/>
      <c r="L1979" s="133">
        <f t="shared" si="159"/>
        <v>0</v>
      </c>
      <c r="M1979" s="134">
        <f t="shared" si="160"/>
        <v>0</v>
      </c>
    </row>
    <row r="1980" spans="1:13" outlineLevel="3">
      <c r="B1980" s="116"/>
      <c r="C1980" s="129"/>
      <c r="D1980" s="129"/>
      <c r="E1980" s="129"/>
      <c r="F1980" s="130"/>
      <c r="G1980" s="131"/>
      <c r="H1980" s="118"/>
      <c r="I1980" s="118"/>
      <c r="J1980" s="118"/>
      <c r="K1980" s="120"/>
      <c r="L1980" s="133"/>
      <c r="M1980" s="134"/>
    </row>
    <row r="1981" spans="1:13" outlineLevel="2">
      <c r="B1981" s="116"/>
      <c r="C1981" s="126" t="s">
        <v>3409</v>
      </c>
      <c r="D1981" s="126" t="s">
        <v>3410</v>
      </c>
      <c r="F1981" s="127"/>
      <c r="G1981" s="131"/>
      <c r="H1981" s="118"/>
      <c r="I1981" s="118"/>
      <c r="J1981" s="118"/>
      <c r="K1981" s="120"/>
      <c r="L1981" s="121"/>
      <c r="M1981" s="128">
        <f>+M1982+M1986</f>
        <v>8949</v>
      </c>
    </row>
    <row r="1982" spans="1:13" outlineLevel="3">
      <c r="B1982" s="116"/>
      <c r="C1982" s="158" t="s">
        <v>3411</v>
      </c>
      <c r="D1982" s="158" t="s">
        <v>3412</v>
      </c>
      <c r="F1982" s="159"/>
      <c r="G1982" s="131"/>
      <c r="H1982" s="118"/>
      <c r="I1982" s="118"/>
      <c r="J1982" s="118"/>
      <c r="K1982" s="120"/>
      <c r="L1982" s="121"/>
      <c r="M1982" s="160">
        <f>SUM(M1983:M1985)</f>
        <v>3746.7999999999997</v>
      </c>
    </row>
    <row r="1983" spans="1:13" outlineLevel="4">
      <c r="A1983" t="s">
        <v>3153</v>
      </c>
      <c r="B1983" s="116" t="s">
        <v>1452</v>
      </c>
      <c r="C1983" s="129" t="s">
        <v>3413</v>
      </c>
      <c r="D1983" s="129" t="s">
        <v>3414</v>
      </c>
      <c r="E1983" s="129" t="s">
        <v>251</v>
      </c>
      <c r="F1983" s="130"/>
      <c r="G1983" s="131">
        <v>1</v>
      </c>
      <c r="H1983" s="118"/>
      <c r="I1983" s="118"/>
      <c r="J1983" s="118"/>
      <c r="K1983" s="120">
        <v>3746.7999999999997</v>
      </c>
      <c r="L1983" s="133">
        <f>SUM(H1983:K1983)</f>
        <v>3746.7999999999997</v>
      </c>
      <c r="M1983" s="134">
        <f>+L1983*G1983</f>
        <v>3746.7999999999997</v>
      </c>
    </row>
    <row r="1984" spans="1:13" outlineLevel="4">
      <c r="A1984" t="s">
        <v>3153</v>
      </c>
      <c r="B1984" s="116" t="s">
        <v>1452</v>
      </c>
      <c r="C1984" s="129" t="s">
        <v>3415</v>
      </c>
      <c r="D1984" s="129" t="s">
        <v>3165</v>
      </c>
      <c r="E1984" s="129" t="s">
        <v>251</v>
      </c>
      <c r="F1984" s="130"/>
      <c r="G1984" s="131">
        <v>1</v>
      </c>
      <c r="H1984" s="118"/>
      <c r="I1984" s="118"/>
      <c r="J1984" s="118"/>
      <c r="K1984" s="120"/>
      <c r="L1984" s="133">
        <f>SUM(H1984:K1984)</f>
        <v>0</v>
      </c>
      <c r="M1984" s="134">
        <f>+L1984*G1984</f>
        <v>0</v>
      </c>
    </row>
    <row r="1985" spans="1:13" outlineLevel="4">
      <c r="A1985" t="s">
        <v>3153</v>
      </c>
      <c r="B1985" s="116" t="s">
        <v>1452</v>
      </c>
      <c r="C1985" s="129" t="s">
        <v>3416</v>
      </c>
      <c r="D1985" s="129" t="s">
        <v>3167</v>
      </c>
      <c r="E1985" s="129" t="s">
        <v>251</v>
      </c>
      <c r="F1985" s="130"/>
      <c r="G1985" s="131">
        <v>1</v>
      </c>
      <c r="H1985" s="118"/>
      <c r="I1985" s="118"/>
      <c r="J1985" s="118"/>
      <c r="K1985" s="120"/>
      <c r="L1985" s="133">
        <f>SUM(H1985:K1985)</f>
        <v>0</v>
      </c>
      <c r="M1985" s="134">
        <f>+L1985*G1985</f>
        <v>0</v>
      </c>
    </row>
    <row r="1986" spans="1:13" outlineLevel="3">
      <c r="B1986" s="116"/>
      <c r="C1986" s="158" t="s">
        <v>3417</v>
      </c>
      <c r="D1986" s="158" t="s">
        <v>3418</v>
      </c>
      <c r="F1986" s="159"/>
      <c r="G1986" s="131"/>
      <c r="H1986" s="118"/>
      <c r="I1986" s="118"/>
      <c r="J1986" s="118"/>
      <c r="K1986" s="120"/>
      <c r="L1986" s="121"/>
      <c r="M1986" s="160">
        <f>SUM(M1987:M1992)</f>
        <v>5202.2</v>
      </c>
    </row>
    <row r="1987" spans="1:13" outlineLevel="4">
      <c r="A1987" t="s">
        <v>3153</v>
      </c>
      <c r="B1987" s="116" t="s">
        <v>1452</v>
      </c>
      <c r="C1987" s="129" t="s">
        <v>3419</v>
      </c>
      <c r="D1987" s="129" t="s">
        <v>3239</v>
      </c>
      <c r="E1987" s="129" t="s">
        <v>251</v>
      </c>
      <c r="F1987" s="130"/>
      <c r="G1987" s="131">
        <v>1</v>
      </c>
      <c r="H1987" s="118"/>
      <c r="I1987" s="118"/>
      <c r="J1987" s="118"/>
      <c r="K1987" s="120">
        <v>5202.2</v>
      </c>
      <c r="L1987" s="133">
        <f t="shared" ref="L1987:L1992" si="161">SUM(H1987:K1987)</f>
        <v>5202.2</v>
      </c>
      <c r="M1987" s="134">
        <f t="shared" ref="M1987:M1992" si="162">+L1987*G1987</f>
        <v>5202.2</v>
      </c>
    </row>
    <row r="1988" spans="1:13" outlineLevel="4">
      <c r="A1988" t="s">
        <v>3153</v>
      </c>
      <c r="B1988" s="116" t="s">
        <v>1452</v>
      </c>
      <c r="C1988" s="129" t="s">
        <v>3420</v>
      </c>
      <c r="D1988" s="129" t="s">
        <v>3421</v>
      </c>
      <c r="E1988" s="129" t="s">
        <v>251</v>
      </c>
      <c r="F1988" s="130"/>
      <c r="G1988" s="131">
        <v>1</v>
      </c>
      <c r="H1988" s="118"/>
      <c r="I1988" s="118"/>
      <c r="J1988" s="118"/>
      <c r="K1988" s="120"/>
      <c r="L1988" s="133">
        <f t="shared" si="161"/>
        <v>0</v>
      </c>
      <c r="M1988" s="134">
        <f t="shared" si="162"/>
        <v>0</v>
      </c>
    </row>
    <row r="1989" spans="1:13" outlineLevel="4">
      <c r="A1989" t="s">
        <v>3153</v>
      </c>
      <c r="B1989" s="116" t="s">
        <v>1452</v>
      </c>
      <c r="C1989" s="129" t="s">
        <v>3422</v>
      </c>
      <c r="D1989" s="129" t="s">
        <v>3423</v>
      </c>
      <c r="E1989" s="129" t="s">
        <v>251</v>
      </c>
      <c r="F1989" s="130"/>
      <c r="G1989" s="131">
        <v>1</v>
      </c>
      <c r="H1989" s="118"/>
      <c r="I1989" s="118"/>
      <c r="J1989" s="118"/>
      <c r="K1989" s="120"/>
      <c r="L1989" s="133">
        <f t="shared" si="161"/>
        <v>0</v>
      </c>
      <c r="M1989" s="134">
        <f t="shared" si="162"/>
        <v>0</v>
      </c>
    </row>
    <row r="1990" spans="1:13" outlineLevel="4">
      <c r="A1990" t="s">
        <v>3153</v>
      </c>
      <c r="B1990" s="116" t="s">
        <v>1452</v>
      </c>
      <c r="C1990" s="129" t="s">
        <v>3424</v>
      </c>
      <c r="D1990" s="129" t="s">
        <v>3425</v>
      </c>
      <c r="E1990" s="129" t="s">
        <v>251</v>
      </c>
      <c r="F1990" s="130"/>
      <c r="G1990" s="131">
        <v>1</v>
      </c>
      <c r="H1990" s="118"/>
      <c r="I1990" s="118"/>
      <c r="J1990" s="118"/>
      <c r="K1990" s="120"/>
      <c r="L1990" s="133">
        <f t="shared" si="161"/>
        <v>0</v>
      </c>
      <c r="M1990" s="134">
        <f t="shared" si="162"/>
        <v>0</v>
      </c>
    </row>
    <row r="1991" spans="1:13" outlineLevel="4">
      <c r="A1991" t="s">
        <v>3153</v>
      </c>
      <c r="B1991" s="116" t="s">
        <v>1452</v>
      </c>
      <c r="C1991" s="129" t="s">
        <v>3426</v>
      </c>
      <c r="D1991" s="129" t="s">
        <v>3291</v>
      </c>
      <c r="E1991" s="129" t="s">
        <v>251</v>
      </c>
      <c r="F1991" s="130"/>
      <c r="G1991" s="131">
        <v>1</v>
      </c>
      <c r="H1991" s="118"/>
      <c r="I1991" s="118"/>
      <c r="J1991" s="118"/>
      <c r="K1991" s="120"/>
      <c r="L1991" s="133">
        <f t="shared" si="161"/>
        <v>0</v>
      </c>
      <c r="M1991" s="134">
        <f t="shared" si="162"/>
        <v>0</v>
      </c>
    </row>
    <row r="1992" spans="1:13" outlineLevel="4">
      <c r="A1992" t="s">
        <v>3153</v>
      </c>
      <c r="B1992" s="116" t="s">
        <v>1452</v>
      </c>
      <c r="C1992" s="129" t="s">
        <v>3427</v>
      </c>
      <c r="D1992" s="129" t="s">
        <v>3428</v>
      </c>
      <c r="E1992" s="129" t="s">
        <v>251</v>
      </c>
      <c r="F1992" s="130"/>
      <c r="G1992" s="131">
        <v>1</v>
      </c>
      <c r="H1992" s="118"/>
      <c r="I1992" s="118"/>
      <c r="J1992" s="118"/>
      <c r="K1992" s="120"/>
      <c r="L1992" s="133">
        <f t="shared" si="161"/>
        <v>0</v>
      </c>
      <c r="M1992" s="134">
        <f t="shared" si="162"/>
        <v>0</v>
      </c>
    </row>
    <row r="1993" spans="1:13" outlineLevel="3">
      <c r="B1993" s="116"/>
      <c r="C1993" s="129"/>
      <c r="D1993" s="129"/>
      <c r="E1993" s="129"/>
      <c r="F1993" s="130"/>
      <c r="G1993" s="131"/>
      <c r="H1993" s="118"/>
      <c r="I1993" s="118"/>
      <c r="J1993" s="118"/>
      <c r="K1993" s="120"/>
      <c r="L1993" s="133"/>
      <c r="M1993" s="134"/>
    </row>
    <row r="1994" spans="1:13" outlineLevel="2">
      <c r="B1994" s="116"/>
      <c r="C1994" s="126" t="s">
        <v>3429</v>
      </c>
      <c r="D1994" s="126" t="s">
        <v>3430</v>
      </c>
      <c r="F1994" s="127"/>
      <c r="G1994" s="131"/>
      <c r="H1994" s="118"/>
      <c r="I1994" s="118"/>
      <c r="J1994" s="118"/>
      <c r="K1994" s="120"/>
      <c r="L1994" s="121"/>
      <c r="M1994" s="128">
        <f>SUM(M1995:M1995)</f>
        <v>0</v>
      </c>
    </row>
    <row r="1995" spans="1:13" s="171" customFormat="1" outlineLevel="3">
      <c r="A1995" t="s">
        <v>1451</v>
      </c>
      <c r="B1995" s="166" t="s">
        <v>1452</v>
      </c>
      <c r="C1995" s="117" t="s">
        <v>3431</v>
      </c>
      <c r="D1995" s="117" t="s">
        <v>3432</v>
      </c>
      <c r="E1995" s="117" t="s">
        <v>251</v>
      </c>
      <c r="F1995" s="142"/>
      <c r="G1995" s="167">
        <v>1</v>
      </c>
      <c r="H1995" s="168"/>
      <c r="I1995" s="168"/>
      <c r="J1995" s="168"/>
      <c r="K1995" s="169">
        <f>63220.6*0</f>
        <v>0</v>
      </c>
      <c r="L1995" s="170">
        <f>SUM(H1995:K1995)</f>
        <v>0</v>
      </c>
      <c r="M1995" s="143">
        <f>+L1995*G1995</f>
        <v>0</v>
      </c>
    </row>
    <row r="1996" spans="1:13" outlineLevel="2">
      <c r="B1996" s="116"/>
      <c r="C1996" s="126" t="s">
        <v>3433</v>
      </c>
      <c r="D1996" s="126" t="s">
        <v>3434</v>
      </c>
      <c r="F1996" s="127"/>
      <c r="G1996" s="131"/>
      <c r="H1996" s="118"/>
      <c r="I1996" s="118"/>
      <c r="J1996" s="118"/>
      <c r="K1996" s="120"/>
      <c r="L1996" s="121"/>
      <c r="M1996" s="128">
        <f>SUM(M1997:M1998)</f>
        <v>10317</v>
      </c>
    </row>
    <row r="1997" spans="1:13" outlineLevel="3">
      <c r="A1997" t="s">
        <v>1451</v>
      </c>
      <c r="B1997" s="116" t="s">
        <v>1452</v>
      </c>
      <c r="C1997" s="129" t="s">
        <v>3435</v>
      </c>
      <c r="D1997" s="129" t="s">
        <v>3436</v>
      </c>
      <c r="E1997" s="129" t="s">
        <v>228</v>
      </c>
      <c r="F1997" s="130"/>
      <c r="G1997" s="131">
        <v>1</v>
      </c>
      <c r="H1997" s="118"/>
      <c r="I1997" s="118"/>
      <c r="J1997" s="118"/>
      <c r="K1997" s="120">
        <v>10317</v>
      </c>
      <c r="L1997" s="133">
        <f>SUM(H1997:K1997)</f>
        <v>10317</v>
      </c>
      <c r="M1997" s="134">
        <f>+L1997*G1997</f>
        <v>10317</v>
      </c>
    </row>
    <row r="1998" spans="1:13" outlineLevel="3">
      <c r="A1998" t="s">
        <v>1451</v>
      </c>
      <c r="B1998" s="116" t="s">
        <v>1452</v>
      </c>
      <c r="C1998" s="129" t="s">
        <v>3437</v>
      </c>
      <c r="D1998" s="129" t="s">
        <v>3438</v>
      </c>
      <c r="E1998" s="129" t="s">
        <v>228</v>
      </c>
      <c r="F1998" s="130"/>
      <c r="G1998" s="131">
        <v>1</v>
      </c>
      <c r="H1998" s="118"/>
      <c r="I1998" s="118"/>
      <c r="J1998" s="118"/>
      <c r="K1998" s="120"/>
      <c r="L1998" s="133">
        <f>SUM(H1998:K1998)</f>
        <v>0</v>
      </c>
      <c r="M1998" s="134">
        <f>+L1998*G1998</f>
        <v>0</v>
      </c>
    </row>
    <row r="1999" spans="1:13" outlineLevel="2">
      <c r="B1999" s="116"/>
      <c r="C1999" s="126" t="s">
        <v>3439</v>
      </c>
      <c r="D1999" s="437" t="s">
        <v>3440</v>
      </c>
      <c r="E1999" s="129"/>
      <c r="F1999" s="130"/>
      <c r="G1999" s="131"/>
      <c r="H1999" s="118"/>
      <c r="I1999" s="118"/>
      <c r="J1999" s="118"/>
      <c r="K1999" s="120"/>
      <c r="L1999" s="133"/>
      <c r="M1999" s="128">
        <f>SUM(M2000)</f>
        <v>41366.987500000003</v>
      </c>
    </row>
    <row r="2000" spans="1:13" s="153" customFormat="1" outlineLevel="3">
      <c r="A2000" s="153" t="s">
        <v>1451</v>
      </c>
      <c r="B2000" s="144" t="s">
        <v>1452</v>
      </c>
      <c r="C2000" s="145" t="s">
        <v>3437</v>
      </c>
      <c r="D2000" s="145" t="s">
        <v>3441</v>
      </c>
      <c r="E2000" s="145" t="s">
        <v>228</v>
      </c>
      <c r="F2000" s="147"/>
      <c r="G2000" s="148">
        <v>1</v>
      </c>
      <c r="H2000" s="149">
        <v>1</v>
      </c>
      <c r="I2000" s="149"/>
      <c r="J2000" s="149"/>
      <c r="K2000" s="150">
        <f>11030.93*3.75</f>
        <v>41365.987500000003</v>
      </c>
      <c r="L2000" s="151">
        <f>SUM(H2000:K2000)</f>
        <v>41366.987500000003</v>
      </c>
      <c r="M2000" s="152">
        <f>+L2000*G2000</f>
        <v>41366.987500000003</v>
      </c>
    </row>
    <row r="2001" spans="1:13" outlineLevel="2">
      <c r="B2001" s="116"/>
      <c r="C2001" s="129"/>
      <c r="D2001" s="129"/>
      <c r="E2001" s="129"/>
      <c r="F2001" s="130"/>
      <c r="G2001" s="131"/>
      <c r="H2001" s="118"/>
      <c r="I2001" s="118"/>
      <c r="J2001" s="118"/>
      <c r="K2001" s="120"/>
      <c r="L2001" s="133"/>
      <c r="M2001" s="134"/>
    </row>
    <row r="2002" spans="1:13" outlineLevel="1">
      <c r="B2002" s="116"/>
      <c r="C2002" s="123" t="s">
        <v>3442</v>
      </c>
      <c r="D2002" s="123" t="s">
        <v>3443</v>
      </c>
      <c r="F2002" s="124"/>
      <c r="G2002" s="131"/>
      <c r="H2002" s="118"/>
      <c r="I2002" s="118"/>
      <c r="J2002" s="118"/>
      <c r="K2002" s="120"/>
      <c r="L2002" s="121"/>
      <c r="M2002" s="125">
        <f>SUM(M2003:M2003)</f>
        <v>55055</v>
      </c>
    </row>
    <row r="2003" spans="1:13" outlineLevel="2">
      <c r="A2003" t="s">
        <v>3444</v>
      </c>
      <c r="B2003" s="116" t="s">
        <v>1452</v>
      </c>
      <c r="C2003" s="129" t="s">
        <v>3445</v>
      </c>
      <c r="D2003" s="129" t="s">
        <v>3446</v>
      </c>
      <c r="E2003" s="129" t="s">
        <v>251</v>
      </c>
      <c r="F2003" s="130"/>
      <c r="G2003" s="131">
        <v>1</v>
      </c>
      <c r="H2003" s="118"/>
      <c r="I2003" s="118"/>
      <c r="J2003" s="118"/>
      <c r="K2003" s="120">
        <v>55055</v>
      </c>
      <c r="L2003" s="133">
        <f>SUM(H2003:K2003)</f>
        <v>55055</v>
      </c>
      <c r="M2003" s="134">
        <f>+L2003*G2003</f>
        <v>55055</v>
      </c>
    </row>
    <row r="2004" spans="1:13" outlineLevel="1">
      <c r="B2004" s="116"/>
      <c r="C2004" s="123" t="s">
        <v>3447</v>
      </c>
      <c r="D2004" s="123" t="s">
        <v>3448</v>
      </c>
      <c r="F2004" s="124"/>
      <c r="G2004" s="131"/>
      <c r="H2004" s="118"/>
      <c r="I2004" s="118"/>
      <c r="J2004" s="118"/>
      <c r="K2004" s="120"/>
      <c r="L2004" s="121"/>
      <c r="M2004" s="125">
        <f>SUM(M2005:M2013)</f>
        <v>66614.114000000001</v>
      </c>
    </row>
    <row r="2005" spans="1:13" outlineLevel="2">
      <c r="B2005" s="116" t="s">
        <v>2745</v>
      </c>
      <c r="C2005" s="129" t="s">
        <v>3449</v>
      </c>
      <c r="D2005" s="129" t="s">
        <v>3450</v>
      </c>
      <c r="E2005" s="129" t="s">
        <v>362</v>
      </c>
      <c r="F2005" s="130"/>
      <c r="G2005" s="131">
        <v>1</v>
      </c>
      <c r="H2005" s="118"/>
      <c r="I2005" s="118"/>
      <c r="J2005" s="118"/>
      <c r="K2005" s="120">
        <v>66614.114000000001</v>
      </c>
      <c r="L2005" s="133">
        <f>SUM(H2005:K2005)</f>
        <v>66614.114000000001</v>
      </c>
      <c r="M2005" s="134">
        <f t="shared" ref="M2005:M2013" si="163">+L2005*G2005</f>
        <v>66614.114000000001</v>
      </c>
    </row>
    <row r="2006" spans="1:13" s="171" customFormat="1" outlineLevel="2">
      <c r="B2006" s="166" t="s">
        <v>2745</v>
      </c>
      <c r="C2006" s="117" t="s">
        <v>3451</v>
      </c>
      <c r="D2006" s="117" t="s">
        <v>3452</v>
      </c>
      <c r="E2006" s="117" t="s">
        <v>251</v>
      </c>
      <c r="F2006" s="142"/>
      <c r="G2006" s="167">
        <v>324</v>
      </c>
      <c r="H2006" s="168"/>
      <c r="I2006" s="168"/>
      <c r="J2006" s="168"/>
      <c r="K2006" s="169">
        <v>60</v>
      </c>
      <c r="L2006" s="170">
        <f t="shared" ref="L2006:L2013" si="164">SUM(H2006:K2006)*0</f>
        <v>0</v>
      </c>
      <c r="M2006" s="143">
        <f t="shared" si="163"/>
        <v>0</v>
      </c>
    </row>
    <row r="2007" spans="1:13" s="171" customFormat="1" outlineLevel="2">
      <c r="B2007" s="166" t="s">
        <v>2745</v>
      </c>
      <c r="C2007" s="117" t="s">
        <v>3453</v>
      </c>
      <c r="D2007" s="451" t="s">
        <v>3454</v>
      </c>
      <c r="E2007" s="117" t="s">
        <v>251</v>
      </c>
      <c r="F2007" s="142"/>
      <c r="G2007" s="167">
        <v>54</v>
      </c>
      <c r="H2007" s="168"/>
      <c r="I2007" s="168"/>
      <c r="J2007" s="168"/>
      <c r="K2007" s="169">
        <v>77</v>
      </c>
      <c r="L2007" s="170">
        <f t="shared" si="164"/>
        <v>0</v>
      </c>
      <c r="M2007" s="143">
        <f t="shared" si="163"/>
        <v>0</v>
      </c>
    </row>
    <row r="2008" spans="1:13" s="171" customFormat="1" outlineLevel="2">
      <c r="B2008" s="166" t="s">
        <v>2745</v>
      </c>
      <c r="C2008" s="117" t="s">
        <v>3455</v>
      </c>
      <c r="D2008" s="451" t="s">
        <v>3456</v>
      </c>
      <c r="E2008" s="117" t="s">
        <v>251</v>
      </c>
      <c r="F2008" s="142"/>
      <c r="G2008" s="167">
        <v>126</v>
      </c>
      <c r="H2008" s="168"/>
      <c r="I2008" s="168"/>
      <c r="J2008" s="168"/>
      <c r="K2008" s="169">
        <v>46.2</v>
      </c>
      <c r="L2008" s="170">
        <f t="shared" si="164"/>
        <v>0</v>
      </c>
      <c r="M2008" s="143">
        <f t="shared" si="163"/>
        <v>0</v>
      </c>
    </row>
    <row r="2009" spans="1:13" s="171" customFormat="1" outlineLevel="2">
      <c r="B2009" s="166" t="s">
        <v>2745</v>
      </c>
      <c r="C2009" s="117" t="s">
        <v>3457</v>
      </c>
      <c r="D2009" s="451" t="s">
        <v>3458</v>
      </c>
      <c r="E2009" s="117" t="s">
        <v>251</v>
      </c>
      <c r="F2009" s="142"/>
      <c r="G2009" s="167">
        <v>24</v>
      </c>
      <c r="H2009" s="168"/>
      <c r="I2009" s="168"/>
      <c r="J2009" s="168"/>
      <c r="K2009" s="169">
        <v>82.8</v>
      </c>
      <c r="L2009" s="170">
        <f t="shared" si="164"/>
        <v>0</v>
      </c>
      <c r="M2009" s="143">
        <f t="shared" si="163"/>
        <v>0</v>
      </c>
    </row>
    <row r="2010" spans="1:13" s="171" customFormat="1" outlineLevel="2">
      <c r="B2010" s="166" t="s">
        <v>2745</v>
      </c>
      <c r="C2010" s="117" t="s">
        <v>3459</v>
      </c>
      <c r="D2010" s="451" t="s">
        <v>3460</v>
      </c>
      <c r="E2010" s="117" t="s">
        <v>251</v>
      </c>
      <c r="F2010" s="142"/>
      <c r="G2010" s="167">
        <v>1</v>
      </c>
      <c r="H2010" s="168"/>
      <c r="I2010" s="168"/>
      <c r="J2010" s="168"/>
      <c r="K2010" s="169">
        <v>24000</v>
      </c>
      <c r="L2010" s="170">
        <f t="shared" si="164"/>
        <v>0</v>
      </c>
      <c r="M2010" s="143">
        <f t="shared" si="163"/>
        <v>0</v>
      </c>
    </row>
    <row r="2011" spans="1:13" s="171" customFormat="1" outlineLevel="2">
      <c r="B2011" s="166" t="s">
        <v>2745</v>
      </c>
      <c r="C2011" s="117" t="s">
        <v>3461</v>
      </c>
      <c r="D2011" s="451" t="s">
        <v>3462</v>
      </c>
      <c r="E2011" s="117" t="s">
        <v>251</v>
      </c>
      <c r="F2011" s="142"/>
      <c r="G2011" s="167">
        <v>19</v>
      </c>
      <c r="H2011" s="168"/>
      <c r="I2011" s="168"/>
      <c r="J2011" s="168"/>
      <c r="K2011" s="169">
        <v>136</v>
      </c>
      <c r="L2011" s="170">
        <f t="shared" si="164"/>
        <v>0</v>
      </c>
      <c r="M2011" s="143">
        <f t="shared" si="163"/>
        <v>0</v>
      </c>
    </row>
    <row r="2012" spans="1:13" s="171" customFormat="1" outlineLevel="2">
      <c r="B2012" s="166" t="s">
        <v>2745</v>
      </c>
      <c r="C2012" s="117" t="s">
        <v>3463</v>
      </c>
      <c r="D2012" s="451" t="s">
        <v>3464</v>
      </c>
      <c r="E2012" s="117" t="s">
        <v>251</v>
      </c>
      <c r="F2012" s="142"/>
      <c r="G2012" s="167">
        <v>125</v>
      </c>
      <c r="H2012" s="168"/>
      <c r="I2012" s="168"/>
      <c r="J2012" s="168"/>
      <c r="K2012" s="169">
        <v>385</v>
      </c>
      <c r="L2012" s="170">
        <f t="shared" si="164"/>
        <v>0</v>
      </c>
      <c r="M2012" s="143">
        <f t="shared" si="163"/>
        <v>0</v>
      </c>
    </row>
    <row r="2013" spans="1:13" s="171" customFormat="1" outlineLevel="2">
      <c r="B2013" s="166" t="s">
        <v>2745</v>
      </c>
      <c r="C2013" s="117" t="s">
        <v>3465</v>
      </c>
      <c r="D2013" s="451" t="s">
        <v>3466</v>
      </c>
      <c r="E2013" s="117" t="s">
        <v>251</v>
      </c>
      <c r="F2013" s="142"/>
      <c r="G2013" s="167">
        <v>2</v>
      </c>
      <c r="H2013" s="168"/>
      <c r="I2013" s="168"/>
      <c r="J2013" s="168"/>
      <c r="K2013" s="169">
        <v>70</v>
      </c>
      <c r="L2013" s="170">
        <f t="shared" si="164"/>
        <v>0</v>
      </c>
      <c r="M2013" s="143">
        <f t="shared" si="163"/>
        <v>0</v>
      </c>
    </row>
    <row r="2014" spans="1:13" outlineLevel="1">
      <c r="B2014" s="116"/>
      <c r="C2014" s="123" t="s">
        <v>3467</v>
      </c>
      <c r="D2014" s="123" t="s">
        <v>3468</v>
      </c>
      <c r="F2014" s="124"/>
      <c r="G2014" s="131"/>
      <c r="H2014" s="118"/>
      <c r="I2014" s="118"/>
      <c r="J2014" s="118"/>
      <c r="K2014" s="120"/>
      <c r="L2014" s="121"/>
      <c r="M2014" s="125">
        <f>SUM(M2015:M2021)</f>
        <v>24150.596000000001</v>
      </c>
    </row>
    <row r="2015" spans="1:13" outlineLevel="2">
      <c r="B2015" s="116" t="s">
        <v>2745</v>
      </c>
      <c r="C2015" s="129" t="s">
        <v>3469</v>
      </c>
      <c r="D2015" s="462" t="s">
        <v>3470</v>
      </c>
      <c r="E2015" s="129" t="s">
        <v>362</v>
      </c>
      <c r="F2015" s="130"/>
      <c r="G2015" s="131">
        <v>1</v>
      </c>
      <c r="H2015" s="118"/>
      <c r="I2015" s="118"/>
      <c r="J2015" s="118"/>
      <c r="K2015" s="120">
        <v>24150.596000000001</v>
      </c>
      <c r="L2015" s="133">
        <f>SUM(H2015:K2015)</f>
        <v>24150.596000000001</v>
      </c>
      <c r="M2015" s="134">
        <f t="shared" ref="M2015:M2021" si="165">+L2015*G2015</f>
        <v>24150.596000000001</v>
      </c>
    </row>
    <row r="2016" spans="1:13" s="171" customFormat="1" outlineLevel="2">
      <c r="B2016" s="166" t="s">
        <v>2745</v>
      </c>
      <c r="C2016" s="117" t="s">
        <v>3471</v>
      </c>
      <c r="D2016" s="117" t="s">
        <v>3472</v>
      </c>
      <c r="E2016" s="117" t="s">
        <v>251</v>
      </c>
      <c r="F2016" s="142"/>
      <c r="G2016" s="167">
        <v>7</v>
      </c>
      <c r="H2016" s="168"/>
      <c r="I2016" s="168"/>
      <c r="J2016" s="168"/>
      <c r="K2016" s="169">
        <v>356.125</v>
      </c>
      <c r="L2016" s="170">
        <f t="shared" ref="L2016:L2021" si="166">SUM(H2016:K2016)*0</f>
        <v>0</v>
      </c>
      <c r="M2016" s="143">
        <f t="shared" si="165"/>
        <v>0</v>
      </c>
    </row>
    <row r="2017" spans="1:13" s="171" customFormat="1" outlineLevel="2">
      <c r="B2017" s="166" t="s">
        <v>2745</v>
      </c>
      <c r="C2017" s="117" t="s">
        <v>3473</v>
      </c>
      <c r="D2017" s="117" t="s">
        <v>3474</v>
      </c>
      <c r="E2017" s="117" t="s">
        <v>251</v>
      </c>
      <c r="F2017" s="142"/>
      <c r="G2017" s="167">
        <v>1</v>
      </c>
      <c r="H2017" s="168"/>
      <c r="I2017" s="168"/>
      <c r="J2017" s="168"/>
      <c r="K2017" s="169">
        <v>2673.5940000000001</v>
      </c>
      <c r="L2017" s="170">
        <f t="shared" si="166"/>
        <v>0</v>
      </c>
      <c r="M2017" s="143">
        <f t="shared" si="165"/>
        <v>0</v>
      </c>
    </row>
    <row r="2018" spans="1:13" s="171" customFormat="1" outlineLevel="2">
      <c r="B2018" s="166" t="s">
        <v>2745</v>
      </c>
      <c r="C2018" s="117" t="s">
        <v>3475</v>
      </c>
      <c r="D2018" s="117" t="s">
        <v>3476</v>
      </c>
      <c r="E2018" s="117" t="s">
        <v>251</v>
      </c>
      <c r="F2018" s="142"/>
      <c r="G2018" s="167">
        <v>125</v>
      </c>
      <c r="H2018" s="168"/>
      <c r="I2018" s="168"/>
      <c r="J2018" s="168"/>
      <c r="K2018" s="169">
        <v>170.59350000000001</v>
      </c>
      <c r="L2018" s="170">
        <f t="shared" si="166"/>
        <v>0</v>
      </c>
      <c r="M2018" s="143">
        <f t="shared" si="165"/>
        <v>0</v>
      </c>
    </row>
    <row r="2019" spans="1:13" s="171" customFormat="1" outlineLevel="2">
      <c r="B2019" s="166" t="s">
        <v>2745</v>
      </c>
      <c r="C2019" s="117" t="s">
        <v>3477</v>
      </c>
      <c r="D2019" s="117" t="s">
        <v>3478</v>
      </c>
      <c r="E2019" s="117" t="s">
        <v>251</v>
      </c>
      <c r="F2019" s="142"/>
      <c r="G2019" s="167">
        <v>8</v>
      </c>
      <c r="H2019" s="168"/>
      <c r="I2019" s="168"/>
      <c r="J2019" s="168"/>
      <c r="K2019" s="169">
        <v>170.59350000000001</v>
      </c>
      <c r="L2019" s="170">
        <f t="shared" si="166"/>
        <v>0</v>
      </c>
      <c r="M2019" s="143">
        <f t="shared" si="165"/>
        <v>0</v>
      </c>
    </row>
    <row r="2020" spans="1:13" s="171" customFormat="1" outlineLevel="2">
      <c r="B2020" s="166" t="s">
        <v>2745</v>
      </c>
      <c r="C2020" s="117" t="s">
        <v>3479</v>
      </c>
      <c r="D2020" s="117" t="s">
        <v>3480</v>
      </c>
      <c r="E2020" s="117" t="s">
        <v>251</v>
      </c>
      <c r="F2020" s="142"/>
      <c r="G2020" s="167">
        <v>1</v>
      </c>
      <c r="H2020" s="168"/>
      <c r="I2020" s="168"/>
      <c r="J2020" s="168"/>
      <c r="K2020" s="169">
        <v>261.02999999999997</v>
      </c>
      <c r="L2020" s="170">
        <f t="shared" si="166"/>
        <v>0</v>
      </c>
      <c r="M2020" s="143">
        <f t="shared" si="165"/>
        <v>0</v>
      </c>
    </row>
    <row r="2021" spans="1:13" s="171" customFormat="1" outlineLevel="2">
      <c r="B2021" s="166" t="s">
        <v>2745</v>
      </c>
      <c r="C2021" s="117" t="s">
        <v>3481</v>
      </c>
      <c r="D2021" s="117" t="s">
        <v>3482</v>
      </c>
      <c r="E2021" s="117" t="s">
        <v>251</v>
      </c>
      <c r="F2021" s="142"/>
      <c r="G2021" s="167">
        <v>1</v>
      </c>
      <c r="H2021" s="168"/>
      <c r="I2021" s="168"/>
      <c r="J2021" s="168"/>
      <c r="K2021" s="169">
        <v>12682.169500000002</v>
      </c>
      <c r="L2021" s="170">
        <f t="shared" si="166"/>
        <v>0</v>
      </c>
      <c r="M2021" s="143">
        <f t="shared" si="165"/>
        <v>0</v>
      </c>
    </row>
    <row r="2022" spans="1:13" outlineLevel="1">
      <c r="B2022" s="116"/>
      <c r="C2022" s="123" t="s">
        <v>3483</v>
      </c>
      <c r="D2022" s="123" t="s">
        <v>3484</v>
      </c>
      <c r="F2022" s="124"/>
      <c r="G2022" s="131"/>
      <c r="H2022" s="118"/>
      <c r="I2022" s="118"/>
      <c r="J2022" s="118"/>
      <c r="K2022" s="120"/>
      <c r="L2022" s="121"/>
      <c r="M2022" s="125">
        <f>SUM(M2023:M2030)</f>
        <v>17107.243999999999</v>
      </c>
    </row>
    <row r="2023" spans="1:13" outlineLevel="2">
      <c r="B2023" s="116" t="s">
        <v>2745</v>
      </c>
      <c r="C2023" s="129" t="s">
        <v>3485</v>
      </c>
      <c r="D2023" s="129" t="s">
        <v>3486</v>
      </c>
      <c r="E2023" s="129" t="s">
        <v>251</v>
      </c>
      <c r="F2023" s="130"/>
      <c r="G2023" s="131">
        <v>22</v>
      </c>
      <c r="H2023" s="118"/>
      <c r="I2023" s="118"/>
      <c r="J2023" s="118"/>
      <c r="K2023" s="120">
        <v>135.9435</v>
      </c>
      <c r="L2023" s="133">
        <f t="shared" ref="L2023:L2030" si="167">SUM(H2023:K2023)</f>
        <v>135.9435</v>
      </c>
      <c r="M2023" s="134">
        <f t="shared" ref="M2023:M2030" si="168">+L2023*G2023</f>
        <v>2990.7570000000001</v>
      </c>
    </row>
    <row r="2024" spans="1:13" outlineLevel="2">
      <c r="B2024" s="116" t="s">
        <v>2745</v>
      </c>
      <c r="C2024" s="129" t="s">
        <v>3487</v>
      </c>
      <c r="D2024" s="154" t="s">
        <v>3488</v>
      </c>
      <c r="E2024" s="129" t="s">
        <v>251</v>
      </c>
      <c r="F2024" s="130"/>
      <c r="G2024" s="131">
        <v>1</v>
      </c>
      <c r="H2024" s="118"/>
      <c r="I2024" s="118"/>
      <c r="J2024" s="118"/>
      <c r="K2024" s="120">
        <v>489.41200000000003</v>
      </c>
      <c r="L2024" s="133">
        <f t="shared" si="167"/>
        <v>489.41200000000003</v>
      </c>
      <c r="M2024" s="134">
        <f t="shared" si="168"/>
        <v>489.41200000000003</v>
      </c>
    </row>
    <row r="2025" spans="1:13" outlineLevel="2">
      <c r="B2025" s="116" t="s">
        <v>2745</v>
      </c>
      <c r="C2025" s="129" t="s">
        <v>3489</v>
      </c>
      <c r="D2025" s="154" t="s">
        <v>3490</v>
      </c>
      <c r="E2025" s="129" t="s">
        <v>251</v>
      </c>
      <c r="F2025" s="130"/>
      <c r="G2025" s="131">
        <v>23</v>
      </c>
      <c r="H2025" s="118"/>
      <c r="I2025" s="118"/>
      <c r="J2025" s="118"/>
      <c r="K2025" s="120">
        <v>21.752500000000001</v>
      </c>
      <c r="L2025" s="133">
        <f t="shared" si="167"/>
        <v>21.752500000000001</v>
      </c>
      <c r="M2025" s="134">
        <f t="shared" si="168"/>
        <v>500.3075</v>
      </c>
    </row>
    <row r="2026" spans="1:13" outlineLevel="2">
      <c r="B2026" s="116" t="s">
        <v>2745</v>
      </c>
      <c r="C2026" s="129" t="s">
        <v>3491</v>
      </c>
      <c r="D2026" s="154" t="s">
        <v>3492</v>
      </c>
      <c r="E2026" s="129" t="s">
        <v>251</v>
      </c>
      <c r="F2026" s="130"/>
      <c r="G2026" s="131">
        <v>23</v>
      </c>
      <c r="H2026" s="118"/>
      <c r="I2026" s="118"/>
      <c r="J2026" s="118"/>
      <c r="K2026" s="120">
        <v>27.180999999999997</v>
      </c>
      <c r="L2026" s="133">
        <f t="shared" si="167"/>
        <v>27.180999999999997</v>
      </c>
      <c r="M2026" s="134">
        <f t="shared" si="168"/>
        <v>625.1629999999999</v>
      </c>
    </row>
    <row r="2027" spans="1:13" outlineLevel="2">
      <c r="B2027" s="116" t="s">
        <v>2745</v>
      </c>
      <c r="C2027" s="129" t="s">
        <v>3493</v>
      </c>
      <c r="D2027" s="154" t="s">
        <v>3494</v>
      </c>
      <c r="E2027" s="129" t="s">
        <v>251</v>
      </c>
      <c r="F2027" s="130"/>
      <c r="G2027" s="131">
        <v>2</v>
      </c>
      <c r="H2027" s="118"/>
      <c r="I2027" s="118"/>
      <c r="J2027" s="118"/>
      <c r="K2027" s="120">
        <v>761.29900000000009</v>
      </c>
      <c r="L2027" s="133">
        <f t="shared" si="167"/>
        <v>761.29900000000009</v>
      </c>
      <c r="M2027" s="134">
        <f t="shared" si="168"/>
        <v>1522.5980000000002</v>
      </c>
    </row>
    <row r="2028" spans="1:13" outlineLevel="2">
      <c r="B2028" s="116" t="s">
        <v>2745</v>
      </c>
      <c r="C2028" s="129" t="s">
        <v>3495</v>
      </c>
      <c r="D2028" s="154" t="s">
        <v>3496</v>
      </c>
      <c r="E2028" s="129" t="s">
        <v>251</v>
      </c>
      <c r="F2028" s="130"/>
      <c r="G2028" s="131">
        <v>4</v>
      </c>
      <c r="H2028" s="118"/>
      <c r="I2028" s="118"/>
      <c r="J2028" s="118"/>
      <c r="K2028" s="120">
        <v>598.17450000000008</v>
      </c>
      <c r="L2028" s="133">
        <f t="shared" si="167"/>
        <v>598.17450000000008</v>
      </c>
      <c r="M2028" s="134">
        <f t="shared" si="168"/>
        <v>2392.6980000000003</v>
      </c>
    </row>
    <row r="2029" spans="1:13" outlineLevel="2">
      <c r="B2029" s="116" t="s">
        <v>2745</v>
      </c>
      <c r="C2029" s="129" t="s">
        <v>3497</v>
      </c>
      <c r="D2029" s="154" t="s">
        <v>3498</v>
      </c>
      <c r="E2029" s="129" t="s">
        <v>251</v>
      </c>
      <c r="F2029" s="130"/>
      <c r="G2029" s="131">
        <v>1</v>
      </c>
      <c r="H2029" s="118"/>
      <c r="I2029" s="118"/>
      <c r="J2029" s="118"/>
      <c r="K2029" s="120">
        <v>462.23099999999999</v>
      </c>
      <c r="L2029" s="133">
        <f t="shared" si="167"/>
        <v>462.23099999999999</v>
      </c>
      <c r="M2029" s="134">
        <f t="shared" si="168"/>
        <v>462.23099999999999</v>
      </c>
    </row>
    <row r="2030" spans="1:13" outlineLevel="2">
      <c r="B2030" s="116" t="s">
        <v>2745</v>
      </c>
      <c r="C2030" s="129" t="s">
        <v>3499</v>
      </c>
      <c r="D2030" s="154" t="s">
        <v>3500</v>
      </c>
      <c r="E2030" s="129" t="s">
        <v>228</v>
      </c>
      <c r="F2030" s="130"/>
      <c r="G2030" s="131">
        <v>1</v>
      </c>
      <c r="H2030" s="118"/>
      <c r="I2030" s="118"/>
      <c r="J2030" s="118"/>
      <c r="K2030" s="120">
        <v>8124.0775000000003</v>
      </c>
      <c r="L2030" s="133">
        <f t="shared" si="167"/>
        <v>8124.0775000000003</v>
      </c>
      <c r="M2030" s="134">
        <f t="shared" si="168"/>
        <v>8124.0775000000003</v>
      </c>
    </row>
    <row r="2031" spans="1:13" outlineLevel="1">
      <c r="B2031" s="116"/>
      <c r="C2031" s="123" t="s">
        <v>3501</v>
      </c>
      <c r="D2031" s="123" t="s">
        <v>3502</v>
      </c>
      <c r="F2031" s="124"/>
      <c r="G2031" s="131"/>
      <c r="H2031" s="118"/>
      <c r="I2031" s="118"/>
      <c r="J2031" s="118"/>
      <c r="K2031" s="120"/>
      <c r="L2031" s="121"/>
      <c r="M2031" s="125">
        <f>SUM(M2032:M2039)</f>
        <v>0</v>
      </c>
    </row>
    <row r="2032" spans="1:13" s="171" customFormat="1" outlineLevel="2">
      <c r="A2032" s="171" t="s">
        <v>1451</v>
      </c>
      <c r="B2032" s="166" t="s">
        <v>1452</v>
      </c>
      <c r="C2032" s="117" t="s">
        <v>3503</v>
      </c>
      <c r="D2032" s="117" t="s">
        <v>3504</v>
      </c>
      <c r="E2032" s="117" t="s">
        <v>228</v>
      </c>
      <c r="F2032" s="142"/>
      <c r="G2032" s="167">
        <v>1</v>
      </c>
      <c r="H2032" s="118"/>
      <c r="I2032" s="118"/>
      <c r="J2032" s="118"/>
      <c r="K2032" s="120">
        <v>15000</v>
      </c>
      <c r="L2032" s="170">
        <f t="shared" ref="L2032:L2039" si="169">SUM(H2032:K2032)*0</f>
        <v>0</v>
      </c>
      <c r="M2032" s="143">
        <f t="shared" ref="M2032:M2039" si="170">+L2032*G2032</f>
        <v>0</v>
      </c>
    </row>
    <row r="2033" spans="1:13" s="171" customFormat="1" outlineLevel="2">
      <c r="A2033" s="171" t="s">
        <v>1451</v>
      </c>
      <c r="B2033" s="166" t="s">
        <v>1452</v>
      </c>
      <c r="C2033" s="117" t="s">
        <v>3505</v>
      </c>
      <c r="D2033" s="117" t="s">
        <v>3506</v>
      </c>
      <c r="E2033" s="117" t="s">
        <v>228</v>
      </c>
      <c r="F2033" s="142"/>
      <c r="G2033" s="167">
        <v>1</v>
      </c>
      <c r="H2033" s="118"/>
      <c r="I2033" s="118"/>
      <c r="J2033" s="118"/>
      <c r="K2033" s="120">
        <v>5940</v>
      </c>
      <c r="L2033" s="170">
        <f t="shared" si="169"/>
        <v>0</v>
      </c>
      <c r="M2033" s="143">
        <f t="shared" si="170"/>
        <v>0</v>
      </c>
    </row>
    <row r="2034" spans="1:13" s="171" customFormat="1" outlineLevel="2">
      <c r="A2034" s="171" t="s">
        <v>1451</v>
      </c>
      <c r="B2034" s="166" t="s">
        <v>1452</v>
      </c>
      <c r="C2034" s="117" t="s">
        <v>3507</v>
      </c>
      <c r="D2034" s="117" t="s">
        <v>3508</v>
      </c>
      <c r="E2034" s="117" t="s">
        <v>228</v>
      </c>
      <c r="F2034" s="142"/>
      <c r="G2034" s="167">
        <v>1</v>
      </c>
      <c r="H2034" s="118"/>
      <c r="I2034" s="118"/>
      <c r="J2034" s="118"/>
      <c r="K2034" s="120">
        <v>915</v>
      </c>
      <c r="L2034" s="170">
        <f t="shared" si="169"/>
        <v>0</v>
      </c>
      <c r="M2034" s="143">
        <f t="shared" si="170"/>
        <v>0</v>
      </c>
    </row>
    <row r="2035" spans="1:13" s="171" customFormat="1" outlineLevel="2">
      <c r="A2035" s="171" t="s">
        <v>1451</v>
      </c>
      <c r="B2035" s="166" t="s">
        <v>1452</v>
      </c>
      <c r="C2035" s="117" t="s">
        <v>3509</v>
      </c>
      <c r="D2035" s="117" t="s">
        <v>3510</v>
      </c>
      <c r="E2035" s="117" t="s">
        <v>228</v>
      </c>
      <c r="F2035" s="142"/>
      <c r="G2035" s="167">
        <v>1</v>
      </c>
      <c r="H2035" s="118"/>
      <c r="I2035" s="118"/>
      <c r="J2035" s="118"/>
      <c r="K2035" s="120">
        <v>5368</v>
      </c>
      <c r="L2035" s="170">
        <f t="shared" si="169"/>
        <v>0</v>
      </c>
      <c r="M2035" s="143">
        <f t="shared" si="170"/>
        <v>0</v>
      </c>
    </row>
    <row r="2036" spans="1:13" s="171" customFormat="1" outlineLevel="2">
      <c r="A2036" s="171" t="s">
        <v>1451</v>
      </c>
      <c r="B2036" s="166" t="s">
        <v>1452</v>
      </c>
      <c r="C2036" s="117" t="s">
        <v>3511</v>
      </c>
      <c r="D2036" s="117" t="s">
        <v>3512</v>
      </c>
      <c r="E2036" s="117" t="s">
        <v>228</v>
      </c>
      <c r="F2036" s="142"/>
      <c r="G2036" s="167">
        <v>1</v>
      </c>
      <c r="H2036" s="118"/>
      <c r="I2036" s="118"/>
      <c r="J2036" s="118"/>
      <c r="K2036" s="120">
        <v>1324</v>
      </c>
      <c r="L2036" s="170">
        <f t="shared" si="169"/>
        <v>0</v>
      </c>
      <c r="M2036" s="143">
        <f t="shared" si="170"/>
        <v>0</v>
      </c>
    </row>
    <row r="2037" spans="1:13" s="171" customFormat="1" outlineLevel="2">
      <c r="A2037" s="171" t="s">
        <v>1451</v>
      </c>
      <c r="B2037" s="166" t="s">
        <v>1452</v>
      </c>
      <c r="C2037" s="117" t="s">
        <v>3513</v>
      </c>
      <c r="D2037" s="117" t="s">
        <v>3514</v>
      </c>
      <c r="E2037" s="117" t="s">
        <v>228</v>
      </c>
      <c r="F2037" s="142"/>
      <c r="G2037" s="167">
        <v>1</v>
      </c>
      <c r="H2037" s="118"/>
      <c r="I2037" s="118"/>
      <c r="J2037" s="118"/>
      <c r="K2037" s="120">
        <v>1003</v>
      </c>
      <c r="L2037" s="170">
        <f t="shared" si="169"/>
        <v>0</v>
      </c>
      <c r="M2037" s="143">
        <f t="shared" si="170"/>
        <v>0</v>
      </c>
    </row>
    <row r="2038" spans="1:13" s="171" customFormat="1" outlineLevel="2">
      <c r="A2038" s="171" t="s">
        <v>1451</v>
      </c>
      <c r="B2038" s="166" t="s">
        <v>1452</v>
      </c>
      <c r="C2038" s="117" t="s">
        <v>3515</v>
      </c>
      <c r="D2038" s="117" t="s">
        <v>3516</v>
      </c>
      <c r="E2038" s="117" t="s">
        <v>228</v>
      </c>
      <c r="F2038" s="142"/>
      <c r="G2038" s="167">
        <v>1</v>
      </c>
      <c r="H2038" s="118"/>
      <c r="I2038" s="118"/>
      <c r="J2038" s="118"/>
      <c r="K2038" s="120">
        <v>11434</v>
      </c>
      <c r="L2038" s="170">
        <f t="shared" si="169"/>
        <v>0</v>
      </c>
      <c r="M2038" s="143">
        <f t="shared" si="170"/>
        <v>0</v>
      </c>
    </row>
    <row r="2039" spans="1:13" s="171" customFormat="1" ht="15" outlineLevel="2" thickBot="1">
      <c r="A2039" s="171" t="s">
        <v>1451</v>
      </c>
      <c r="B2039" s="463" t="s">
        <v>1452</v>
      </c>
      <c r="C2039" s="464" t="s">
        <v>3517</v>
      </c>
      <c r="D2039" s="464" t="s">
        <v>3518</v>
      </c>
      <c r="E2039" s="464" t="s">
        <v>124</v>
      </c>
      <c r="F2039" s="142"/>
      <c r="G2039" s="167">
        <v>3</v>
      </c>
      <c r="H2039" s="118"/>
      <c r="I2039" s="118"/>
      <c r="J2039" s="118"/>
      <c r="K2039" s="120">
        <v>300</v>
      </c>
      <c r="L2039" s="170">
        <f t="shared" si="169"/>
        <v>0</v>
      </c>
      <c r="M2039" s="143">
        <f t="shared" si="170"/>
        <v>0</v>
      </c>
    </row>
    <row r="2040" spans="1:13" ht="15" outlineLevel="1" thickBot="1">
      <c r="F2040" s="465"/>
      <c r="G2040" s="466"/>
      <c r="H2040" s="467"/>
      <c r="I2040" s="467"/>
      <c r="J2040" s="467"/>
      <c r="K2040" s="467"/>
      <c r="L2040" s="468"/>
      <c r="M2040" s="469"/>
    </row>
    <row r="2042" spans="1:13">
      <c r="F2042" s="470"/>
      <c r="M2042" s="471">
        <f>+M2+M106+M418+M1388+M1698+M1802+M1808+M1814</f>
        <v>29458104.335779522</v>
      </c>
    </row>
    <row r="2043" spans="1:13">
      <c r="F2043" s="472"/>
      <c r="M2043" s="473"/>
    </row>
    <row r="2044" spans="1:13">
      <c r="D2044" s="474"/>
      <c r="E2044" s="474"/>
      <c r="I2044" s="231"/>
      <c r="L2044" s="226"/>
    </row>
    <row r="2045" spans="1:13">
      <c r="D2045" s="475"/>
      <c r="F2045" s="261"/>
      <c r="L2045" s="476"/>
      <c r="M2045" s="121"/>
    </row>
    <row r="2046" spans="1:13">
      <c r="D2046" s="474"/>
      <c r="E2046" s="474"/>
      <c r="I2046" s="231"/>
      <c r="K2046" s="231"/>
      <c r="L2046" s="226"/>
    </row>
  </sheetData>
  <autoFilter ref="A1:M2040" xr:uid="{9E6BE70C-F255-480A-BA4C-1BFD102ED004}"/>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8E66-445E-4753-AC38-897754A26D70}">
  <dimension ref="A1:AC1013"/>
  <sheetViews>
    <sheetView topLeftCell="C1" zoomScale="80" zoomScaleNormal="80" workbookViewId="0">
      <pane ySplit="10" topLeftCell="A11" activePane="bottomLeft" state="frozen"/>
      <selection pane="bottomLeft" activeCell="Q17" sqref="Q17"/>
    </sheetView>
  </sheetViews>
  <sheetFormatPr baseColWidth="10" defaultColWidth="14.44140625" defaultRowHeight="15" customHeight="1"/>
  <cols>
    <col min="1" max="1" width="7.44140625" customWidth="1"/>
    <col min="2" max="2" width="27.6640625" customWidth="1"/>
    <col min="3" max="3" width="26.5546875" customWidth="1"/>
    <col min="4" max="4" width="12" customWidth="1"/>
    <col min="5" max="5" width="14.44140625" customWidth="1"/>
    <col min="6" max="6" width="57.44140625" customWidth="1"/>
    <col min="7" max="18" width="8.109375" customWidth="1"/>
    <col min="19" max="19" width="13.44140625" customWidth="1"/>
    <col min="20" max="20" width="13.88671875" customWidth="1"/>
    <col min="21" max="21" width="11.88671875" customWidth="1"/>
    <col min="22" max="22" width="11" customWidth="1"/>
    <col min="23" max="23" width="14.5546875" customWidth="1"/>
    <col min="24" max="29" width="14.44140625" style="73"/>
  </cols>
  <sheetData>
    <row r="1" spans="1:29" ht="12.75" customHeight="1">
      <c r="A1" s="55"/>
      <c r="B1" s="55"/>
      <c r="C1" s="83"/>
      <c r="D1" s="83"/>
      <c r="E1" s="83"/>
      <c r="F1" s="83"/>
      <c r="G1" s="83"/>
      <c r="H1" s="83"/>
      <c r="I1" s="83"/>
      <c r="J1" s="83"/>
      <c r="K1" s="83"/>
      <c r="L1" s="83"/>
      <c r="M1" s="83"/>
      <c r="N1" s="83"/>
      <c r="O1" s="83"/>
      <c r="P1" s="83"/>
      <c r="Q1" s="83"/>
      <c r="R1" s="83"/>
      <c r="S1" s="83"/>
      <c r="T1" s="83"/>
      <c r="U1" s="83"/>
      <c r="V1" s="83"/>
      <c r="W1" s="83"/>
    </row>
    <row r="2" spans="1:29" ht="12.75" customHeight="1">
      <c r="A2" s="587" t="s">
        <v>30</v>
      </c>
      <c r="B2" s="587"/>
      <c r="C2" s="587"/>
      <c r="D2" s="587"/>
      <c r="E2" s="587"/>
      <c r="F2" s="587"/>
      <c r="G2" s="587"/>
      <c r="H2" s="587"/>
      <c r="I2" s="587"/>
      <c r="J2" s="587"/>
      <c r="K2" s="587"/>
      <c r="L2" s="587"/>
      <c r="M2" s="587"/>
      <c r="N2" s="587"/>
      <c r="O2" s="587"/>
      <c r="P2" s="587"/>
      <c r="Q2" s="587"/>
      <c r="R2" s="587"/>
      <c r="S2" s="587"/>
      <c r="T2" s="587"/>
      <c r="U2" s="587"/>
      <c r="V2" s="587"/>
      <c r="W2" s="587"/>
    </row>
    <row r="3" spans="1:29" ht="15.6" customHeight="1">
      <c r="A3" s="73"/>
      <c r="B3" s="73"/>
      <c r="C3" s="73"/>
      <c r="D3" s="73"/>
      <c r="E3" s="73"/>
      <c r="F3" s="73"/>
      <c r="G3" s="73"/>
      <c r="H3" s="73"/>
      <c r="I3" s="73"/>
      <c r="J3" s="73"/>
      <c r="K3" s="73"/>
      <c r="L3" s="73"/>
      <c r="M3" s="73"/>
      <c r="N3" s="73"/>
      <c r="O3" s="73"/>
      <c r="P3" s="73"/>
      <c r="Q3" s="73"/>
      <c r="R3" s="73"/>
      <c r="S3" s="73"/>
      <c r="T3" s="73"/>
      <c r="U3" s="73"/>
      <c r="V3" s="73"/>
      <c r="W3" s="73"/>
    </row>
    <row r="4" spans="1:29" ht="12.75" customHeight="1">
      <c r="A4" s="91"/>
      <c r="B4" s="91"/>
      <c r="C4" s="91"/>
      <c r="D4" s="91"/>
      <c r="E4" s="91"/>
      <c r="F4" s="557">
        <v>2</v>
      </c>
      <c r="G4" s="95" t="s">
        <v>69</v>
      </c>
      <c r="H4" s="594">
        <v>45711</v>
      </c>
      <c r="I4" s="594"/>
      <c r="J4" s="594"/>
      <c r="K4" s="95" t="s">
        <v>74</v>
      </c>
      <c r="L4" s="595">
        <f>+H4+5</f>
        <v>45716</v>
      </c>
      <c r="M4" s="595"/>
      <c r="N4" s="595"/>
      <c r="O4" s="94"/>
      <c r="P4" s="94"/>
      <c r="Q4" s="73"/>
      <c r="R4" s="87"/>
      <c r="S4" s="91"/>
      <c r="T4" s="500"/>
      <c r="U4" s="91"/>
      <c r="V4" s="488"/>
      <c r="W4" s="91"/>
    </row>
    <row r="5" spans="1:29" ht="12.75" customHeight="1">
      <c r="A5" s="8" t="s">
        <v>0</v>
      </c>
      <c r="B5" s="84" t="s">
        <v>34</v>
      </c>
      <c r="C5" s="84"/>
      <c r="D5" s="1"/>
      <c r="E5" s="501"/>
      <c r="F5" s="1"/>
      <c r="G5" s="7"/>
      <c r="H5" s="553"/>
      <c r="I5" s="7"/>
      <c r="J5" s="9"/>
      <c r="K5" s="7"/>
      <c r="L5" s="9"/>
      <c r="M5" s="85"/>
      <c r="N5" s="86"/>
      <c r="O5" s="10"/>
      <c r="P5" s="11"/>
      <c r="Q5" s="73"/>
      <c r="R5" s="88"/>
      <c r="S5" s="7"/>
      <c r="T5" s="2"/>
      <c r="U5" s="2"/>
      <c r="V5" s="2"/>
      <c r="W5" s="2"/>
    </row>
    <row r="6" spans="1:29" ht="12.75" customHeight="1" thickBot="1">
      <c r="A6" s="8" t="s">
        <v>1</v>
      </c>
      <c r="B6" s="2" t="s">
        <v>35</v>
      </c>
      <c r="C6" s="2"/>
      <c r="D6" s="1"/>
      <c r="E6" s="1"/>
      <c r="F6" s="1"/>
      <c r="G6" s="1"/>
      <c r="H6" s="553"/>
      <c r="I6" s="1"/>
      <c r="J6" s="9"/>
      <c r="K6" s="7"/>
      <c r="L6" s="9"/>
      <c r="M6" s="85"/>
      <c r="N6" s="86"/>
      <c r="O6" s="10"/>
      <c r="P6" s="11"/>
      <c r="Q6" s="87"/>
      <c r="R6" s="88"/>
      <c r="S6" s="7"/>
      <c r="T6" s="2"/>
      <c r="U6" s="2"/>
      <c r="V6" s="2"/>
      <c r="W6" s="2"/>
    </row>
    <row r="7" spans="1:29" ht="18" customHeight="1">
      <c r="A7" s="601" t="s">
        <v>2</v>
      </c>
      <c r="B7" s="604" t="s">
        <v>31</v>
      </c>
      <c r="C7" s="604" t="s">
        <v>32</v>
      </c>
      <c r="D7" s="604" t="s">
        <v>3</v>
      </c>
      <c r="E7" s="606" t="s">
        <v>37</v>
      </c>
      <c r="F7" s="606" t="s">
        <v>38</v>
      </c>
      <c r="G7" s="609">
        <f>+F4</f>
        <v>2</v>
      </c>
      <c r="H7" s="610"/>
      <c r="I7" s="610"/>
      <c r="J7" s="610"/>
      <c r="K7" s="610"/>
      <c r="L7" s="610"/>
      <c r="M7" s="610"/>
      <c r="N7" s="610"/>
      <c r="O7" s="610"/>
      <c r="P7" s="610"/>
      <c r="Q7" s="610"/>
      <c r="R7" s="611"/>
      <c r="S7" s="599" t="s">
        <v>4</v>
      </c>
      <c r="T7" s="590" t="s">
        <v>5</v>
      </c>
      <c r="U7" s="590" t="s">
        <v>6</v>
      </c>
      <c r="V7" s="590" t="s">
        <v>7</v>
      </c>
      <c r="W7" s="592" t="s">
        <v>8</v>
      </c>
    </row>
    <row r="8" spans="1:29" ht="18" customHeight="1" thickBot="1">
      <c r="A8" s="602"/>
      <c r="B8" s="591"/>
      <c r="C8" s="591"/>
      <c r="D8" s="591"/>
      <c r="E8" s="607"/>
      <c r="F8" s="607"/>
      <c r="G8" s="612" t="s">
        <v>9</v>
      </c>
      <c r="H8" s="598"/>
      <c r="I8" s="588" t="s">
        <v>10</v>
      </c>
      <c r="J8" s="598"/>
      <c r="K8" s="588" t="s">
        <v>11</v>
      </c>
      <c r="L8" s="598"/>
      <c r="M8" s="588" t="s">
        <v>12</v>
      </c>
      <c r="N8" s="598"/>
      <c r="O8" s="588" t="s">
        <v>13</v>
      </c>
      <c r="P8" s="598"/>
      <c r="Q8" s="588" t="s">
        <v>14</v>
      </c>
      <c r="R8" s="589"/>
      <c r="S8" s="600"/>
      <c r="T8" s="591"/>
      <c r="U8" s="591"/>
      <c r="V8" s="591"/>
      <c r="W8" s="593"/>
    </row>
    <row r="9" spans="1:29" ht="18" customHeight="1">
      <c r="A9" s="602"/>
      <c r="B9" s="591"/>
      <c r="C9" s="591"/>
      <c r="D9" s="591"/>
      <c r="E9" s="607"/>
      <c r="F9" s="607"/>
      <c r="G9" s="613">
        <f>H4</f>
        <v>45711</v>
      </c>
      <c r="H9" s="596"/>
      <c r="I9" s="596">
        <f>+G9+1</f>
        <v>45712</v>
      </c>
      <c r="J9" s="596"/>
      <c r="K9" s="596">
        <f>+I9+1</f>
        <v>45713</v>
      </c>
      <c r="L9" s="596"/>
      <c r="M9" s="596">
        <f>+K9+1</f>
        <v>45714</v>
      </c>
      <c r="N9" s="596"/>
      <c r="O9" s="596">
        <f>+M9+1</f>
        <v>45715</v>
      </c>
      <c r="P9" s="596"/>
      <c r="Q9" s="596">
        <f>+O9+1</f>
        <v>45716</v>
      </c>
      <c r="R9" s="597"/>
      <c r="S9" s="600"/>
      <c r="T9" s="591"/>
      <c r="U9" s="591"/>
      <c r="V9" s="591"/>
      <c r="W9" s="593"/>
    </row>
    <row r="10" spans="1:29" ht="18" customHeight="1" thickBot="1">
      <c r="A10" s="603"/>
      <c r="B10" s="605"/>
      <c r="C10" s="605"/>
      <c r="D10" s="605"/>
      <c r="E10" s="608"/>
      <c r="F10" s="608"/>
      <c r="G10" s="552" t="s">
        <v>15</v>
      </c>
      <c r="H10" s="39" t="s">
        <v>16</v>
      </c>
      <c r="I10" s="38" t="s">
        <v>15</v>
      </c>
      <c r="J10" s="39" t="s">
        <v>16</v>
      </c>
      <c r="K10" s="38" t="s">
        <v>15</v>
      </c>
      <c r="L10" s="39" t="s">
        <v>16</v>
      </c>
      <c r="M10" s="38" t="s">
        <v>15</v>
      </c>
      <c r="N10" s="40" t="s">
        <v>16</v>
      </c>
      <c r="O10" s="38" t="s">
        <v>15</v>
      </c>
      <c r="P10" s="39" t="s">
        <v>17</v>
      </c>
      <c r="Q10" s="102" t="s">
        <v>15</v>
      </c>
      <c r="R10" s="41" t="s">
        <v>17</v>
      </c>
      <c r="S10" s="600"/>
      <c r="T10" s="591"/>
      <c r="U10" s="591"/>
      <c r="V10" s="591"/>
      <c r="W10" s="593"/>
    </row>
    <row r="11" spans="1:29" s="546" customFormat="1" ht="15" customHeight="1">
      <c r="A11" s="505">
        <v>1</v>
      </c>
      <c r="B11" s="506" t="s">
        <v>33</v>
      </c>
      <c r="C11" s="519" t="s">
        <v>3537</v>
      </c>
      <c r="D11" s="520">
        <v>48244396</v>
      </c>
      <c r="E11" s="547" t="s">
        <v>36</v>
      </c>
      <c r="F11" s="512" t="s">
        <v>3595</v>
      </c>
      <c r="G11" s="562">
        <v>8.5</v>
      </c>
      <c r="H11" s="563"/>
      <c r="I11" s="564">
        <v>8.5</v>
      </c>
      <c r="J11" s="565"/>
      <c r="K11" s="565">
        <v>8.5</v>
      </c>
      <c r="L11" s="565"/>
      <c r="M11" s="569">
        <v>8.5</v>
      </c>
      <c r="N11" s="565"/>
      <c r="O11" s="569">
        <v>8.5</v>
      </c>
      <c r="P11" s="565"/>
      <c r="Q11" s="569">
        <v>5.5</v>
      </c>
      <c r="R11" s="566"/>
      <c r="S11" s="507">
        <f>G11+I11+K11+M11+O11+Q11</f>
        <v>48</v>
      </c>
      <c r="T11" s="508">
        <f>H11+J11+L11+N11+P11+R11</f>
        <v>0</v>
      </c>
      <c r="U11" s="508">
        <f>IF(H11&gt;2,2,H11)+IF(J11&gt;2,2,J11)+IF(L11&gt;2,2,L11)+IF(N11&gt;2,2,N11)+IF(P11&gt;2,2,P11)+IF(R11&gt;2,2,R11)</f>
        <v>0</v>
      </c>
      <c r="V11" s="508">
        <f>T11-U11</f>
        <v>0</v>
      </c>
      <c r="W11" s="509">
        <f t="shared" ref="W11:W18" si="0">S11+T11</f>
        <v>48</v>
      </c>
      <c r="X11" s="545"/>
      <c r="Y11" s="545"/>
      <c r="Z11" s="545"/>
      <c r="AA11" s="545"/>
      <c r="AB11" s="545"/>
      <c r="AC11" s="545"/>
    </row>
    <row r="12" spans="1:29" s="546" customFormat="1" ht="15" customHeight="1">
      <c r="A12" s="510">
        <f>+A11+1</f>
        <v>2</v>
      </c>
      <c r="B12" s="572" t="s">
        <v>3541</v>
      </c>
      <c r="C12" s="519" t="s">
        <v>70</v>
      </c>
      <c r="D12" s="573">
        <v>48987299</v>
      </c>
      <c r="E12" s="548" t="s">
        <v>36</v>
      </c>
      <c r="F12" s="512" t="s">
        <v>3594</v>
      </c>
      <c r="G12" s="567">
        <v>8.5</v>
      </c>
      <c r="H12" s="568"/>
      <c r="I12" s="569">
        <v>8.5</v>
      </c>
      <c r="J12" s="570"/>
      <c r="K12" s="569">
        <v>8.5</v>
      </c>
      <c r="L12" s="570"/>
      <c r="M12" s="569">
        <v>8.5</v>
      </c>
      <c r="N12" s="570"/>
      <c r="O12" s="569">
        <v>8.5</v>
      </c>
      <c r="P12" s="570"/>
      <c r="Q12" s="569">
        <v>5.5</v>
      </c>
      <c r="R12" s="571"/>
      <c r="S12" s="513">
        <f>G12+I12+K12+M12+O12+Q12</f>
        <v>48</v>
      </c>
      <c r="T12" s="514">
        <f t="shared" ref="T12:T18" si="1">H12+J12+L12+N12+P12+R12</f>
        <v>0</v>
      </c>
      <c r="U12" s="514">
        <f t="shared" ref="U12:U18" si="2">IF(H12&gt;2,2,H12)+IF(J12&gt;2,2,J12)+IF(L12&gt;2,2,L12)+IF(N12&gt;2,2,N12)+IF(P12&gt;2,2,P12)+IF(R12&gt;2,2,R12)</f>
        <v>0</v>
      </c>
      <c r="V12" s="514">
        <f t="shared" ref="V12:V18" si="3">T12-U12</f>
        <v>0</v>
      </c>
      <c r="W12" s="515">
        <f t="shared" si="0"/>
        <v>48</v>
      </c>
      <c r="X12" s="545"/>
      <c r="Y12" s="545"/>
      <c r="Z12" s="545"/>
      <c r="AA12" s="545"/>
      <c r="AB12" s="545"/>
      <c r="AC12" s="545"/>
    </row>
    <row r="13" spans="1:29" s="546" customFormat="1" ht="15" customHeight="1">
      <c r="A13" s="510">
        <f t="shared" ref="A13:A41" si="4">+A12+1</f>
        <v>3</v>
      </c>
      <c r="B13" s="572" t="s">
        <v>3599</v>
      </c>
      <c r="C13" s="574" t="s">
        <v>3600</v>
      </c>
      <c r="D13" s="516">
        <v>25807626</v>
      </c>
      <c r="E13" s="547" t="s">
        <v>36</v>
      </c>
      <c r="F13" s="512" t="s">
        <v>3601</v>
      </c>
      <c r="G13" s="567">
        <v>8.5</v>
      </c>
      <c r="H13" s="568"/>
      <c r="I13" s="569">
        <v>8.5</v>
      </c>
      <c r="J13" s="570"/>
      <c r="K13" s="569">
        <v>8.5</v>
      </c>
      <c r="L13" s="570"/>
      <c r="M13" s="569">
        <v>8.5</v>
      </c>
      <c r="N13" s="570"/>
      <c r="O13" s="569">
        <v>8.5</v>
      </c>
      <c r="P13" s="570"/>
      <c r="Q13" s="569">
        <v>5.5</v>
      </c>
      <c r="R13" s="571"/>
      <c r="S13" s="513">
        <f t="shared" ref="S13:S41" si="5">G13+I13+K13+M13+O13+Q13</f>
        <v>48</v>
      </c>
      <c r="T13" s="514">
        <f t="shared" si="1"/>
        <v>0</v>
      </c>
      <c r="U13" s="514">
        <f t="shared" si="2"/>
        <v>0</v>
      </c>
      <c r="V13" s="514">
        <f t="shared" si="3"/>
        <v>0</v>
      </c>
      <c r="W13" s="515">
        <f t="shared" si="0"/>
        <v>48</v>
      </c>
      <c r="X13" s="545"/>
      <c r="Y13" s="545"/>
      <c r="Z13" s="545"/>
      <c r="AA13" s="545"/>
      <c r="AB13" s="545"/>
      <c r="AC13" s="545"/>
    </row>
    <row r="14" spans="1:29" s="546" customFormat="1" ht="15" customHeight="1">
      <c r="A14" s="510">
        <f t="shared" si="4"/>
        <v>4</v>
      </c>
      <c r="B14" s="572" t="s">
        <v>3602</v>
      </c>
      <c r="C14" s="574" t="s">
        <v>3603</v>
      </c>
      <c r="D14" s="511">
        <v>40426251</v>
      </c>
      <c r="E14" s="547" t="s">
        <v>3604</v>
      </c>
      <c r="F14" s="512" t="s">
        <v>3605</v>
      </c>
      <c r="G14" s="567">
        <v>8.5</v>
      </c>
      <c r="H14" s="568"/>
      <c r="I14" s="569">
        <v>8.5</v>
      </c>
      <c r="J14" s="570"/>
      <c r="K14" s="569">
        <v>8.5</v>
      </c>
      <c r="L14" s="570"/>
      <c r="M14" s="569">
        <v>8.5</v>
      </c>
      <c r="N14" s="570"/>
      <c r="O14" s="569">
        <v>8.5</v>
      </c>
      <c r="P14" s="570"/>
      <c r="Q14" s="569">
        <v>5.5</v>
      </c>
      <c r="R14" s="571"/>
      <c r="S14" s="513">
        <f t="shared" si="5"/>
        <v>48</v>
      </c>
      <c r="T14" s="517">
        <f t="shared" si="1"/>
        <v>0</v>
      </c>
      <c r="U14" s="517">
        <f t="shared" si="2"/>
        <v>0</v>
      </c>
      <c r="V14" s="517">
        <f t="shared" si="3"/>
        <v>0</v>
      </c>
      <c r="W14" s="518">
        <f t="shared" si="0"/>
        <v>48</v>
      </c>
      <c r="X14" s="545"/>
      <c r="Y14" s="545"/>
      <c r="Z14" s="545"/>
      <c r="AA14" s="545"/>
      <c r="AB14" s="545"/>
      <c r="AC14" s="545"/>
    </row>
    <row r="15" spans="1:29" s="546" customFormat="1" ht="15" customHeight="1">
      <c r="A15" s="510">
        <f t="shared" si="4"/>
        <v>5</v>
      </c>
      <c r="B15" s="506" t="s">
        <v>3606</v>
      </c>
      <c r="C15" s="519" t="s">
        <v>3607</v>
      </c>
      <c r="D15" s="520">
        <v>70702879</v>
      </c>
      <c r="E15" s="547" t="s">
        <v>36</v>
      </c>
      <c r="F15" s="512" t="s">
        <v>3605</v>
      </c>
      <c r="G15" s="567">
        <v>8.5</v>
      </c>
      <c r="H15" s="568"/>
      <c r="I15" s="569">
        <v>8.5</v>
      </c>
      <c r="J15" s="570"/>
      <c r="K15" s="569">
        <v>8.5</v>
      </c>
      <c r="L15" s="570"/>
      <c r="M15" s="569">
        <v>8.5</v>
      </c>
      <c r="N15" s="570"/>
      <c r="O15" s="569">
        <v>8.5</v>
      </c>
      <c r="P15" s="570"/>
      <c r="Q15" s="569">
        <v>5.5</v>
      </c>
      <c r="R15" s="571"/>
      <c r="S15" s="513">
        <f t="shared" si="5"/>
        <v>48</v>
      </c>
      <c r="T15" s="521">
        <f t="shared" si="1"/>
        <v>0</v>
      </c>
      <c r="U15" s="521">
        <f t="shared" si="2"/>
        <v>0</v>
      </c>
      <c r="V15" s="521">
        <f t="shared" si="3"/>
        <v>0</v>
      </c>
      <c r="W15" s="522">
        <f t="shared" si="0"/>
        <v>48</v>
      </c>
      <c r="X15" s="545"/>
      <c r="Y15" s="545"/>
      <c r="Z15" s="545"/>
      <c r="AA15" s="545"/>
      <c r="AB15" s="545"/>
      <c r="AC15" s="545"/>
    </row>
    <row r="16" spans="1:29" s="546" customFormat="1" ht="15" customHeight="1">
      <c r="A16" s="510">
        <f t="shared" si="4"/>
        <v>6</v>
      </c>
      <c r="B16" s="506" t="s">
        <v>3611</v>
      </c>
      <c r="C16" s="519" t="s">
        <v>3612</v>
      </c>
      <c r="D16" s="520">
        <v>76214091</v>
      </c>
      <c r="E16" s="547" t="s">
        <v>3604</v>
      </c>
      <c r="F16" s="512" t="s">
        <v>3613</v>
      </c>
      <c r="G16" s="567">
        <v>8.5</v>
      </c>
      <c r="H16" s="568"/>
      <c r="I16" s="569">
        <v>8.5</v>
      </c>
      <c r="J16" s="570"/>
      <c r="K16" s="569">
        <v>8.5</v>
      </c>
      <c r="L16" s="570"/>
      <c r="M16" s="569">
        <v>8.5</v>
      </c>
      <c r="N16" s="570"/>
      <c r="O16" s="569">
        <v>8.5</v>
      </c>
      <c r="P16" s="570"/>
      <c r="Q16" s="569">
        <v>5.5</v>
      </c>
      <c r="R16" s="571"/>
      <c r="S16" s="513">
        <f t="shared" si="5"/>
        <v>48</v>
      </c>
      <c r="T16" s="514">
        <f t="shared" si="1"/>
        <v>0</v>
      </c>
      <c r="U16" s="514">
        <f t="shared" si="2"/>
        <v>0</v>
      </c>
      <c r="V16" s="514">
        <f t="shared" si="3"/>
        <v>0</v>
      </c>
      <c r="W16" s="515">
        <f t="shared" si="0"/>
        <v>48</v>
      </c>
      <c r="X16" s="545"/>
      <c r="Y16" s="545"/>
      <c r="Z16" s="545"/>
      <c r="AA16" s="545"/>
      <c r="AB16" s="545"/>
      <c r="AC16" s="545"/>
    </row>
    <row r="17" spans="1:29" s="546" customFormat="1" ht="15" customHeight="1">
      <c r="A17" s="510">
        <f t="shared" si="4"/>
        <v>7</v>
      </c>
      <c r="B17" s="506"/>
      <c r="C17" s="519"/>
      <c r="D17" s="520"/>
      <c r="E17" s="547"/>
      <c r="F17" s="512"/>
      <c r="G17" s="567"/>
      <c r="H17" s="568"/>
      <c r="I17" s="569"/>
      <c r="J17" s="570"/>
      <c r="K17" s="569"/>
      <c r="L17" s="570"/>
      <c r="M17" s="569"/>
      <c r="N17" s="570"/>
      <c r="O17" s="569"/>
      <c r="P17" s="570"/>
      <c r="Q17" s="569"/>
      <c r="R17" s="571"/>
      <c r="S17" s="513">
        <f t="shared" si="5"/>
        <v>0</v>
      </c>
      <c r="T17" s="514">
        <f t="shared" ref="T17" si="6">H17+J17+L17+N17+P17+R17</f>
        <v>0</v>
      </c>
      <c r="U17" s="514">
        <f t="shared" ref="U17" si="7">IF(H17&gt;2,2,H17)+IF(J17&gt;2,2,J17)+IF(L17&gt;2,2,L17)+IF(N17&gt;2,2,N17)+IF(P17&gt;2,2,P17)+IF(R17&gt;2,2,R17)</f>
        <v>0</v>
      </c>
      <c r="V17" s="514">
        <f t="shared" ref="V17" si="8">T17-U17</f>
        <v>0</v>
      </c>
      <c r="W17" s="515">
        <f t="shared" ref="W17" si="9">S17+T17</f>
        <v>0</v>
      </c>
      <c r="X17" s="545"/>
      <c r="Y17" s="545"/>
      <c r="Z17" s="545"/>
      <c r="AA17" s="545"/>
      <c r="AB17" s="545"/>
      <c r="AC17" s="545"/>
    </row>
    <row r="18" spans="1:29" s="546" customFormat="1" ht="15" customHeight="1">
      <c r="A18" s="510">
        <f t="shared" si="4"/>
        <v>8</v>
      </c>
      <c r="B18" s="506"/>
      <c r="C18" s="523"/>
      <c r="D18" s="524"/>
      <c r="E18" s="548"/>
      <c r="F18" s="549"/>
      <c r="G18" s="567"/>
      <c r="H18" s="568"/>
      <c r="I18" s="569"/>
      <c r="J18" s="570"/>
      <c r="K18" s="569"/>
      <c r="L18" s="570"/>
      <c r="M18" s="569"/>
      <c r="N18" s="570"/>
      <c r="O18" s="569"/>
      <c r="P18" s="570"/>
      <c r="Q18" s="569"/>
      <c r="R18" s="571"/>
      <c r="S18" s="513">
        <f t="shared" si="5"/>
        <v>0</v>
      </c>
      <c r="T18" s="514">
        <f t="shared" si="1"/>
        <v>0</v>
      </c>
      <c r="U18" s="514">
        <f t="shared" si="2"/>
        <v>0</v>
      </c>
      <c r="V18" s="514">
        <f t="shared" si="3"/>
        <v>0</v>
      </c>
      <c r="W18" s="515">
        <f t="shared" si="0"/>
        <v>0</v>
      </c>
      <c r="X18" s="545"/>
      <c r="Y18" s="545"/>
      <c r="Z18" s="545"/>
      <c r="AA18" s="545"/>
      <c r="AB18" s="545"/>
      <c r="AC18" s="545"/>
    </row>
    <row r="19" spans="1:29" s="546" customFormat="1" ht="15" customHeight="1">
      <c r="A19" s="510">
        <f t="shared" si="4"/>
        <v>9</v>
      </c>
      <c r="B19" s="559"/>
      <c r="C19" s="519"/>
      <c r="D19" s="520"/>
      <c r="E19" s="547"/>
      <c r="F19" s="512"/>
      <c r="G19" s="567"/>
      <c r="H19" s="568"/>
      <c r="I19" s="569"/>
      <c r="J19" s="570"/>
      <c r="K19" s="569"/>
      <c r="L19" s="570"/>
      <c r="M19" s="569"/>
      <c r="N19" s="570"/>
      <c r="O19" s="569"/>
      <c r="P19" s="570"/>
      <c r="Q19" s="569"/>
      <c r="R19" s="571"/>
      <c r="S19" s="513">
        <f t="shared" si="5"/>
        <v>0</v>
      </c>
      <c r="T19" s="514">
        <f t="shared" ref="T19:T20" si="10">H19+J19+L19+N19+P19+R19</f>
        <v>0</v>
      </c>
      <c r="U19" s="514">
        <f t="shared" ref="U19:U20" si="11">IF(H19&gt;2,2,H19)+IF(J19&gt;2,2,J19)+IF(L19&gt;2,2,L19)+IF(N19&gt;2,2,N19)+IF(P19&gt;2,2,P19)+IF(R19&gt;2,2,R19)</f>
        <v>0</v>
      </c>
      <c r="V19" s="514">
        <f t="shared" ref="V19:V20" si="12">T19-U19</f>
        <v>0</v>
      </c>
      <c r="W19" s="515">
        <f t="shared" ref="W19:W20" si="13">S19+T19</f>
        <v>0</v>
      </c>
      <c r="X19" s="545"/>
      <c r="Y19" s="545"/>
      <c r="Z19" s="545"/>
      <c r="AA19" s="545"/>
      <c r="AB19" s="545"/>
      <c r="AC19" s="545"/>
    </row>
    <row r="20" spans="1:29" s="546" customFormat="1" ht="15" customHeight="1">
      <c r="A20" s="510">
        <f t="shared" si="4"/>
        <v>10</v>
      </c>
      <c r="B20" s="506"/>
      <c r="C20" s="519"/>
      <c r="D20" s="520"/>
      <c r="E20" s="547"/>
      <c r="F20" s="512"/>
      <c r="G20" s="567"/>
      <c r="H20" s="568"/>
      <c r="I20" s="569"/>
      <c r="J20" s="570"/>
      <c r="K20" s="569"/>
      <c r="L20" s="570"/>
      <c r="M20" s="569"/>
      <c r="N20" s="570"/>
      <c r="O20" s="569"/>
      <c r="P20" s="570"/>
      <c r="Q20" s="569"/>
      <c r="R20" s="571"/>
      <c r="S20" s="513">
        <f t="shared" si="5"/>
        <v>0</v>
      </c>
      <c r="T20" s="514">
        <f t="shared" si="10"/>
        <v>0</v>
      </c>
      <c r="U20" s="514">
        <f t="shared" si="11"/>
        <v>0</v>
      </c>
      <c r="V20" s="514">
        <f t="shared" si="12"/>
        <v>0</v>
      </c>
      <c r="W20" s="515">
        <f t="shared" si="13"/>
        <v>0</v>
      </c>
      <c r="X20" s="545"/>
      <c r="Y20" s="545"/>
      <c r="Z20" s="545"/>
      <c r="AA20" s="545"/>
      <c r="AB20" s="545"/>
      <c r="AC20" s="545"/>
    </row>
    <row r="21" spans="1:29" s="546" customFormat="1" ht="15" customHeight="1">
      <c r="A21" s="510">
        <f t="shared" si="4"/>
        <v>11</v>
      </c>
      <c r="B21" s="506"/>
      <c r="C21" s="519"/>
      <c r="D21" s="520"/>
      <c r="E21" s="547"/>
      <c r="F21" s="512"/>
      <c r="G21" s="567"/>
      <c r="H21" s="568"/>
      <c r="I21" s="569"/>
      <c r="J21" s="570"/>
      <c r="K21" s="569"/>
      <c r="L21" s="570"/>
      <c r="M21" s="569"/>
      <c r="N21" s="570"/>
      <c r="O21" s="569"/>
      <c r="P21" s="570"/>
      <c r="Q21" s="569"/>
      <c r="R21" s="571"/>
      <c r="S21" s="513">
        <f t="shared" si="5"/>
        <v>0</v>
      </c>
      <c r="T21" s="514">
        <f t="shared" ref="T21:T41" si="14">H21+J21+L21+N21+P21+R21</f>
        <v>0</v>
      </c>
      <c r="U21" s="514">
        <f t="shared" ref="U21:U41" si="15">IF(H21&gt;2,2,H21)+IF(J21&gt;2,2,J21)+IF(L21&gt;2,2,L21)+IF(N21&gt;2,2,N21)+IF(P21&gt;2,2,P21)+IF(R21&gt;2,2,R21)</f>
        <v>0</v>
      </c>
      <c r="V21" s="514">
        <f t="shared" ref="V21:V41" si="16">T21-U21</f>
        <v>0</v>
      </c>
      <c r="W21" s="515">
        <f t="shared" ref="W21:W41" si="17">S21+T21</f>
        <v>0</v>
      </c>
      <c r="X21" s="545"/>
      <c r="Y21" s="545"/>
      <c r="Z21" s="545"/>
      <c r="AA21" s="545"/>
      <c r="AB21" s="545"/>
      <c r="AC21" s="545"/>
    </row>
    <row r="22" spans="1:29" s="546" customFormat="1" ht="18" customHeight="1">
      <c r="A22" s="510">
        <f t="shared" si="4"/>
        <v>12</v>
      </c>
      <c r="B22" s="506"/>
      <c r="C22" s="519"/>
      <c r="D22" s="520"/>
      <c r="E22" s="547"/>
      <c r="F22" s="512"/>
      <c r="G22" s="567"/>
      <c r="H22" s="568"/>
      <c r="I22" s="569"/>
      <c r="J22" s="570"/>
      <c r="K22" s="569"/>
      <c r="L22" s="570"/>
      <c r="M22" s="569"/>
      <c r="N22" s="570"/>
      <c r="O22" s="569"/>
      <c r="P22" s="570"/>
      <c r="Q22" s="569"/>
      <c r="R22" s="571"/>
      <c r="S22" s="513">
        <f t="shared" si="5"/>
        <v>0</v>
      </c>
      <c r="T22" s="514">
        <f t="shared" si="14"/>
        <v>0</v>
      </c>
      <c r="U22" s="514">
        <f t="shared" si="15"/>
        <v>0</v>
      </c>
      <c r="V22" s="514">
        <f t="shared" si="16"/>
        <v>0</v>
      </c>
      <c r="W22" s="515">
        <f t="shared" si="17"/>
        <v>0</v>
      </c>
      <c r="X22" s="545"/>
      <c r="Y22" s="545"/>
      <c r="Z22" s="545"/>
      <c r="AA22" s="545"/>
      <c r="AB22" s="545"/>
      <c r="AC22" s="545"/>
    </row>
    <row r="23" spans="1:29" s="546" customFormat="1" ht="15" customHeight="1">
      <c r="A23" s="510">
        <f t="shared" si="4"/>
        <v>13</v>
      </c>
      <c r="B23" s="506"/>
      <c r="C23" s="519"/>
      <c r="D23" s="520"/>
      <c r="E23" s="547"/>
      <c r="F23" s="512"/>
      <c r="G23" s="567"/>
      <c r="H23" s="568"/>
      <c r="I23" s="569"/>
      <c r="J23" s="570"/>
      <c r="K23" s="569"/>
      <c r="L23" s="570"/>
      <c r="M23" s="569"/>
      <c r="N23" s="570"/>
      <c r="O23" s="569"/>
      <c r="P23" s="570"/>
      <c r="Q23" s="569"/>
      <c r="R23" s="571"/>
      <c r="S23" s="513">
        <f t="shared" si="5"/>
        <v>0</v>
      </c>
      <c r="T23" s="514">
        <f t="shared" si="14"/>
        <v>0</v>
      </c>
      <c r="U23" s="514">
        <f t="shared" si="15"/>
        <v>0</v>
      </c>
      <c r="V23" s="514">
        <f t="shared" si="16"/>
        <v>0</v>
      </c>
      <c r="W23" s="515">
        <f t="shared" si="17"/>
        <v>0</v>
      </c>
      <c r="X23" s="545"/>
      <c r="Y23" s="545"/>
      <c r="Z23" s="545"/>
      <c r="AA23" s="545"/>
      <c r="AB23" s="545"/>
      <c r="AC23" s="545"/>
    </row>
    <row r="24" spans="1:29" s="546" customFormat="1" ht="15" customHeight="1">
      <c r="A24" s="510">
        <f t="shared" si="4"/>
        <v>14</v>
      </c>
      <c r="B24" s="506"/>
      <c r="C24" s="519"/>
      <c r="D24" s="520"/>
      <c r="E24" s="547"/>
      <c r="F24" s="512"/>
      <c r="G24" s="567"/>
      <c r="H24" s="568"/>
      <c r="I24" s="569"/>
      <c r="J24" s="570"/>
      <c r="K24" s="569"/>
      <c r="L24" s="570"/>
      <c r="M24" s="569"/>
      <c r="N24" s="570"/>
      <c r="O24" s="569"/>
      <c r="P24" s="570"/>
      <c r="Q24" s="569"/>
      <c r="R24" s="571"/>
      <c r="S24" s="513">
        <f t="shared" si="5"/>
        <v>0</v>
      </c>
      <c r="T24" s="514">
        <f t="shared" si="14"/>
        <v>0</v>
      </c>
      <c r="U24" s="514">
        <f t="shared" si="15"/>
        <v>0</v>
      </c>
      <c r="V24" s="514">
        <f t="shared" si="16"/>
        <v>0</v>
      </c>
      <c r="W24" s="515">
        <f t="shared" si="17"/>
        <v>0</v>
      </c>
      <c r="X24" s="545"/>
      <c r="Z24" s="545"/>
      <c r="AA24" s="545"/>
      <c r="AB24" s="545"/>
      <c r="AC24" s="545"/>
    </row>
    <row r="25" spans="1:29" s="546" customFormat="1" ht="15" customHeight="1">
      <c r="A25" s="510">
        <f t="shared" si="4"/>
        <v>15</v>
      </c>
      <c r="B25" s="506"/>
      <c r="C25" s="519"/>
      <c r="D25" s="520"/>
      <c r="E25" s="547"/>
      <c r="F25" s="512"/>
      <c r="G25" s="567"/>
      <c r="H25" s="568"/>
      <c r="I25" s="569"/>
      <c r="J25" s="570"/>
      <c r="K25" s="569"/>
      <c r="L25" s="570"/>
      <c r="M25" s="569"/>
      <c r="N25" s="570"/>
      <c r="O25" s="569"/>
      <c r="P25" s="570"/>
      <c r="Q25" s="569"/>
      <c r="R25" s="571"/>
      <c r="S25" s="513">
        <f t="shared" si="5"/>
        <v>0</v>
      </c>
      <c r="T25" s="514">
        <f t="shared" si="14"/>
        <v>0</v>
      </c>
      <c r="U25" s="514">
        <f t="shared" si="15"/>
        <v>0</v>
      </c>
      <c r="V25" s="514">
        <f t="shared" si="16"/>
        <v>0</v>
      </c>
      <c r="W25" s="515">
        <f t="shared" si="17"/>
        <v>0</v>
      </c>
      <c r="X25" s="545"/>
      <c r="Y25" s="545"/>
      <c r="Z25" s="545"/>
      <c r="AA25" s="545"/>
      <c r="AB25" s="545"/>
      <c r="AC25" s="545"/>
    </row>
    <row r="26" spans="1:29" s="546" customFormat="1" ht="15" customHeight="1">
      <c r="A26" s="510">
        <f t="shared" si="4"/>
        <v>16</v>
      </c>
      <c r="B26" s="506"/>
      <c r="C26" s="519"/>
      <c r="D26" s="520"/>
      <c r="E26" s="547"/>
      <c r="F26" s="512"/>
      <c r="G26" s="567"/>
      <c r="H26" s="568"/>
      <c r="I26" s="569"/>
      <c r="J26" s="570"/>
      <c r="K26" s="569"/>
      <c r="L26" s="570"/>
      <c r="M26" s="569"/>
      <c r="N26" s="570"/>
      <c r="O26" s="569"/>
      <c r="P26" s="570"/>
      <c r="Q26" s="569"/>
      <c r="R26" s="571"/>
      <c r="S26" s="513">
        <f t="shared" si="5"/>
        <v>0</v>
      </c>
      <c r="T26" s="514">
        <f t="shared" si="14"/>
        <v>0</v>
      </c>
      <c r="U26" s="514">
        <f t="shared" si="15"/>
        <v>0</v>
      </c>
      <c r="V26" s="514">
        <f t="shared" si="16"/>
        <v>0</v>
      </c>
      <c r="W26" s="515">
        <f t="shared" si="17"/>
        <v>0</v>
      </c>
      <c r="X26" s="545"/>
      <c r="Y26" s="545"/>
      <c r="Z26" s="545"/>
      <c r="AA26" s="545"/>
      <c r="AB26" s="545"/>
      <c r="AC26" s="545"/>
    </row>
    <row r="27" spans="1:29" s="546" customFormat="1" ht="15" customHeight="1">
      <c r="A27" s="510">
        <f t="shared" si="4"/>
        <v>17</v>
      </c>
      <c r="B27" s="506"/>
      <c r="C27" s="519"/>
      <c r="D27" s="520"/>
      <c r="E27" s="547"/>
      <c r="F27" s="512"/>
      <c r="G27" s="567"/>
      <c r="H27" s="568"/>
      <c r="I27" s="569"/>
      <c r="J27" s="570"/>
      <c r="K27" s="569"/>
      <c r="L27" s="570"/>
      <c r="M27" s="569"/>
      <c r="N27" s="570"/>
      <c r="O27" s="569"/>
      <c r="P27" s="570"/>
      <c r="Q27" s="569"/>
      <c r="R27" s="571"/>
      <c r="S27" s="513">
        <f t="shared" si="5"/>
        <v>0</v>
      </c>
      <c r="T27" s="514">
        <f t="shared" si="14"/>
        <v>0</v>
      </c>
      <c r="U27" s="514">
        <f t="shared" si="15"/>
        <v>0</v>
      </c>
      <c r="V27" s="514">
        <f t="shared" si="16"/>
        <v>0</v>
      </c>
      <c r="W27" s="515">
        <f t="shared" si="17"/>
        <v>0</v>
      </c>
      <c r="X27" s="545"/>
      <c r="Y27" s="545"/>
      <c r="Z27" s="545"/>
      <c r="AA27" s="545"/>
      <c r="AB27" s="545"/>
      <c r="AC27" s="545"/>
    </row>
    <row r="28" spans="1:29" s="546" customFormat="1" ht="15" customHeight="1">
      <c r="A28" s="510">
        <f t="shared" si="4"/>
        <v>18</v>
      </c>
      <c r="B28" s="506"/>
      <c r="C28" s="519"/>
      <c r="D28" s="520"/>
      <c r="E28" s="547"/>
      <c r="F28" s="512"/>
      <c r="G28" s="567"/>
      <c r="H28" s="568"/>
      <c r="I28" s="569"/>
      <c r="J28" s="570"/>
      <c r="K28" s="569"/>
      <c r="L28" s="570"/>
      <c r="M28" s="569"/>
      <c r="N28" s="570"/>
      <c r="O28" s="569"/>
      <c r="P28" s="570"/>
      <c r="Q28" s="569"/>
      <c r="R28" s="571"/>
      <c r="S28" s="513">
        <f t="shared" si="5"/>
        <v>0</v>
      </c>
      <c r="T28" s="514">
        <f t="shared" si="14"/>
        <v>0</v>
      </c>
      <c r="U28" s="514">
        <f t="shared" si="15"/>
        <v>0</v>
      </c>
      <c r="V28" s="514">
        <f t="shared" si="16"/>
        <v>0</v>
      </c>
      <c r="W28" s="515">
        <f t="shared" si="17"/>
        <v>0</v>
      </c>
      <c r="X28" s="545"/>
      <c r="Y28" s="545"/>
      <c r="Z28" s="545"/>
      <c r="AA28" s="545"/>
      <c r="AB28" s="545"/>
      <c r="AC28" s="545"/>
    </row>
    <row r="29" spans="1:29" s="546" customFormat="1" ht="15" customHeight="1">
      <c r="A29" s="510">
        <f t="shared" si="4"/>
        <v>19</v>
      </c>
      <c r="B29" s="506"/>
      <c r="C29" s="523"/>
      <c r="D29" s="524"/>
      <c r="E29" s="548"/>
      <c r="F29" s="549"/>
      <c r="G29" s="567"/>
      <c r="H29" s="568"/>
      <c r="I29" s="569"/>
      <c r="J29" s="570"/>
      <c r="K29" s="569"/>
      <c r="L29" s="570"/>
      <c r="M29" s="569"/>
      <c r="N29" s="570"/>
      <c r="O29" s="569"/>
      <c r="P29" s="570"/>
      <c r="Q29" s="569"/>
      <c r="R29" s="571"/>
      <c r="S29" s="513">
        <f t="shared" si="5"/>
        <v>0</v>
      </c>
      <c r="T29" s="514">
        <f t="shared" si="14"/>
        <v>0</v>
      </c>
      <c r="U29" s="514">
        <f t="shared" si="15"/>
        <v>0</v>
      </c>
      <c r="V29" s="514">
        <f t="shared" si="16"/>
        <v>0</v>
      </c>
      <c r="W29" s="515">
        <f t="shared" si="17"/>
        <v>0</v>
      </c>
      <c r="X29" s="545"/>
      <c r="Y29" s="545"/>
      <c r="Z29" s="545"/>
      <c r="AA29" s="545"/>
      <c r="AB29" s="545"/>
      <c r="AC29" s="545"/>
    </row>
    <row r="30" spans="1:29" s="546" customFormat="1" ht="15" customHeight="1">
      <c r="A30" s="510">
        <f t="shared" si="4"/>
        <v>20</v>
      </c>
      <c r="B30" s="506"/>
      <c r="C30" s="525"/>
      <c r="D30" s="524"/>
      <c r="E30" s="548"/>
      <c r="F30" s="549"/>
      <c r="G30" s="567"/>
      <c r="H30" s="568"/>
      <c r="I30" s="569"/>
      <c r="J30" s="570"/>
      <c r="K30" s="569"/>
      <c r="L30" s="570"/>
      <c r="M30" s="569"/>
      <c r="N30" s="570"/>
      <c r="O30" s="569"/>
      <c r="P30" s="570"/>
      <c r="Q30" s="569"/>
      <c r="R30" s="571"/>
      <c r="S30" s="513">
        <f t="shared" si="5"/>
        <v>0</v>
      </c>
      <c r="T30" s="514">
        <f t="shared" si="14"/>
        <v>0</v>
      </c>
      <c r="U30" s="514">
        <f t="shared" si="15"/>
        <v>0</v>
      </c>
      <c r="V30" s="514">
        <f t="shared" si="16"/>
        <v>0</v>
      </c>
      <c r="W30" s="515">
        <f t="shared" si="17"/>
        <v>0</v>
      </c>
      <c r="X30" s="545"/>
      <c r="Y30" s="545"/>
      <c r="Z30" s="545"/>
      <c r="AA30" s="545"/>
      <c r="AB30" s="545"/>
      <c r="AC30" s="545"/>
    </row>
    <row r="31" spans="1:29" s="546" customFormat="1" ht="15" customHeight="1">
      <c r="A31" s="510">
        <f t="shared" si="4"/>
        <v>21</v>
      </c>
      <c r="B31" s="544"/>
      <c r="C31" s="523"/>
      <c r="D31" s="524"/>
      <c r="E31" s="548"/>
      <c r="F31" s="549"/>
      <c r="G31" s="567"/>
      <c r="H31" s="568"/>
      <c r="I31" s="569"/>
      <c r="J31" s="570"/>
      <c r="K31" s="569"/>
      <c r="L31" s="570"/>
      <c r="M31" s="569"/>
      <c r="N31" s="570"/>
      <c r="O31" s="569"/>
      <c r="P31" s="570"/>
      <c r="Q31" s="569"/>
      <c r="R31" s="571"/>
      <c r="S31" s="513">
        <f t="shared" si="5"/>
        <v>0</v>
      </c>
      <c r="T31" s="514">
        <f t="shared" si="14"/>
        <v>0</v>
      </c>
      <c r="U31" s="514">
        <f t="shared" si="15"/>
        <v>0</v>
      </c>
      <c r="V31" s="514">
        <f t="shared" si="16"/>
        <v>0</v>
      </c>
      <c r="W31" s="515">
        <f t="shared" si="17"/>
        <v>0</v>
      </c>
      <c r="X31" s="545"/>
      <c r="Y31" s="545"/>
      <c r="Z31" s="545"/>
      <c r="AA31" s="545"/>
      <c r="AB31" s="545"/>
      <c r="AC31" s="545"/>
    </row>
    <row r="32" spans="1:29" s="546" customFormat="1" ht="15" customHeight="1">
      <c r="A32" s="510">
        <f t="shared" si="4"/>
        <v>22</v>
      </c>
      <c r="B32" s="506"/>
      <c r="C32" s="523"/>
      <c r="D32" s="524"/>
      <c r="E32" s="548"/>
      <c r="F32" s="549"/>
      <c r="G32" s="567"/>
      <c r="H32" s="568"/>
      <c r="I32" s="569"/>
      <c r="J32" s="570"/>
      <c r="K32" s="569"/>
      <c r="L32" s="570"/>
      <c r="M32" s="569"/>
      <c r="N32" s="570"/>
      <c r="O32" s="569"/>
      <c r="P32" s="570"/>
      <c r="Q32" s="569"/>
      <c r="R32" s="571"/>
      <c r="S32" s="513">
        <f t="shared" si="5"/>
        <v>0</v>
      </c>
      <c r="T32" s="514">
        <f t="shared" si="14"/>
        <v>0</v>
      </c>
      <c r="U32" s="514">
        <f t="shared" si="15"/>
        <v>0</v>
      </c>
      <c r="V32" s="514">
        <f t="shared" si="16"/>
        <v>0</v>
      </c>
      <c r="W32" s="515">
        <f t="shared" si="17"/>
        <v>0</v>
      </c>
      <c r="X32" s="545"/>
      <c r="Y32" s="545"/>
      <c r="Z32" s="545"/>
      <c r="AA32" s="545"/>
      <c r="AB32" s="545"/>
      <c r="AC32" s="545"/>
    </row>
    <row r="33" spans="1:29" s="546" customFormat="1" ht="15" customHeight="1">
      <c r="A33" s="510">
        <f t="shared" si="4"/>
        <v>23</v>
      </c>
      <c r="B33" s="506"/>
      <c r="C33" s="523"/>
      <c r="D33" s="524"/>
      <c r="E33" s="548"/>
      <c r="F33" s="549"/>
      <c r="G33" s="567"/>
      <c r="H33" s="568"/>
      <c r="I33" s="569"/>
      <c r="J33" s="570"/>
      <c r="K33" s="569"/>
      <c r="L33" s="570"/>
      <c r="M33" s="569"/>
      <c r="N33" s="570"/>
      <c r="O33" s="569"/>
      <c r="P33" s="570"/>
      <c r="Q33" s="569"/>
      <c r="R33" s="571"/>
      <c r="S33" s="513">
        <f t="shared" si="5"/>
        <v>0</v>
      </c>
      <c r="T33" s="514">
        <f t="shared" si="14"/>
        <v>0</v>
      </c>
      <c r="U33" s="514">
        <f t="shared" si="15"/>
        <v>0</v>
      </c>
      <c r="V33" s="514">
        <f t="shared" si="16"/>
        <v>0</v>
      </c>
      <c r="W33" s="515">
        <f t="shared" si="17"/>
        <v>0</v>
      </c>
      <c r="X33" s="545"/>
      <c r="Y33" s="545"/>
      <c r="Z33" s="545"/>
      <c r="AA33" s="545"/>
      <c r="AB33" s="545"/>
      <c r="AC33" s="545"/>
    </row>
    <row r="34" spans="1:29" s="546" customFormat="1" ht="15" customHeight="1">
      <c r="A34" s="510">
        <f t="shared" si="4"/>
        <v>24</v>
      </c>
      <c r="B34" s="506"/>
      <c r="C34" s="523"/>
      <c r="D34" s="524"/>
      <c r="E34" s="548"/>
      <c r="G34" s="567"/>
      <c r="H34" s="568"/>
      <c r="I34" s="569"/>
      <c r="J34" s="570"/>
      <c r="K34" s="569"/>
      <c r="L34" s="570"/>
      <c r="M34" s="569"/>
      <c r="N34" s="570"/>
      <c r="O34" s="569"/>
      <c r="P34" s="570"/>
      <c r="Q34" s="569"/>
      <c r="R34" s="571"/>
      <c r="S34" s="513">
        <f t="shared" si="5"/>
        <v>0</v>
      </c>
      <c r="T34" s="514">
        <f t="shared" si="14"/>
        <v>0</v>
      </c>
      <c r="U34" s="514">
        <f t="shared" si="15"/>
        <v>0</v>
      </c>
      <c r="V34" s="514">
        <f t="shared" si="16"/>
        <v>0</v>
      </c>
      <c r="W34" s="515">
        <f t="shared" si="17"/>
        <v>0</v>
      </c>
      <c r="X34" s="545"/>
      <c r="Y34" s="545"/>
      <c r="Z34" s="545"/>
      <c r="AA34" s="545"/>
      <c r="AB34" s="545"/>
      <c r="AC34" s="545"/>
    </row>
    <row r="35" spans="1:29" s="546" customFormat="1" ht="15" customHeight="1">
      <c r="A35" s="510">
        <f t="shared" si="4"/>
        <v>25</v>
      </c>
      <c r="B35" s="506"/>
      <c r="C35" s="523"/>
      <c r="D35" s="524"/>
      <c r="E35" s="548"/>
      <c r="G35" s="567"/>
      <c r="H35" s="568"/>
      <c r="I35" s="569"/>
      <c r="J35" s="570"/>
      <c r="K35" s="569"/>
      <c r="L35" s="570"/>
      <c r="M35" s="569"/>
      <c r="N35" s="570"/>
      <c r="O35" s="569"/>
      <c r="P35" s="570"/>
      <c r="Q35" s="569"/>
      <c r="R35" s="571"/>
      <c r="S35" s="513">
        <f t="shared" si="5"/>
        <v>0</v>
      </c>
      <c r="T35" s="514">
        <f t="shared" si="14"/>
        <v>0</v>
      </c>
      <c r="U35" s="514">
        <f t="shared" si="15"/>
        <v>0</v>
      </c>
      <c r="V35" s="514">
        <f t="shared" si="16"/>
        <v>0</v>
      </c>
      <c r="W35" s="515">
        <f t="shared" si="17"/>
        <v>0</v>
      </c>
      <c r="X35" s="545"/>
      <c r="Y35" s="545"/>
      <c r="Z35" s="545"/>
      <c r="AA35" s="545"/>
      <c r="AB35" s="545"/>
      <c r="AC35" s="545"/>
    </row>
    <row r="36" spans="1:29" s="546" customFormat="1" ht="15" customHeight="1">
      <c r="A36" s="510">
        <f t="shared" si="4"/>
        <v>26</v>
      </c>
      <c r="B36" s="526"/>
      <c r="C36" s="526"/>
      <c r="D36" s="524"/>
      <c r="E36" s="548"/>
      <c r="F36" s="558"/>
      <c r="G36" s="567"/>
      <c r="H36" s="568"/>
      <c r="I36" s="569"/>
      <c r="J36" s="570"/>
      <c r="K36" s="569"/>
      <c r="L36" s="570"/>
      <c r="M36" s="569"/>
      <c r="N36" s="570"/>
      <c r="O36" s="569"/>
      <c r="P36" s="570"/>
      <c r="Q36" s="569"/>
      <c r="R36" s="571"/>
      <c r="S36" s="513">
        <f t="shared" si="5"/>
        <v>0</v>
      </c>
      <c r="T36" s="514">
        <f t="shared" si="14"/>
        <v>0</v>
      </c>
      <c r="U36" s="514">
        <f t="shared" si="15"/>
        <v>0</v>
      </c>
      <c r="V36" s="514">
        <f t="shared" si="16"/>
        <v>0</v>
      </c>
      <c r="W36" s="515">
        <f t="shared" si="17"/>
        <v>0</v>
      </c>
      <c r="X36" s="545"/>
      <c r="Y36" s="545"/>
      <c r="Z36" s="545"/>
      <c r="AA36" s="545"/>
      <c r="AB36" s="545"/>
      <c r="AC36" s="545"/>
    </row>
    <row r="37" spans="1:29" s="546" customFormat="1" ht="15" customHeight="1">
      <c r="A37" s="510">
        <f t="shared" si="4"/>
        <v>27</v>
      </c>
      <c r="B37" s="526"/>
      <c r="C37" s="526"/>
      <c r="D37" s="524"/>
      <c r="E37" s="548"/>
      <c r="F37" s="558"/>
      <c r="G37" s="567"/>
      <c r="H37" s="568"/>
      <c r="I37" s="569"/>
      <c r="J37" s="570"/>
      <c r="K37" s="569"/>
      <c r="L37" s="570"/>
      <c r="M37" s="569"/>
      <c r="N37" s="570"/>
      <c r="O37" s="569"/>
      <c r="P37" s="570"/>
      <c r="Q37" s="569"/>
      <c r="R37" s="571"/>
      <c r="S37" s="513">
        <f t="shared" si="5"/>
        <v>0</v>
      </c>
      <c r="T37" s="514">
        <f t="shared" si="14"/>
        <v>0</v>
      </c>
      <c r="U37" s="514">
        <f t="shared" si="15"/>
        <v>0</v>
      </c>
      <c r="V37" s="514">
        <f t="shared" si="16"/>
        <v>0</v>
      </c>
      <c r="W37" s="515">
        <f t="shared" si="17"/>
        <v>0</v>
      </c>
      <c r="X37" s="545"/>
      <c r="Y37" s="545"/>
      <c r="Z37" s="545"/>
      <c r="AA37" s="545"/>
      <c r="AB37" s="545"/>
      <c r="AC37" s="545"/>
    </row>
    <row r="38" spans="1:29" s="546" customFormat="1" ht="15" customHeight="1">
      <c r="A38" s="510">
        <f t="shared" si="4"/>
        <v>28</v>
      </c>
      <c r="B38" s="526"/>
      <c r="C38" s="526"/>
      <c r="D38" s="524"/>
      <c r="E38" s="548"/>
      <c r="F38" s="549"/>
      <c r="G38" s="567"/>
      <c r="H38" s="568"/>
      <c r="I38" s="569"/>
      <c r="J38" s="570"/>
      <c r="K38" s="569"/>
      <c r="L38" s="570"/>
      <c r="M38" s="569"/>
      <c r="N38" s="570"/>
      <c r="O38" s="569"/>
      <c r="P38" s="570"/>
      <c r="Q38" s="569"/>
      <c r="R38" s="571"/>
      <c r="S38" s="513">
        <f t="shared" si="5"/>
        <v>0</v>
      </c>
      <c r="T38" s="514">
        <f t="shared" si="14"/>
        <v>0</v>
      </c>
      <c r="U38" s="514">
        <f t="shared" si="15"/>
        <v>0</v>
      </c>
      <c r="V38" s="514">
        <f t="shared" si="16"/>
        <v>0</v>
      </c>
      <c r="W38" s="515">
        <f t="shared" si="17"/>
        <v>0</v>
      </c>
      <c r="X38" s="545"/>
      <c r="Y38" s="545"/>
      <c r="Z38" s="545"/>
      <c r="AA38" s="545"/>
      <c r="AB38" s="545"/>
      <c r="AC38" s="545"/>
    </row>
    <row r="39" spans="1:29" s="546" customFormat="1" ht="15" customHeight="1">
      <c r="A39" s="510">
        <f t="shared" si="4"/>
        <v>29</v>
      </c>
      <c r="B39" s="526"/>
      <c r="C39" s="526"/>
      <c r="D39" s="524"/>
      <c r="E39" s="550"/>
      <c r="F39" s="549"/>
      <c r="G39" s="567"/>
      <c r="H39" s="568"/>
      <c r="I39" s="569"/>
      <c r="J39" s="570"/>
      <c r="K39" s="569"/>
      <c r="L39" s="570"/>
      <c r="M39" s="569"/>
      <c r="N39" s="570"/>
      <c r="O39" s="569"/>
      <c r="P39" s="570"/>
      <c r="Q39" s="569"/>
      <c r="R39" s="571"/>
      <c r="S39" s="513">
        <f t="shared" si="5"/>
        <v>0</v>
      </c>
      <c r="T39" s="514">
        <f t="shared" si="14"/>
        <v>0</v>
      </c>
      <c r="U39" s="514">
        <f t="shared" si="15"/>
        <v>0</v>
      </c>
      <c r="V39" s="514">
        <f t="shared" si="16"/>
        <v>0</v>
      </c>
      <c r="W39" s="515">
        <f t="shared" si="17"/>
        <v>0</v>
      </c>
      <c r="X39" s="545"/>
      <c r="Y39" s="545"/>
      <c r="Z39" s="545"/>
      <c r="AA39" s="545"/>
      <c r="AB39" s="545"/>
      <c r="AC39" s="545"/>
    </row>
    <row r="40" spans="1:29" s="546" customFormat="1" ht="15" customHeight="1">
      <c r="A40" s="510">
        <f t="shared" si="4"/>
        <v>30</v>
      </c>
      <c r="B40" s="526"/>
      <c r="C40" s="526"/>
      <c r="D40" s="524"/>
      <c r="E40" s="550"/>
      <c r="F40" s="549"/>
      <c r="G40" s="567"/>
      <c r="H40" s="568"/>
      <c r="I40" s="569"/>
      <c r="J40" s="570"/>
      <c r="K40" s="569"/>
      <c r="L40" s="570"/>
      <c r="M40" s="569"/>
      <c r="N40" s="570"/>
      <c r="O40" s="569"/>
      <c r="P40" s="570"/>
      <c r="Q40" s="569"/>
      <c r="R40" s="571"/>
      <c r="S40" s="513">
        <f t="shared" si="5"/>
        <v>0</v>
      </c>
      <c r="T40" s="514">
        <f t="shared" si="14"/>
        <v>0</v>
      </c>
      <c r="U40" s="514">
        <f t="shared" si="15"/>
        <v>0</v>
      </c>
      <c r="V40" s="514">
        <f t="shared" si="16"/>
        <v>0</v>
      </c>
      <c r="W40" s="515">
        <f t="shared" si="17"/>
        <v>0</v>
      </c>
      <c r="X40" s="545"/>
      <c r="Y40" s="545"/>
      <c r="Z40" s="545"/>
      <c r="AA40" s="545"/>
      <c r="AB40" s="545"/>
      <c r="AC40" s="545"/>
    </row>
    <row r="41" spans="1:29" s="546" customFormat="1" ht="15" customHeight="1" thickBot="1">
      <c r="A41" s="510">
        <f t="shared" si="4"/>
        <v>31</v>
      </c>
      <c r="B41" s="527"/>
      <c r="C41" s="527"/>
      <c r="D41" s="528"/>
      <c r="E41" s="551"/>
      <c r="F41" s="560"/>
      <c r="G41" s="567"/>
      <c r="H41" s="568"/>
      <c r="I41" s="569"/>
      <c r="J41" s="570"/>
      <c r="K41" s="569"/>
      <c r="L41" s="570"/>
      <c r="M41" s="569"/>
      <c r="N41" s="570"/>
      <c r="O41" s="569"/>
      <c r="P41" s="570"/>
      <c r="Q41" s="569"/>
      <c r="R41" s="571"/>
      <c r="S41" s="513">
        <f t="shared" si="5"/>
        <v>0</v>
      </c>
      <c r="T41" s="514">
        <f t="shared" si="14"/>
        <v>0</v>
      </c>
      <c r="U41" s="514">
        <f t="shared" si="15"/>
        <v>0</v>
      </c>
      <c r="V41" s="514">
        <f t="shared" si="16"/>
        <v>0</v>
      </c>
      <c r="W41" s="515">
        <f t="shared" si="17"/>
        <v>0</v>
      </c>
      <c r="X41" s="545"/>
      <c r="Y41" s="545"/>
      <c r="Z41" s="545"/>
      <c r="AA41" s="545"/>
      <c r="AB41" s="545"/>
      <c r="AC41" s="545"/>
    </row>
    <row r="42" spans="1:29" ht="44.4" customHeight="1">
      <c r="A42" s="12"/>
      <c r="B42" s="80"/>
      <c r="C42" s="97"/>
      <c r="D42" s="81"/>
      <c r="E42" s="42" t="s">
        <v>18</v>
      </c>
      <c r="F42" s="26"/>
      <c r="G42" s="582">
        <f>SUM(G11:H41)</f>
        <v>51</v>
      </c>
      <c r="H42" s="583"/>
      <c r="I42" s="582">
        <f>SUM(I11:J41)</f>
        <v>51</v>
      </c>
      <c r="J42" s="583"/>
      <c r="K42" s="582">
        <f>SUM(K11:L41)</f>
        <v>51</v>
      </c>
      <c r="L42" s="583"/>
      <c r="M42" s="582">
        <f>SUM(M11:N41)</f>
        <v>51</v>
      </c>
      <c r="N42" s="583"/>
      <c r="O42" s="582">
        <f>SUM(O11:P41)</f>
        <v>51</v>
      </c>
      <c r="P42" s="583"/>
      <c r="Q42" s="582">
        <f>SUM(Q11:R41)</f>
        <v>33</v>
      </c>
      <c r="R42" s="583"/>
      <c r="S42" s="27">
        <f>SUM(S11:S41)</f>
        <v>288</v>
      </c>
      <c r="T42" s="27">
        <f>SUM(T11:T41)</f>
        <v>0</v>
      </c>
      <c r="U42" s="27">
        <f>SUM(U11:U41)</f>
        <v>0</v>
      </c>
      <c r="V42" s="27">
        <f>SUM(V11:V41)</f>
        <v>0</v>
      </c>
      <c r="W42" s="27">
        <f>SUM(W11:W41)</f>
        <v>288</v>
      </c>
    </row>
    <row r="43" spans="1:29" ht="28.35" customHeight="1">
      <c r="A43" s="2"/>
      <c r="B43" s="20"/>
      <c r="C43" s="82"/>
      <c r="D43" s="81"/>
      <c r="E43" s="43" t="s">
        <v>19</v>
      </c>
      <c r="F43" s="28"/>
      <c r="G43" s="586">
        <f>IF(SUM(G11:H41)=0,"0",COUNT(G11:G41)-COUNTIF(G11:G41,0))</f>
        <v>6</v>
      </c>
      <c r="H43" s="586"/>
      <c r="I43" s="586">
        <f>IF(SUM(I11:J41)=0,"0",COUNT(I11:I41)-COUNTIF(I11:I41,0))</f>
        <v>6</v>
      </c>
      <c r="J43" s="586"/>
      <c r="K43" s="586">
        <f>IF(SUM(K11:L41)=0,"0",COUNT(K11:K41)-COUNTIF(K11:K41,0))</f>
        <v>6</v>
      </c>
      <c r="L43" s="586"/>
      <c r="M43" s="586">
        <f>IF(SUM(M11:N41)=0,"0",COUNT(M11:M41)-COUNTIF(M11:M41,0))</f>
        <v>6</v>
      </c>
      <c r="N43" s="586"/>
      <c r="O43" s="586">
        <f>IF(SUM(O11:P41)=0,"0",COUNT(O11:O41)-COUNTIF(O11:O41,0))</f>
        <v>6</v>
      </c>
      <c r="P43" s="586"/>
      <c r="Q43" s="586">
        <f>IF(SUM(Q11:R41)=0,"0",COUNT(Q11:Q41)-COUNTIF(Q11:Q41,0))</f>
        <v>6</v>
      </c>
      <c r="R43" s="586"/>
      <c r="S43" s="71"/>
      <c r="T43" s="13"/>
      <c r="U43" s="13"/>
      <c r="V43" s="13"/>
      <c r="W43" s="13"/>
    </row>
    <row r="44" spans="1:29" ht="12.75" customHeight="1">
      <c r="A44" s="2"/>
      <c r="B44" s="8" t="s">
        <v>22</v>
      </c>
      <c r="C44" s="14"/>
      <c r="D44" s="15"/>
      <c r="E44" s="64"/>
      <c r="F44" s="64"/>
      <c r="G44" s="16"/>
      <c r="H44" s="66"/>
      <c r="I44" s="16"/>
      <c r="J44" s="17"/>
      <c r="K44" s="18"/>
      <c r="L44" s="19"/>
      <c r="M44" s="65"/>
      <c r="N44" s="66"/>
      <c r="O44" s="16"/>
      <c r="P44" s="4"/>
      <c r="Q44" s="65"/>
      <c r="R44" s="70"/>
      <c r="S44" s="71"/>
      <c r="T44" s="13"/>
      <c r="U44" s="13"/>
      <c r="V44" s="13"/>
      <c r="W44" s="13"/>
    </row>
    <row r="45" spans="1:29" ht="12.75" customHeight="1">
      <c r="A45" s="2"/>
      <c r="B45" s="8"/>
      <c r="C45" s="62"/>
      <c r="D45" s="63"/>
      <c r="E45" s="64"/>
      <c r="F45" s="64"/>
      <c r="G45" s="65"/>
      <c r="H45" s="66"/>
      <c r="I45" s="65"/>
      <c r="J45" s="67"/>
      <c r="K45" s="68"/>
      <c r="L45" s="69"/>
      <c r="M45" s="65"/>
      <c r="N45" s="66"/>
      <c r="O45" s="65"/>
      <c r="P45" s="70"/>
      <c r="Q45" s="65"/>
      <c r="R45" s="70"/>
      <c r="S45" s="71"/>
      <c r="T45" s="71"/>
      <c r="U45" s="71"/>
      <c r="V45" s="71"/>
      <c r="W45" s="71"/>
    </row>
    <row r="46" spans="1:29" ht="12.75" customHeight="1">
      <c r="A46" s="21"/>
      <c r="B46" s="8" t="s">
        <v>23</v>
      </c>
      <c r="C46" s="74"/>
      <c r="D46" s="70"/>
      <c r="E46" s="64"/>
      <c r="F46" s="64"/>
      <c r="G46" s="65"/>
      <c r="H46" s="70"/>
      <c r="I46" s="75"/>
      <c r="J46" s="70"/>
      <c r="K46" s="75"/>
      <c r="L46" s="70"/>
      <c r="M46" s="584" t="s">
        <v>20</v>
      </c>
      <c r="N46" s="585"/>
      <c r="O46" s="585"/>
      <c r="P46" s="70"/>
      <c r="Q46" s="75"/>
      <c r="R46" s="70"/>
      <c r="S46" s="76"/>
      <c r="T46" s="72"/>
      <c r="U46" s="584" t="s">
        <v>21</v>
      </c>
      <c r="V46" s="585"/>
      <c r="W46" s="72"/>
    </row>
    <row r="47" spans="1:29" ht="12.75" customHeight="1">
      <c r="A47" s="22"/>
      <c r="B47" s="8" t="s">
        <v>24</v>
      </c>
      <c r="C47" s="77"/>
      <c r="D47" s="78"/>
      <c r="E47" s="64"/>
      <c r="F47" s="64"/>
      <c r="G47" s="65"/>
      <c r="H47" s="70"/>
      <c r="I47" s="70"/>
      <c r="J47" s="70"/>
      <c r="K47" s="70"/>
      <c r="L47" s="70"/>
      <c r="M47" s="70"/>
      <c r="N47" s="70"/>
      <c r="O47" s="70"/>
      <c r="P47" s="70"/>
      <c r="Q47" s="70"/>
      <c r="R47" s="70"/>
      <c r="S47" s="70"/>
      <c r="T47" s="70"/>
      <c r="U47" s="70"/>
      <c r="V47" s="70"/>
      <c r="W47" s="70"/>
      <c r="X47" s="70"/>
      <c r="Y47" s="70"/>
      <c r="Z47" s="70"/>
    </row>
    <row r="48" spans="1:29" ht="18.75" customHeight="1">
      <c r="A48" s="23"/>
      <c r="B48" s="8" t="s">
        <v>25</v>
      </c>
      <c r="C48" s="77"/>
      <c r="D48" s="78"/>
      <c r="E48" s="64"/>
      <c r="F48" s="64"/>
      <c r="G48" s="65"/>
      <c r="H48" s="70"/>
      <c r="I48" s="70"/>
      <c r="J48" s="70"/>
      <c r="K48" s="70"/>
      <c r="L48" s="70"/>
      <c r="M48" s="70"/>
      <c r="N48" s="70"/>
      <c r="O48" s="70"/>
      <c r="P48" s="70"/>
      <c r="Q48" s="70"/>
      <c r="R48" s="70"/>
      <c r="S48" s="70"/>
      <c r="T48" s="70"/>
      <c r="U48" s="70"/>
      <c r="V48" s="70"/>
      <c r="W48" s="70"/>
      <c r="X48" s="70"/>
      <c r="Y48" s="70"/>
      <c r="Z48" s="70"/>
    </row>
    <row r="49" spans="1:26" ht="12.75" customHeight="1">
      <c r="A49" s="90"/>
      <c r="B49" s="8" t="s">
        <v>26</v>
      </c>
      <c r="C49" s="77"/>
      <c r="D49" s="78"/>
      <c r="E49" s="64"/>
      <c r="F49" s="64"/>
      <c r="G49" s="65"/>
      <c r="H49" s="70"/>
      <c r="I49" s="70"/>
      <c r="J49" s="70"/>
      <c r="K49" s="70"/>
      <c r="L49" s="70"/>
      <c r="M49" s="70"/>
      <c r="N49" s="70"/>
      <c r="O49" s="70"/>
      <c r="P49" s="70"/>
      <c r="Q49" s="70"/>
      <c r="R49" s="70"/>
      <c r="S49" s="70"/>
      <c r="T49" s="70"/>
      <c r="U49" s="70"/>
      <c r="V49" s="70"/>
      <c r="W49" s="70"/>
      <c r="X49" s="70"/>
      <c r="Y49" s="70"/>
      <c r="Z49" s="70"/>
    </row>
    <row r="50" spans="1:26" ht="12.75" customHeight="1">
      <c r="A50" s="45"/>
      <c r="B50" s="8" t="s">
        <v>27</v>
      </c>
      <c r="C50" s="77"/>
      <c r="D50" s="78"/>
      <c r="E50" s="64"/>
      <c r="F50" s="64"/>
      <c r="G50" s="65"/>
      <c r="H50" s="70"/>
      <c r="I50" s="70"/>
      <c r="J50" s="70"/>
      <c r="K50" s="70"/>
      <c r="L50" s="70"/>
      <c r="M50" s="70"/>
      <c r="N50" s="70"/>
      <c r="O50" s="70"/>
      <c r="P50" s="70"/>
      <c r="Q50" s="70"/>
      <c r="R50" s="70"/>
      <c r="S50" s="70"/>
      <c r="T50" s="70"/>
      <c r="U50" s="70"/>
      <c r="V50" s="70"/>
      <c r="W50" s="70"/>
      <c r="X50" s="70"/>
      <c r="Y50" s="70"/>
      <c r="Z50" s="70"/>
    </row>
    <row r="51" spans="1:26" ht="12.75" customHeight="1">
      <c r="A51" s="24"/>
      <c r="B51" s="8" t="s">
        <v>28</v>
      </c>
      <c r="C51" s="77"/>
      <c r="D51" s="70"/>
      <c r="E51" s="70"/>
      <c r="F51" s="70"/>
      <c r="G51" s="75"/>
      <c r="H51" s="70"/>
      <c r="I51" s="70"/>
      <c r="J51" s="70"/>
      <c r="K51" s="70"/>
      <c r="L51" s="70"/>
      <c r="M51" s="70"/>
      <c r="N51" s="70"/>
      <c r="O51" s="70"/>
      <c r="P51" s="70"/>
      <c r="Q51" s="70"/>
      <c r="R51" s="70"/>
      <c r="S51" s="70"/>
      <c r="T51" s="70"/>
      <c r="U51" s="70"/>
      <c r="V51" s="70"/>
      <c r="W51" s="70"/>
      <c r="X51" s="70"/>
      <c r="Y51" s="70"/>
      <c r="Z51" s="70"/>
    </row>
    <row r="52" spans="1:26" ht="12.75" customHeight="1">
      <c r="A52" s="25"/>
      <c r="B52" s="8" t="s">
        <v>29</v>
      </c>
      <c r="C52" s="77"/>
      <c r="D52" s="70"/>
      <c r="E52" s="70"/>
      <c r="F52" s="70"/>
      <c r="G52" s="75"/>
      <c r="H52" s="70"/>
      <c r="I52" s="70"/>
      <c r="J52" s="70"/>
      <c r="K52" s="70"/>
      <c r="L52" s="70"/>
      <c r="M52" s="70"/>
      <c r="N52" s="70"/>
      <c r="O52" s="70"/>
      <c r="P52" s="70"/>
      <c r="Q52" s="70"/>
      <c r="R52" s="70"/>
      <c r="S52" s="70"/>
      <c r="T52" s="70"/>
      <c r="U52" s="70"/>
      <c r="V52" s="70"/>
      <c r="W52" s="70"/>
      <c r="X52" s="70"/>
      <c r="Y52" s="70"/>
      <c r="Z52" s="70"/>
    </row>
    <row r="53" spans="1:26" ht="12.75" customHeight="1">
      <c r="A53" s="89"/>
      <c r="B53" s="8" t="s">
        <v>57</v>
      </c>
      <c r="C53" s="77"/>
      <c r="D53" s="70"/>
      <c r="E53" s="70"/>
      <c r="F53" s="70"/>
      <c r="G53" s="75"/>
      <c r="H53" s="70"/>
      <c r="I53" s="75"/>
      <c r="J53" s="70"/>
      <c r="K53" s="75"/>
      <c r="L53" s="70"/>
      <c r="M53" s="75"/>
      <c r="N53" s="70"/>
      <c r="O53" s="75"/>
      <c r="P53" s="70"/>
      <c r="Q53" s="75"/>
      <c r="R53" s="70"/>
      <c r="S53" s="72"/>
      <c r="T53" s="72"/>
      <c r="U53" s="72"/>
      <c r="V53" s="72"/>
      <c r="W53" s="72"/>
    </row>
    <row r="54" spans="1:26" ht="12.75" customHeight="1">
      <c r="A54" s="93"/>
      <c r="B54" s="2" t="s">
        <v>68</v>
      </c>
      <c r="C54" s="77"/>
      <c r="D54" s="75"/>
      <c r="E54" s="70"/>
      <c r="F54" s="70"/>
      <c r="G54" s="75"/>
      <c r="H54" s="70"/>
      <c r="I54" s="75" t="s">
        <v>63</v>
      </c>
      <c r="J54" s="70"/>
      <c r="K54" s="75"/>
      <c r="L54" s="70"/>
      <c r="M54" s="75"/>
      <c r="N54" s="70"/>
      <c r="O54" s="75"/>
      <c r="P54" s="70"/>
      <c r="Q54" s="75"/>
      <c r="R54" s="70"/>
      <c r="S54" s="72"/>
      <c r="T54" s="72"/>
      <c r="U54" s="72"/>
      <c r="V54" s="72"/>
      <c r="W54" s="72"/>
    </row>
    <row r="55" spans="1:26" ht="12.75" customHeight="1">
      <c r="A55" s="92"/>
      <c r="B55" s="2" t="s">
        <v>67</v>
      </c>
      <c r="C55" s="77"/>
      <c r="D55" s="75"/>
      <c r="E55" s="70"/>
      <c r="F55" s="70"/>
      <c r="G55" s="75"/>
      <c r="H55" s="70"/>
      <c r="I55" s="75" t="s">
        <v>63</v>
      </c>
      <c r="J55" s="70"/>
      <c r="K55" s="75"/>
      <c r="L55" s="70"/>
      <c r="M55" s="75"/>
      <c r="N55" s="70"/>
      <c r="O55" s="75"/>
      <c r="P55" s="70"/>
      <c r="Q55" s="75"/>
      <c r="R55" s="70"/>
      <c r="S55" s="72"/>
      <c r="T55" s="72"/>
      <c r="U55" s="72"/>
      <c r="V55" s="72"/>
      <c r="W55" s="72"/>
    </row>
    <row r="56" spans="1:26" ht="12.75" customHeight="1">
      <c r="A56" s="2"/>
      <c r="B56" s="2"/>
      <c r="C56" s="77"/>
      <c r="D56" s="79"/>
      <c r="E56" s="70"/>
      <c r="F56" s="70"/>
      <c r="G56" s="75"/>
      <c r="H56" s="70"/>
      <c r="I56" s="75"/>
      <c r="J56" s="70"/>
      <c r="K56" s="75"/>
      <c r="L56" s="70"/>
      <c r="M56" s="75"/>
      <c r="N56" s="70"/>
      <c r="O56" s="75"/>
      <c r="P56" s="70"/>
      <c r="Q56" s="75"/>
      <c r="R56" s="70"/>
      <c r="S56" s="72"/>
      <c r="T56" s="72"/>
      <c r="U56" s="72"/>
      <c r="V56" s="72"/>
      <c r="W56" s="72"/>
    </row>
    <row r="57" spans="1:26" s="73" customFormat="1" ht="12.75" customHeight="1">
      <c r="A57" s="2"/>
      <c r="B57" s="2"/>
      <c r="C57" s="72"/>
      <c r="D57" s="70"/>
      <c r="E57" s="70"/>
      <c r="F57" s="70"/>
      <c r="G57" s="75"/>
      <c r="H57" s="70"/>
      <c r="I57" s="75"/>
      <c r="J57" s="70"/>
      <c r="K57" s="75"/>
      <c r="L57" s="70"/>
      <c r="M57" s="75"/>
      <c r="N57" s="70"/>
      <c r="O57" s="75"/>
      <c r="P57" s="70"/>
      <c r="Q57" s="75"/>
      <c r="R57" s="70"/>
      <c r="S57" s="72"/>
      <c r="T57" s="72"/>
      <c r="U57" s="72"/>
      <c r="V57" s="72"/>
      <c r="W57" s="72"/>
    </row>
    <row r="58" spans="1:26" s="73" customFormat="1" ht="12.75" customHeight="1">
      <c r="A58" s="2"/>
      <c r="B58" s="2"/>
      <c r="C58" s="72"/>
      <c r="D58" s="70"/>
      <c r="E58" s="70"/>
      <c r="F58" s="70"/>
      <c r="G58" s="75"/>
      <c r="H58" s="70"/>
      <c r="I58" s="75"/>
      <c r="J58" s="70"/>
      <c r="K58" s="75"/>
      <c r="L58" s="70"/>
      <c r="M58" s="75"/>
      <c r="N58" s="70"/>
      <c r="O58" s="75"/>
      <c r="P58" s="70"/>
      <c r="Q58" s="75"/>
      <c r="R58" s="70"/>
      <c r="S58" s="72"/>
      <c r="T58" s="72"/>
      <c r="U58" s="72"/>
      <c r="V58" s="72"/>
      <c r="W58" s="72"/>
    </row>
    <row r="59" spans="1:26" s="73" customFormat="1" ht="12.75" customHeight="1">
      <c r="A59" s="2"/>
      <c r="B59" s="2"/>
      <c r="C59" s="72"/>
      <c r="D59" s="70"/>
      <c r="E59" s="70"/>
      <c r="F59" s="70"/>
      <c r="G59" s="75"/>
      <c r="H59" s="70"/>
      <c r="I59" s="75"/>
      <c r="J59" s="70"/>
      <c r="K59" s="75"/>
      <c r="L59" s="70"/>
      <c r="M59" s="75"/>
      <c r="N59" s="70"/>
      <c r="O59" s="75"/>
      <c r="P59" s="70"/>
      <c r="Q59" s="75"/>
      <c r="R59" s="70"/>
      <c r="S59" s="72"/>
      <c r="T59" s="72"/>
      <c r="U59" s="72"/>
      <c r="V59" s="72"/>
      <c r="W59" s="72"/>
    </row>
    <row r="60" spans="1:26" s="73" customFormat="1" ht="12.75" customHeight="1">
      <c r="A60" s="2"/>
      <c r="B60" s="2"/>
      <c r="C60" s="72"/>
      <c r="D60" s="70"/>
      <c r="E60" s="70"/>
      <c r="F60" s="70"/>
      <c r="G60" s="75"/>
      <c r="H60" s="70"/>
      <c r="I60" s="75"/>
      <c r="J60" s="70"/>
      <c r="K60" s="75"/>
      <c r="L60" s="70"/>
      <c r="M60" s="75"/>
      <c r="N60" s="70"/>
      <c r="O60" s="75"/>
      <c r="P60" s="70"/>
      <c r="Q60" s="75"/>
      <c r="R60" s="70"/>
      <c r="S60" s="72"/>
      <c r="T60" s="72"/>
      <c r="U60" s="72"/>
      <c r="V60" s="72"/>
      <c r="W60" s="72"/>
    </row>
    <row r="61" spans="1:26" s="73" customFormat="1" ht="12.75" customHeight="1">
      <c r="A61" s="2"/>
      <c r="B61" s="2"/>
      <c r="C61" s="2"/>
      <c r="D61" s="4"/>
      <c r="E61" s="4"/>
      <c r="F61" s="4"/>
      <c r="G61" s="3"/>
      <c r="H61" s="4"/>
      <c r="I61" s="3"/>
      <c r="J61" s="4"/>
      <c r="K61" s="3"/>
      <c r="L61" s="4"/>
      <c r="M61" s="75"/>
      <c r="N61" s="70"/>
      <c r="O61" s="3"/>
      <c r="P61" s="4"/>
      <c r="Q61" s="75"/>
      <c r="R61" s="70"/>
      <c r="S61" s="2"/>
      <c r="T61" s="2"/>
      <c r="U61" s="2"/>
      <c r="V61" s="2"/>
      <c r="W61" s="2"/>
    </row>
    <row r="62" spans="1:26" s="73" customFormat="1" ht="12.75" customHeight="1">
      <c r="A62" s="2"/>
      <c r="B62" s="2"/>
      <c r="C62" s="2"/>
      <c r="D62" s="4"/>
      <c r="E62" s="4"/>
      <c r="F62" s="4"/>
      <c r="G62" s="3"/>
      <c r="H62" s="4"/>
      <c r="I62" s="3"/>
      <c r="J62" s="4"/>
      <c r="K62" s="3"/>
      <c r="L62" s="4"/>
      <c r="M62" s="75"/>
      <c r="N62" s="70"/>
      <c r="O62" s="3"/>
      <c r="P62" s="4"/>
      <c r="Q62" s="75"/>
      <c r="R62" s="70"/>
      <c r="S62" s="2"/>
      <c r="T62" s="2"/>
      <c r="U62" s="2"/>
      <c r="V62" s="2"/>
      <c r="W62" s="2"/>
    </row>
    <row r="63" spans="1:26" s="73" customFormat="1" ht="12.75" customHeight="1">
      <c r="A63" s="2"/>
      <c r="B63" s="2"/>
      <c r="C63" s="2"/>
      <c r="D63" s="4"/>
      <c r="E63" s="4"/>
      <c r="F63" s="4"/>
      <c r="G63" s="3"/>
      <c r="H63" s="4"/>
      <c r="I63" s="3"/>
      <c r="J63" s="4"/>
      <c r="K63" s="3"/>
      <c r="L63" s="4"/>
      <c r="M63" s="75"/>
      <c r="N63" s="70"/>
      <c r="O63" s="3"/>
      <c r="P63" s="4"/>
      <c r="Q63" s="75"/>
      <c r="R63" s="70"/>
      <c r="S63" s="2"/>
      <c r="T63" s="2"/>
      <c r="U63" s="2"/>
      <c r="V63" s="2"/>
      <c r="W63" s="2"/>
    </row>
    <row r="64" spans="1:26" s="73" customFormat="1" ht="12.75" customHeight="1">
      <c r="A64" s="2"/>
      <c r="B64" s="2"/>
      <c r="C64" s="2"/>
      <c r="D64" s="4"/>
      <c r="E64" s="4"/>
      <c r="F64" s="4"/>
      <c r="G64" s="3"/>
      <c r="H64" s="4"/>
      <c r="I64" s="3"/>
      <c r="J64" s="4"/>
      <c r="K64" s="3"/>
      <c r="L64" s="4"/>
      <c r="M64" s="75"/>
      <c r="N64" s="70"/>
      <c r="O64" s="3"/>
      <c r="P64" s="4"/>
      <c r="Q64" s="75"/>
      <c r="R64" s="70"/>
      <c r="S64" s="2"/>
      <c r="T64" s="2"/>
      <c r="U64" s="2"/>
      <c r="V64" s="2"/>
      <c r="W64" s="2"/>
    </row>
    <row r="65" spans="1:23" s="73" customFormat="1" ht="12.75" customHeight="1">
      <c r="A65" s="2"/>
      <c r="B65" s="2"/>
      <c r="C65" s="2"/>
      <c r="D65" s="4"/>
      <c r="E65" s="4"/>
      <c r="F65" s="4"/>
      <c r="G65" s="3"/>
      <c r="H65" s="4"/>
      <c r="I65" s="3"/>
      <c r="J65" s="4"/>
      <c r="K65" s="3"/>
      <c r="L65" s="4"/>
      <c r="M65" s="75"/>
      <c r="N65" s="70"/>
      <c r="O65" s="3"/>
      <c r="P65" s="4"/>
      <c r="Q65" s="75"/>
      <c r="R65" s="70"/>
      <c r="S65" s="2"/>
      <c r="T65" s="2"/>
      <c r="U65" s="2"/>
      <c r="V65" s="2"/>
      <c r="W65" s="2"/>
    </row>
    <row r="66" spans="1:23" s="73" customFormat="1" ht="12.75" customHeight="1">
      <c r="A66" s="2"/>
      <c r="B66" s="2"/>
      <c r="C66" s="2"/>
      <c r="D66" s="4"/>
      <c r="E66" s="4"/>
      <c r="F66" s="4"/>
      <c r="G66" s="3"/>
      <c r="H66" s="4"/>
      <c r="I66" s="3"/>
      <c r="J66" s="4"/>
      <c r="K66" s="3"/>
      <c r="L66" s="4"/>
      <c r="M66" s="75"/>
      <c r="N66" s="70"/>
      <c r="O66" s="3"/>
      <c r="P66" s="4"/>
      <c r="Q66" s="75"/>
      <c r="R66" s="70"/>
      <c r="S66" s="2"/>
      <c r="T66" s="2"/>
      <c r="U66" s="2"/>
      <c r="V66" s="2"/>
      <c r="W66" s="2"/>
    </row>
    <row r="67" spans="1:23" s="73" customFormat="1" ht="12.75" customHeight="1">
      <c r="A67" s="2"/>
      <c r="B67" s="2"/>
      <c r="C67" s="2"/>
      <c r="D67" s="4"/>
      <c r="E67" s="4"/>
      <c r="F67" s="4"/>
      <c r="G67" s="3"/>
      <c r="H67" s="4"/>
      <c r="I67" s="3"/>
      <c r="J67" s="4"/>
      <c r="K67" s="3"/>
      <c r="L67" s="4"/>
      <c r="M67" s="75"/>
      <c r="N67" s="70"/>
      <c r="O67" s="3"/>
      <c r="P67" s="4"/>
      <c r="Q67" s="75"/>
      <c r="R67" s="70"/>
      <c r="S67" s="2"/>
      <c r="T67" s="2"/>
      <c r="U67" s="2"/>
      <c r="V67" s="2"/>
      <c r="W67" s="2"/>
    </row>
    <row r="68" spans="1:23" s="73" customFormat="1" ht="12.75" customHeight="1">
      <c r="A68" s="2"/>
      <c r="B68" s="2"/>
      <c r="C68" s="2"/>
      <c r="D68" s="4"/>
      <c r="E68" s="4"/>
      <c r="F68" s="4"/>
      <c r="G68" s="3"/>
      <c r="H68" s="4"/>
      <c r="I68" s="3"/>
      <c r="J68" s="4"/>
      <c r="K68" s="3"/>
      <c r="L68" s="4"/>
      <c r="M68" s="75"/>
      <c r="N68" s="70"/>
      <c r="O68" s="3"/>
      <c r="P68" s="4"/>
      <c r="Q68" s="75"/>
      <c r="R68" s="70"/>
      <c r="S68" s="2"/>
      <c r="T68" s="2"/>
      <c r="U68" s="2"/>
      <c r="V68" s="2"/>
      <c r="W68" s="2"/>
    </row>
    <row r="69" spans="1:23" s="73" customFormat="1" ht="12.75" customHeight="1">
      <c r="A69" s="2"/>
      <c r="B69" s="2"/>
      <c r="C69" s="2"/>
      <c r="D69" s="4"/>
      <c r="E69" s="4"/>
      <c r="F69" s="4"/>
      <c r="G69" s="3"/>
      <c r="H69" s="4"/>
      <c r="I69" s="3"/>
      <c r="J69" s="4"/>
      <c r="K69" s="3"/>
      <c r="L69" s="4"/>
      <c r="M69" s="75"/>
      <c r="N69" s="70"/>
      <c r="O69" s="3"/>
      <c r="P69" s="4"/>
      <c r="Q69" s="75"/>
      <c r="R69" s="70"/>
      <c r="S69" s="2"/>
      <c r="T69" s="2"/>
      <c r="U69" s="2"/>
      <c r="V69" s="2"/>
      <c r="W69" s="2"/>
    </row>
    <row r="70" spans="1:23" s="73" customFormat="1" ht="12.75" customHeight="1">
      <c r="A70" s="2"/>
      <c r="B70" s="2"/>
      <c r="C70" s="2"/>
      <c r="D70" s="4"/>
      <c r="E70" s="4"/>
      <c r="F70" s="4"/>
      <c r="G70" s="3"/>
      <c r="H70" s="4"/>
      <c r="I70" s="3"/>
      <c r="J70" s="4"/>
      <c r="K70" s="3"/>
      <c r="L70" s="4"/>
      <c r="M70" s="75"/>
      <c r="N70" s="70"/>
      <c r="O70" s="3"/>
      <c r="P70" s="4"/>
      <c r="Q70" s="75"/>
      <c r="R70" s="70"/>
      <c r="S70" s="2"/>
      <c r="T70" s="2"/>
      <c r="U70" s="2"/>
      <c r="V70" s="2"/>
      <c r="W70" s="2"/>
    </row>
    <row r="71" spans="1:23" s="73" customFormat="1" ht="12.75" customHeight="1">
      <c r="A71" s="2"/>
      <c r="B71" s="2"/>
      <c r="C71" s="2"/>
      <c r="D71" s="4"/>
      <c r="E71" s="4"/>
      <c r="F71" s="4"/>
      <c r="G71" s="3"/>
      <c r="H71" s="4"/>
      <c r="I71" s="3"/>
      <c r="J71" s="4"/>
      <c r="K71" s="3"/>
      <c r="L71" s="4"/>
      <c r="M71" s="75"/>
      <c r="N71" s="70"/>
      <c r="O71" s="3"/>
      <c r="P71" s="4"/>
      <c r="Q71" s="75"/>
      <c r="R71" s="70"/>
      <c r="S71" s="2"/>
      <c r="T71" s="2"/>
      <c r="U71" s="2"/>
      <c r="V71" s="2"/>
      <c r="W71" s="2"/>
    </row>
    <row r="72" spans="1:23" s="73" customFormat="1" ht="12.75" customHeight="1">
      <c r="A72" s="2"/>
      <c r="B72" s="2"/>
      <c r="C72" s="2"/>
      <c r="D72" s="4"/>
      <c r="E72" s="4"/>
      <c r="F72" s="4"/>
      <c r="G72" s="3"/>
      <c r="H72" s="4"/>
      <c r="I72" s="3"/>
      <c r="J72" s="4"/>
      <c r="K72" s="3"/>
      <c r="L72" s="4"/>
      <c r="M72" s="75"/>
      <c r="N72" s="70"/>
      <c r="O72" s="3"/>
      <c r="P72" s="4"/>
      <c r="Q72" s="75"/>
      <c r="R72" s="70"/>
      <c r="S72" s="2"/>
      <c r="T72" s="2"/>
      <c r="U72" s="2"/>
      <c r="V72" s="2"/>
      <c r="W72" s="2"/>
    </row>
    <row r="73" spans="1:23" s="73" customFormat="1" ht="12.75" customHeight="1">
      <c r="A73" s="2"/>
      <c r="B73" s="2"/>
      <c r="C73" s="2"/>
      <c r="D73" s="4"/>
      <c r="E73" s="4"/>
      <c r="F73" s="4"/>
      <c r="G73" s="3"/>
      <c r="H73" s="4"/>
      <c r="I73" s="3"/>
      <c r="J73" s="4"/>
      <c r="K73" s="3"/>
      <c r="L73" s="4"/>
      <c r="M73" s="75"/>
      <c r="N73" s="70"/>
      <c r="O73" s="3"/>
      <c r="P73" s="4"/>
      <c r="Q73" s="75"/>
      <c r="R73" s="70"/>
      <c r="S73" s="2"/>
      <c r="T73" s="2"/>
      <c r="U73" s="2"/>
      <c r="V73" s="2"/>
      <c r="W73" s="2"/>
    </row>
    <row r="74" spans="1:23" s="73" customFormat="1" ht="12.75" customHeight="1">
      <c r="A74" s="2"/>
      <c r="B74" s="2"/>
      <c r="C74" s="2"/>
      <c r="D74" s="4"/>
      <c r="E74" s="4"/>
      <c r="F74" s="4"/>
      <c r="G74" s="3"/>
      <c r="H74" s="4"/>
      <c r="I74" s="3"/>
      <c r="J74" s="4"/>
      <c r="K74" s="3"/>
      <c r="L74" s="4"/>
      <c r="M74" s="75"/>
      <c r="N74" s="70"/>
      <c r="O74" s="3"/>
      <c r="P74" s="4"/>
      <c r="Q74" s="75"/>
      <c r="R74" s="70"/>
      <c r="S74" s="2"/>
      <c r="T74" s="2"/>
      <c r="U74" s="2"/>
      <c r="V74" s="2"/>
      <c r="W74" s="2"/>
    </row>
    <row r="75" spans="1:23" s="73" customFormat="1" ht="12.75" customHeight="1">
      <c r="A75" s="2"/>
      <c r="B75" s="2"/>
      <c r="C75" s="2"/>
      <c r="D75" s="4"/>
      <c r="E75" s="4"/>
      <c r="F75" s="4"/>
      <c r="G75" s="3"/>
      <c r="H75" s="4"/>
      <c r="I75" s="3"/>
      <c r="J75" s="4"/>
      <c r="K75" s="3"/>
      <c r="L75" s="4"/>
      <c r="M75" s="75"/>
      <c r="N75" s="70"/>
      <c r="O75" s="3"/>
      <c r="P75" s="4"/>
      <c r="Q75" s="75"/>
      <c r="R75" s="70"/>
      <c r="S75" s="2"/>
      <c r="T75" s="2"/>
      <c r="U75" s="2"/>
      <c r="V75" s="2"/>
      <c r="W75" s="2"/>
    </row>
    <row r="76" spans="1:23" s="73" customFormat="1" ht="12.75" customHeight="1">
      <c r="A76" s="2"/>
      <c r="B76" s="2"/>
      <c r="C76" s="2"/>
      <c r="D76" s="4"/>
      <c r="E76" s="4"/>
      <c r="F76" s="4"/>
      <c r="G76" s="3"/>
      <c r="H76" s="4"/>
      <c r="I76" s="3"/>
      <c r="J76" s="4"/>
      <c r="K76" s="3"/>
      <c r="L76" s="4"/>
      <c r="M76" s="75"/>
      <c r="N76" s="70"/>
      <c r="O76" s="3"/>
      <c r="P76" s="4"/>
      <c r="Q76" s="75"/>
      <c r="R76" s="70"/>
      <c r="S76" s="2"/>
      <c r="T76" s="2"/>
      <c r="U76" s="2"/>
      <c r="V76" s="2"/>
      <c r="W76" s="2"/>
    </row>
    <row r="77" spans="1:23" s="73" customFormat="1" ht="12.75" customHeight="1">
      <c r="A77" s="2"/>
      <c r="B77" s="2"/>
      <c r="C77" s="2"/>
      <c r="D77" s="4"/>
      <c r="E77" s="4"/>
      <c r="F77" s="4"/>
      <c r="G77" s="3"/>
      <c r="H77" s="4"/>
      <c r="I77" s="3"/>
      <c r="J77" s="4"/>
      <c r="K77" s="3"/>
      <c r="L77" s="4"/>
      <c r="M77" s="75"/>
      <c r="N77" s="70"/>
      <c r="O77" s="3"/>
      <c r="P77" s="4"/>
      <c r="Q77" s="75"/>
      <c r="R77" s="70"/>
      <c r="S77" s="2"/>
      <c r="T77" s="2"/>
      <c r="U77" s="2"/>
      <c r="V77" s="2"/>
      <c r="W77" s="2"/>
    </row>
    <row r="78" spans="1:23" s="73" customFormat="1" ht="12.75" customHeight="1">
      <c r="A78" s="2"/>
      <c r="B78" s="2"/>
      <c r="C78" s="2"/>
      <c r="D78" s="4"/>
      <c r="E78" s="4"/>
      <c r="F78" s="4"/>
      <c r="G78" s="3"/>
      <c r="H78" s="4"/>
      <c r="I78" s="3"/>
      <c r="J78" s="4"/>
      <c r="K78" s="3"/>
      <c r="L78" s="4"/>
      <c r="M78" s="75"/>
      <c r="N78" s="70"/>
      <c r="O78" s="3"/>
      <c r="P78" s="4"/>
      <c r="Q78" s="75"/>
      <c r="R78" s="70"/>
      <c r="S78" s="2"/>
      <c r="T78" s="2"/>
      <c r="U78" s="2"/>
      <c r="V78" s="2"/>
      <c r="W78" s="2"/>
    </row>
    <row r="79" spans="1:23" s="73" customFormat="1" ht="12.75" customHeight="1">
      <c r="A79" s="2"/>
      <c r="B79" s="2"/>
      <c r="C79" s="2"/>
      <c r="D79" s="4"/>
      <c r="E79" s="4"/>
      <c r="F79" s="4"/>
      <c r="G79" s="3"/>
      <c r="H79" s="4"/>
      <c r="I79" s="3"/>
      <c r="J79" s="4"/>
      <c r="K79" s="3"/>
      <c r="L79" s="4"/>
      <c r="M79" s="75"/>
      <c r="N79" s="70"/>
      <c r="O79" s="3"/>
      <c r="P79" s="4"/>
      <c r="Q79" s="75"/>
      <c r="R79" s="70"/>
      <c r="S79" s="2"/>
      <c r="T79" s="2"/>
      <c r="U79" s="2"/>
      <c r="V79" s="2"/>
      <c r="W79" s="2"/>
    </row>
    <row r="80" spans="1:23" s="73" customFormat="1" ht="12.75" customHeight="1">
      <c r="A80" s="2"/>
      <c r="B80" s="2"/>
      <c r="C80" s="2"/>
      <c r="D80" s="4"/>
      <c r="E80" s="4"/>
      <c r="F80" s="4"/>
      <c r="G80" s="3"/>
      <c r="H80" s="4"/>
      <c r="I80" s="3"/>
      <c r="J80" s="4"/>
      <c r="K80" s="3"/>
      <c r="L80" s="4"/>
      <c r="M80" s="75"/>
      <c r="N80" s="70"/>
      <c r="O80" s="3"/>
      <c r="P80" s="4"/>
      <c r="Q80" s="75"/>
      <c r="R80" s="70"/>
      <c r="S80" s="2"/>
      <c r="T80" s="2"/>
      <c r="U80" s="2"/>
      <c r="V80" s="2"/>
      <c r="W80" s="2"/>
    </row>
    <row r="81" spans="1:23" s="73" customFormat="1" ht="12.75" customHeight="1">
      <c r="A81" s="2"/>
      <c r="B81" s="2"/>
      <c r="C81" s="2"/>
      <c r="D81" s="4"/>
      <c r="E81" s="4"/>
      <c r="F81" s="4"/>
      <c r="G81" s="3"/>
      <c r="H81" s="4"/>
      <c r="I81" s="3"/>
      <c r="J81" s="4"/>
      <c r="K81" s="3"/>
      <c r="L81" s="4"/>
      <c r="M81" s="75"/>
      <c r="N81" s="70"/>
      <c r="O81" s="3"/>
      <c r="P81" s="4"/>
      <c r="Q81" s="75"/>
      <c r="R81" s="70"/>
      <c r="S81" s="2"/>
      <c r="T81" s="2"/>
      <c r="U81" s="2"/>
      <c r="V81" s="2"/>
      <c r="W81" s="2"/>
    </row>
    <row r="82" spans="1:23" s="73" customFormat="1" ht="12.75" customHeight="1">
      <c r="A82" s="2"/>
      <c r="B82" s="2"/>
      <c r="C82" s="2"/>
      <c r="D82" s="4"/>
      <c r="E82" s="4"/>
      <c r="F82" s="4"/>
      <c r="G82" s="3"/>
      <c r="H82" s="4"/>
      <c r="I82" s="3"/>
      <c r="J82" s="4"/>
      <c r="K82" s="3"/>
      <c r="L82" s="4"/>
      <c r="M82" s="75"/>
      <c r="N82" s="70"/>
      <c r="O82" s="3"/>
      <c r="P82" s="4"/>
      <c r="Q82" s="75"/>
      <c r="R82" s="70"/>
      <c r="S82" s="2"/>
      <c r="T82" s="2"/>
      <c r="U82" s="2"/>
      <c r="V82" s="2"/>
      <c r="W82" s="2"/>
    </row>
    <row r="83" spans="1:23" s="73" customFormat="1" ht="12.75" customHeight="1">
      <c r="A83" s="2"/>
      <c r="B83" s="2"/>
      <c r="C83" s="2"/>
      <c r="D83" s="4"/>
      <c r="E83" s="4"/>
      <c r="F83" s="4"/>
      <c r="G83" s="3"/>
      <c r="H83" s="4"/>
      <c r="I83" s="3"/>
      <c r="J83" s="4"/>
      <c r="K83" s="3"/>
      <c r="L83" s="4"/>
      <c r="M83" s="75"/>
      <c r="N83" s="70"/>
      <c r="O83" s="3"/>
      <c r="P83" s="4"/>
      <c r="Q83" s="75"/>
      <c r="R83" s="70"/>
      <c r="S83" s="2"/>
      <c r="T83" s="2"/>
      <c r="U83" s="2"/>
      <c r="V83" s="2"/>
      <c r="W83" s="2"/>
    </row>
    <row r="84" spans="1:23" s="73" customFormat="1" ht="12.75" customHeight="1">
      <c r="A84" s="2"/>
      <c r="B84" s="2"/>
      <c r="C84" s="2"/>
      <c r="D84" s="4"/>
      <c r="E84" s="4"/>
      <c r="F84" s="4"/>
      <c r="G84" s="3"/>
      <c r="H84" s="4"/>
      <c r="I84" s="3"/>
      <c r="J84" s="4"/>
      <c r="K84" s="3"/>
      <c r="L84" s="4"/>
      <c r="M84" s="75"/>
      <c r="N84" s="70"/>
      <c r="O84" s="3"/>
      <c r="P84" s="4"/>
      <c r="Q84" s="75"/>
      <c r="R84" s="70"/>
      <c r="S84" s="2"/>
      <c r="T84" s="2"/>
      <c r="U84" s="2"/>
      <c r="V84" s="2"/>
      <c r="W84" s="2"/>
    </row>
    <row r="85" spans="1:23" s="73" customFormat="1" ht="12.75" customHeight="1">
      <c r="A85" s="2"/>
      <c r="B85" s="2"/>
      <c r="C85" s="2"/>
      <c r="D85" s="4"/>
      <c r="E85" s="4"/>
      <c r="F85" s="4"/>
      <c r="G85" s="3"/>
      <c r="H85" s="4"/>
      <c r="I85" s="3"/>
      <c r="J85" s="4"/>
      <c r="K85" s="3"/>
      <c r="L85" s="4"/>
      <c r="M85" s="75"/>
      <c r="N85" s="70"/>
      <c r="O85" s="3"/>
      <c r="P85" s="4"/>
      <c r="Q85" s="75"/>
      <c r="R85" s="70"/>
      <c r="S85" s="2"/>
      <c r="T85" s="2"/>
      <c r="U85" s="2"/>
      <c r="V85" s="2"/>
      <c r="W85" s="2"/>
    </row>
    <row r="86" spans="1:23" s="73" customFormat="1" ht="12.75" customHeight="1">
      <c r="A86" s="2"/>
      <c r="B86" s="2"/>
      <c r="C86" s="2"/>
      <c r="D86" s="4"/>
      <c r="E86" s="4"/>
      <c r="F86" s="4"/>
      <c r="G86" s="3"/>
      <c r="H86" s="4"/>
      <c r="I86" s="3"/>
      <c r="J86" s="4"/>
      <c r="K86" s="3"/>
      <c r="L86" s="4"/>
      <c r="M86" s="75"/>
      <c r="N86" s="70"/>
      <c r="O86" s="3"/>
      <c r="P86" s="4"/>
      <c r="Q86" s="75"/>
      <c r="R86" s="70"/>
      <c r="S86" s="2"/>
      <c r="T86" s="2"/>
      <c r="U86" s="2"/>
      <c r="V86" s="2"/>
      <c r="W86" s="2"/>
    </row>
    <row r="87" spans="1:23" s="73" customFormat="1" ht="12.75" customHeight="1">
      <c r="A87" s="2"/>
      <c r="B87" s="2"/>
      <c r="C87" s="2"/>
      <c r="D87" s="4"/>
      <c r="E87" s="4"/>
      <c r="F87" s="4"/>
      <c r="G87" s="3"/>
      <c r="H87" s="4"/>
      <c r="I87" s="3"/>
      <c r="J87" s="4"/>
      <c r="K87" s="3"/>
      <c r="L87" s="4"/>
      <c r="M87" s="75"/>
      <c r="N87" s="70"/>
      <c r="O87" s="3"/>
      <c r="P87" s="4"/>
      <c r="Q87" s="75"/>
      <c r="R87" s="70"/>
      <c r="S87" s="2"/>
      <c r="T87" s="2"/>
      <c r="U87" s="2"/>
      <c r="V87" s="2"/>
      <c r="W87" s="2"/>
    </row>
    <row r="88" spans="1:23" s="73" customFormat="1" ht="12.75" customHeight="1">
      <c r="A88" s="2"/>
      <c r="B88" s="2"/>
      <c r="C88" s="2"/>
      <c r="D88" s="4"/>
      <c r="E88" s="4"/>
      <c r="F88" s="4"/>
      <c r="G88" s="3"/>
      <c r="H88" s="4"/>
      <c r="I88" s="3"/>
      <c r="J88" s="4"/>
      <c r="K88" s="3"/>
      <c r="L88" s="4"/>
      <c r="M88" s="75"/>
      <c r="N88" s="70"/>
      <c r="O88" s="3"/>
      <c r="P88" s="4"/>
      <c r="Q88" s="75"/>
      <c r="R88" s="70"/>
      <c r="S88" s="2"/>
      <c r="T88" s="2"/>
      <c r="U88" s="2"/>
      <c r="V88" s="2"/>
      <c r="W88" s="2"/>
    </row>
    <row r="89" spans="1:23" s="73" customFormat="1" ht="12.75" customHeight="1">
      <c r="A89" s="2"/>
      <c r="B89" s="2"/>
      <c r="C89" s="2"/>
      <c r="D89" s="4"/>
      <c r="E89" s="4"/>
      <c r="F89" s="4"/>
      <c r="G89" s="3"/>
      <c r="H89" s="4"/>
      <c r="I89" s="3"/>
      <c r="J89" s="4"/>
      <c r="K89" s="3"/>
      <c r="L89" s="4"/>
      <c r="M89" s="75"/>
      <c r="N89" s="70"/>
      <c r="O89" s="3"/>
      <c r="P89" s="4"/>
      <c r="Q89" s="75"/>
      <c r="R89" s="70"/>
      <c r="S89" s="2"/>
      <c r="T89" s="2"/>
      <c r="U89" s="2"/>
      <c r="V89" s="2"/>
      <c r="W89" s="2"/>
    </row>
    <row r="90" spans="1:23" s="73" customFormat="1" ht="12.75" customHeight="1">
      <c r="A90" s="2"/>
      <c r="B90" s="2"/>
      <c r="C90" s="2"/>
      <c r="D90" s="4"/>
      <c r="E90" s="4"/>
      <c r="F90" s="4"/>
      <c r="G90" s="3"/>
      <c r="H90" s="4"/>
      <c r="I90" s="3"/>
      <c r="J90" s="4"/>
      <c r="K90" s="3"/>
      <c r="L90" s="4"/>
      <c r="M90" s="75"/>
      <c r="N90" s="70"/>
      <c r="O90" s="3"/>
      <c r="P90" s="4"/>
      <c r="Q90" s="75"/>
      <c r="R90" s="70"/>
      <c r="S90" s="2"/>
      <c r="T90" s="2"/>
      <c r="U90" s="2"/>
      <c r="V90" s="2"/>
      <c r="W90" s="2"/>
    </row>
    <row r="91" spans="1:23" s="73" customFormat="1" ht="12.75" customHeight="1">
      <c r="A91" s="2"/>
      <c r="B91" s="2"/>
      <c r="C91" s="2"/>
      <c r="D91" s="4"/>
      <c r="E91" s="4"/>
      <c r="F91" s="4"/>
      <c r="G91" s="3"/>
      <c r="H91" s="4"/>
      <c r="I91" s="3"/>
      <c r="J91" s="4"/>
      <c r="K91" s="3"/>
      <c r="L91" s="4"/>
      <c r="M91" s="75"/>
      <c r="N91" s="70"/>
      <c r="O91" s="3"/>
      <c r="P91" s="4"/>
      <c r="Q91" s="75"/>
      <c r="R91" s="70"/>
      <c r="S91" s="2"/>
      <c r="T91" s="2"/>
      <c r="U91" s="2"/>
      <c r="V91" s="2"/>
      <c r="W91" s="2"/>
    </row>
    <row r="92" spans="1:23" s="73" customFormat="1" ht="12.75" customHeight="1">
      <c r="A92" s="2"/>
      <c r="B92" s="2"/>
      <c r="C92" s="2"/>
      <c r="D92" s="4"/>
      <c r="E92" s="4"/>
      <c r="F92" s="4"/>
      <c r="G92" s="3"/>
      <c r="H92" s="4"/>
      <c r="I92" s="3"/>
      <c r="J92" s="4"/>
      <c r="K92" s="3"/>
      <c r="L92" s="4"/>
      <c r="M92" s="75"/>
      <c r="N92" s="70"/>
      <c r="O92" s="3"/>
      <c r="P92" s="4"/>
      <c r="Q92" s="75"/>
      <c r="R92" s="70"/>
      <c r="S92" s="2"/>
      <c r="T92" s="2"/>
      <c r="U92" s="2"/>
      <c r="V92" s="2"/>
      <c r="W92" s="2"/>
    </row>
    <row r="93" spans="1:23" s="73" customFormat="1" ht="12.75" customHeight="1">
      <c r="A93" s="2"/>
      <c r="B93" s="2"/>
      <c r="C93" s="2"/>
      <c r="D93" s="4"/>
      <c r="E93" s="4"/>
      <c r="F93" s="4"/>
      <c r="G93" s="3"/>
      <c r="H93" s="4"/>
      <c r="I93" s="3"/>
      <c r="J93" s="4"/>
      <c r="K93" s="3"/>
      <c r="L93" s="4"/>
      <c r="M93" s="75"/>
      <c r="N93" s="70"/>
      <c r="O93" s="3"/>
      <c r="P93" s="4"/>
      <c r="Q93" s="75"/>
      <c r="R93" s="70"/>
      <c r="S93" s="2"/>
      <c r="T93" s="2"/>
      <c r="U93" s="2"/>
      <c r="V93" s="2"/>
      <c r="W93" s="2"/>
    </row>
    <row r="94" spans="1:23" s="73" customFormat="1" ht="12.75" customHeight="1">
      <c r="A94" s="2"/>
      <c r="B94" s="2"/>
      <c r="C94" s="2"/>
      <c r="D94" s="4"/>
      <c r="E94" s="4"/>
      <c r="F94" s="4"/>
      <c r="G94" s="3"/>
      <c r="H94" s="4"/>
      <c r="I94" s="3"/>
      <c r="J94" s="4"/>
      <c r="K94" s="3"/>
      <c r="L94" s="4"/>
      <c r="M94" s="75"/>
      <c r="N94" s="70"/>
      <c r="O94" s="3"/>
      <c r="P94" s="4"/>
      <c r="Q94" s="75"/>
      <c r="R94" s="70"/>
      <c r="S94" s="2"/>
      <c r="T94" s="2"/>
      <c r="U94" s="2"/>
      <c r="V94" s="2"/>
      <c r="W94" s="2"/>
    </row>
    <row r="95" spans="1:23" s="73" customFormat="1" ht="12.75" customHeight="1">
      <c r="A95" s="2"/>
      <c r="B95" s="2"/>
      <c r="C95" s="2"/>
      <c r="D95" s="4"/>
      <c r="E95" s="4"/>
      <c r="F95" s="4"/>
      <c r="G95" s="3"/>
      <c r="H95" s="4"/>
      <c r="I95" s="3"/>
      <c r="J95" s="4"/>
      <c r="K95" s="3"/>
      <c r="L95" s="4"/>
      <c r="M95" s="75"/>
      <c r="N95" s="70"/>
      <c r="O95" s="3"/>
      <c r="P95" s="4"/>
      <c r="Q95" s="75"/>
      <c r="R95" s="70"/>
      <c r="S95" s="2"/>
      <c r="T95" s="2"/>
      <c r="U95" s="2"/>
      <c r="V95" s="2"/>
      <c r="W95" s="2"/>
    </row>
    <row r="96" spans="1:23" s="73" customFormat="1" ht="12.75" customHeight="1">
      <c r="A96" s="2"/>
      <c r="B96" s="2"/>
      <c r="C96" s="2"/>
      <c r="D96" s="4"/>
      <c r="E96" s="4"/>
      <c r="F96" s="4"/>
      <c r="G96" s="3"/>
      <c r="H96" s="4"/>
      <c r="I96" s="3"/>
      <c r="J96" s="4"/>
      <c r="K96" s="3"/>
      <c r="L96" s="4"/>
      <c r="M96" s="75"/>
      <c r="N96" s="70"/>
      <c r="O96" s="3"/>
      <c r="P96" s="4"/>
      <c r="Q96" s="75"/>
      <c r="R96" s="70"/>
      <c r="S96" s="2"/>
      <c r="T96" s="2"/>
      <c r="U96" s="2"/>
      <c r="V96" s="2"/>
      <c r="W96" s="2"/>
    </row>
    <row r="97" spans="1:23" s="73" customFormat="1" ht="12.75" customHeight="1">
      <c r="A97" s="2"/>
      <c r="B97" s="2"/>
      <c r="C97" s="2"/>
      <c r="D97" s="4"/>
      <c r="E97" s="4"/>
      <c r="F97" s="4"/>
      <c r="G97" s="3"/>
      <c r="H97" s="4"/>
      <c r="I97" s="3"/>
      <c r="J97" s="4"/>
      <c r="K97" s="3"/>
      <c r="L97" s="4"/>
      <c r="M97" s="75"/>
      <c r="N97" s="70"/>
      <c r="O97" s="3"/>
      <c r="P97" s="4"/>
      <c r="Q97" s="75"/>
      <c r="R97" s="70"/>
      <c r="S97" s="2"/>
      <c r="T97" s="2"/>
      <c r="U97" s="2"/>
      <c r="V97" s="2"/>
      <c r="W97" s="2"/>
    </row>
    <row r="98" spans="1:23" s="73" customFormat="1" ht="12.75" customHeight="1">
      <c r="A98" s="2"/>
      <c r="B98" s="2"/>
      <c r="C98" s="2"/>
      <c r="D98" s="4"/>
      <c r="E98" s="4"/>
      <c r="F98" s="4"/>
      <c r="G98" s="3"/>
      <c r="H98" s="4"/>
      <c r="I98" s="3"/>
      <c r="J98" s="4"/>
      <c r="K98" s="3"/>
      <c r="L98" s="4"/>
      <c r="M98" s="75"/>
      <c r="N98" s="70"/>
      <c r="O98" s="3"/>
      <c r="P98" s="4"/>
      <c r="Q98" s="75"/>
      <c r="R98" s="70"/>
      <c r="S98" s="2"/>
      <c r="T98" s="2"/>
      <c r="U98" s="2"/>
      <c r="V98" s="2"/>
      <c r="W98" s="2"/>
    </row>
    <row r="99" spans="1:23" s="73" customFormat="1" ht="12.75" customHeight="1">
      <c r="A99" s="2"/>
      <c r="B99" s="2"/>
      <c r="C99" s="2"/>
      <c r="D99" s="4"/>
      <c r="E99" s="4"/>
      <c r="F99" s="4"/>
      <c r="G99" s="3"/>
      <c r="H99" s="4"/>
      <c r="I99" s="3"/>
      <c r="J99" s="4"/>
      <c r="K99" s="3"/>
      <c r="L99" s="4"/>
      <c r="M99" s="75"/>
      <c r="N99" s="70"/>
      <c r="O99" s="3"/>
      <c r="P99" s="4"/>
      <c r="Q99" s="75"/>
      <c r="R99" s="70"/>
      <c r="S99" s="2"/>
      <c r="T99" s="2"/>
      <c r="U99" s="2"/>
      <c r="V99" s="2"/>
      <c r="W99" s="2"/>
    </row>
    <row r="100" spans="1:23" s="73" customFormat="1" ht="12.75" customHeight="1">
      <c r="A100" s="2"/>
      <c r="B100" s="2"/>
      <c r="C100" s="2"/>
      <c r="D100" s="4"/>
      <c r="E100" s="4"/>
      <c r="F100" s="4"/>
      <c r="G100" s="3"/>
      <c r="H100" s="4"/>
      <c r="I100" s="3"/>
      <c r="J100" s="4"/>
      <c r="K100" s="3"/>
      <c r="L100" s="4"/>
      <c r="M100" s="75"/>
      <c r="N100" s="70"/>
      <c r="O100" s="3"/>
      <c r="P100" s="4"/>
      <c r="Q100" s="75"/>
      <c r="R100" s="70"/>
      <c r="S100" s="2"/>
      <c r="T100" s="2"/>
      <c r="U100" s="2"/>
      <c r="V100" s="2"/>
      <c r="W100" s="2"/>
    </row>
    <row r="101" spans="1:23" s="73" customFormat="1" ht="12.75" customHeight="1">
      <c r="A101" s="2"/>
      <c r="B101" s="2"/>
      <c r="C101" s="2"/>
      <c r="D101" s="4"/>
      <c r="E101" s="4"/>
      <c r="F101" s="4"/>
      <c r="G101" s="3"/>
      <c r="H101" s="4"/>
      <c r="I101" s="3"/>
      <c r="J101" s="4"/>
      <c r="K101" s="3"/>
      <c r="L101" s="4"/>
      <c r="M101" s="75"/>
      <c r="N101" s="70"/>
      <c r="O101" s="3"/>
      <c r="P101" s="4"/>
      <c r="Q101" s="75"/>
      <c r="R101" s="70"/>
      <c r="S101" s="2"/>
      <c r="T101" s="2"/>
      <c r="U101" s="2"/>
      <c r="V101" s="2"/>
      <c r="W101" s="2"/>
    </row>
    <row r="102" spans="1:23" s="73" customFormat="1" ht="12.75" customHeight="1">
      <c r="A102" s="2"/>
      <c r="B102" s="2"/>
      <c r="C102" s="2"/>
      <c r="D102" s="4"/>
      <c r="E102" s="4"/>
      <c r="F102" s="4"/>
      <c r="G102" s="3"/>
      <c r="H102" s="4"/>
      <c r="I102" s="3"/>
      <c r="J102" s="4"/>
      <c r="K102" s="3"/>
      <c r="L102" s="4"/>
      <c r="M102" s="75"/>
      <c r="N102" s="70"/>
      <c r="O102" s="3"/>
      <c r="P102" s="4"/>
      <c r="Q102" s="75"/>
      <c r="R102" s="70"/>
      <c r="S102" s="2"/>
      <c r="T102" s="2"/>
      <c r="U102" s="2"/>
      <c r="V102" s="2"/>
      <c r="W102" s="2"/>
    </row>
    <row r="103" spans="1:23" s="73" customFormat="1" ht="12.75" customHeight="1">
      <c r="A103" s="2"/>
      <c r="B103" s="2"/>
      <c r="C103" s="2"/>
      <c r="D103" s="4"/>
      <c r="E103" s="4"/>
      <c r="F103" s="4"/>
      <c r="G103" s="3"/>
      <c r="H103" s="4"/>
      <c r="I103" s="3"/>
      <c r="J103" s="4"/>
      <c r="K103" s="3"/>
      <c r="L103" s="4"/>
      <c r="M103" s="75"/>
      <c r="N103" s="70"/>
      <c r="O103" s="3"/>
      <c r="P103" s="4"/>
      <c r="Q103" s="75"/>
      <c r="R103" s="70"/>
      <c r="S103" s="2"/>
      <c r="T103" s="2"/>
      <c r="U103" s="2"/>
      <c r="V103" s="2"/>
      <c r="W103" s="2"/>
    </row>
    <row r="104" spans="1:23" s="73" customFormat="1" ht="12.75" customHeight="1">
      <c r="A104" s="2"/>
      <c r="B104" s="2"/>
      <c r="C104" s="2"/>
      <c r="D104" s="4"/>
      <c r="E104" s="4"/>
      <c r="F104" s="4"/>
      <c r="G104" s="3"/>
      <c r="H104" s="4"/>
      <c r="I104" s="3"/>
      <c r="J104" s="4"/>
      <c r="K104" s="3"/>
      <c r="L104" s="4"/>
      <c r="M104" s="75"/>
      <c r="N104" s="70"/>
      <c r="O104" s="3"/>
      <c r="P104" s="4"/>
      <c r="Q104" s="75"/>
      <c r="R104" s="70"/>
      <c r="S104" s="2"/>
      <c r="T104" s="2"/>
      <c r="U104" s="2"/>
      <c r="V104" s="2"/>
      <c r="W104" s="2"/>
    </row>
    <row r="105" spans="1:23" s="73" customFormat="1" ht="12.75" customHeight="1">
      <c r="A105" s="2"/>
      <c r="B105" s="2"/>
      <c r="C105" s="2"/>
      <c r="D105" s="4"/>
      <c r="E105" s="4"/>
      <c r="F105" s="4"/>
      <c r="G105" s="3"/>
      <c r="H105" s="4"/>
      <c r="I105" s="3"/>
      <c r="J105" s="4"/>
      <c r="K105" s="3"/>
      <c r="L105" s="4"/>
      <c r="M105" s="75"/>
      <c r="N105" s="70"/>
      <c r="O105" s="3"/>
      <c r="P105" s="4"/>
      <c r="Q105" s="75"/>
      <c r="R105" s="70"/>
      <c r="S105" s="2"/>
      <c r="T105" s="2"/>
      <c r="U105" s="2"/>
      <c r="V105" s="2"/>
      <c r="W105" s="2"/>
    </row>
    <row r="106" spans="1:23" s="73" customFormat="1" ht="12.75" customHeight="1">
      <c r="A106" s="2"/>
      <c r="B106" s="2"/>
      <c r="C106" s="2"/>
      <c r="D106" s="4"/>
      <c r="E106" s="4"/>
      <c r="F106" s="4"/>
      <c r="G106" s="3"/>
      <c r="H106" s="4"/>
      <c r="I106" s="3"/>
      <c r="J106" s="4"/>
      <c r="K106" s="3"/>
      <c r="L106" s="4"/>
      <c r="M106" s="75"/>
      <c r="N106" s="70"/>
      <c r="O106" s="3"/>
      <c r="P106" s="4"/>
      <c r="Q106" s="75"/>
      <c r="R106" s="70"/>
      <c r="S106" s="2"/>
      <c r="T106" s="2"/>
      <c r="U106" s="2"/>
      <c r="V106" s="2"/>
      <c r="W106" s="2"/>
    </row>
    <row r="107" spans="1:23" s="73" customFormat="1" ht="12.75" customHeight="1">
      <c r="A107" s="2"/>
      <c r="B107" s="2"/>
      <c r="C107" s="2"/>
      <c r="D107" s="4"/>
      <c r="E107" s="4"/>
      <c r="F107" s="4"/>
      <c r="G107" s="3"/>
      <c r="H107" s="4"/>
      <c r="I107" s="3"/>
      <c r="J107" s="4"/>
      <c r="K107" s="3"/>
      <c r="L107" s="4"/>
      <c r="M107" s="75"/>
      <c r="N107" s="70"/>
      <c r="O107" s="3"/>
      <c r="P107" s="4"/>
      <c r="Q107" s="75"/>
      <c r="R107" s="70"/>
      <c r="S107" s="2"/>
      <c r="T107" s="2"/>
      <c r="U107" s="2"/>
      <c r="V107" s="2"/>
      <c r="W107" s="2"/>
    </row>
    <row r="108" spans="1:23" s="73" customFormat="1" ht="12.75" customHeight="1">
      <c r="A108" s="2"/>
      <c r="B108" s="2"/>
      <c r="C108" s="2"/>
      <c r="D108" s="4"/>
      <c r="E108" s="4"/>
      <c r="F108" s="4"/>
      <c r="G108" s="3"/>
      <c r="H108" s="4"/>
      <c r="I108" s="3"/>
      <c r="J108" s="4"/>
      <c r="K108" s="3"/>
      <c r="L108" s="4"/>
      <c r="M108" s="75"/>
      <c r="N108" s="70"/>
      <c r="O108" s="3"/>
      <c r="P108" s="4"/>
      <c r="Q108" s="75"/>
      <c r="R108" s="70"/>
      <c r="S108" s="2"/>
      <c r="T108" s="2"/>
      <c r="U108" s="2"/>
      <c r="V108" s="2"/>
      <c r="W108" s="2"/>
    </row>
    <row r="109" spans="1:23" s="73" customFormat="1" ht="12.75" customHeight="1">
      <c r="A109" s="2"/>
      <c r="B109" s="2"/>
      <c r="C109" s="2"/>
      <c r="D109" s="4"/>
      <c r="E109" s="4"/>
      <c r="F109" s="4"/>
      <c r="G109" s="3"/>
      <c r="H109" s="4"/>
      <c r="I109" s="3"/>
      <c r="J109" s="4"/>
      <c r="K109" s="3"/>
      <c r="L109" s="4"/>
      <c r="M109" s="75"/>
      <c r="N109" s="70"/>
      <c r="O109" s="3"/>
      <c r="P109" s="4"/>
      <c r="Q109" s="75"/>
      <c r="R109" s="70"/>
      <c r="S109" s="2"/>
      <c r="T109" s="2"/>
      <c r="U109" s="2"/>
      <c r="V109" s="2"/>
      <c r="W109" s="2"/>
    </row>
    <row r="110" spans="1:23" s="73" customFormat="1" ht="12.75" customHeight="1">
      <c r="A110" s="2"/>
      <c r="B110" s="2"/>
      <c r="C110" s="2"/>
      <c r="D110" s="4"/>
      <c r="E110" s="4"/>
      <c r="F110" s="4"/>
      <c r="G110" s="3"/>
      <c r="H110" s="4"/>
      <c r="I110" s="3"/>
      <c r="J110" s="4"/>
      <c r="K110" s="3"/>
      <c r="L110" s="4"/>
      <c r="M110" s="75"/>
      <c r="N110" s="70"/>
      <c r="O110" s="3"/>
      <c r="P110" s="4"/>
      <c r="Q110" s="75"/>
      <c r="R110" s="70"/>
      <c r="S110" s="2"/>
      <c r="T110" s="2"/>
      <c r="U110" s="2"/>
      <c r="V110" s="2"/>
      <c r="W110" s="2"/>
    </row>
    <row r="111" spans="1:23" s="73" customFormat="1" ht="12.75" customHeight="1">
      <c r="A111" s="2"/>
      <c r="B111" s="2"/>
      <c r="C111" s="2"/>
      <c r="D111" s="4"/>
      <c r="E111" s="4"/>
      <c r="F111" s="4"/>
      <c r="G111" s="3"/>
      <c r="H111" s="4"/>
      <c r="I111" s="3"/>
      <c r="J111" s="4"/>
      <c r="K111" s="3"/>
      <c r="L111" s="4"/>
      <c r="M111" s="75"/>
      <c r="N111" s="70"/>
      <c r="O111" s="3"/>
      <c r="P111" s="4"/>
      <c r="Q111" s="75"/>
      <c r="R111" s="70"/>
      <c r="S111" s="2"/>
      <c r="T111" s="2"/>
      <c r="U111" s="2"/>
      <c r="V111" s="2"/>
      <c r="W111" s="2"/>
    </row>
    <row r="112" spans="1:23" s="73" customFormat="1" ht="12.75" customHeight="1">
      <c r="A112" s="2"/>
      <c r="B112" s="2"/>
      <c r="C112" s="2"/>
      <c r="D112" s="4"/>
      <c r="E112" s="4"/>
      <c r="F112" s="4"/>
      <c r="G112" s="3"/>
      <c r="H112" s="4"/>
      <c r="I112" s="3"/>
      <c r="J112" s="4"/>
      <c r="K112" s="3"/>
      <c r="L112" s="4"/>
      <c r="M112" s="75"/>
      <c r="N112" s="70"/>
      <c r="O112" s="3"/>
      <c r="P112" s="4"/>
      <c r="Q112" s="75"/>
      <c r="R112" s="70"/>
      <c r="S112" s="2"/>
      <c r="T112" s="2"/>
      <c r="U112" s="2"/>
      <c r="V112" s="2"/>
      <c r="W112" s="2"/>
    </row>
    <row r="113" spans="1:23" s="73" customFormat="1" ht="12.75" customHeight="1">
      <c r="A113" s="2"/>
      <c r="B113" s="2"/>
      <c r="C113" s="2"/>
      <c r="D113" s="4"/>
      <c r="E113" s="4"/>
      <c r="F113" s="4"/>
      <c r="G113" s="3"/>
      <c r="H113" s="4"/>
      <c r="I113" s="3"/>
      <c r="J113" s="4"/>
      <c r="K113" s="3"/>
      <c r="L113" s="4"/>
      <c r="M113" s="75"/>
      <c r="N113" s="70"/>
      <c r="O113" s="3"/>
      <c r="P113" s="4"/>
      <c r="Q113" s="75"/>
      <c r="R113" s="70"/>
      <c r="S113" s="2"/>
      <c r="T113" s="2"/>
      <c r="U113" s="2"/>
      <c r="V113" s="2"/>
      <c r="W113" s="2"/>
    </row>
    <row r="114" spans="1:23" s="73" customFormat="1" ht="12.75" customHeight="1">
      <c r="A114" s="2"/>
      <c r="B114" s="2"/>
      <c r="C114" s="2"/>
      <c r="D114" s="4"/>
      <c r="E114" s="4"/>
      <c r="F114" s="4"/>
      <c r="G114" s="3"/>
      <c r="H114" s="4"/>
      <c r="I114" s="3"/>
      <c r="J114" s="4"/>
      <c r="K114" s="3"/>
      <c r="L114" s="4"/>
      <c r="M114" s="75"/>
      <c r="N114" s="70"/>
      <c r="O114" s="3"/>
      <c r="P114" s="4"/>
      <c r="Q114" s="75"/>
      <c r="R114" s="70"/>
      <c r="S114" s="2"/>
      <c r="T114" s="2"/>
      <c r="U114" s="2"/>
      <c r="V114" s="2"/>
      <c r="W114" s="2"/>
    </row>
    <row r="115" spans="1:23" s="73" customFormat="1" ht="12.75" customHeight="1">
      <c r="A115" s="2"/>
      <c r="B115" s="2"/>
      <c r="C115" s="2"/>
      <c r="D115" s="4"/>
      <c r="E115" s="4"/>
      <c r="F115" s="4"/>
      <c r="G115" s="3"/>
      <c r="H115" s="4"/>
      <c r="I115" s="3"/>
      <c r="J115" s="4"/>
      <c r="K115" s="3"/>
      <c r="L115" s="4"/>
      <c r="M115" s="75"/>
      <c r="N115" s="70"/>
      <c r="O115" s="3"/>
      <c r="P115" s="4"/>
      <c r="Q115" s="75"/>
      <c r="R115" s="70"/>
      <c r="S115" s="2"/>
      <c r="T115" s="2"/>
      <c r="U115" s="2"/>
      <c r="V115" s="2"/>
      <c r="W115" s="2"/>
    </row>
    <row r="116" spans="1:23" s="73" customFormat="1" ht="12.75" customHeight="1">
      <c r="A116" s="2"/>
      <c r="B116" s="2"/>
      <c r="C116" s="2"/>
      <c r="D116" s="4"/>
      <c r="E116" s="4"/>
      <c r="F116" s="4"/>
      <c r="G116" s="3"/>
      <c r="H116" s="4"/>
      <c r="I116" s="3"/>
      <c r="J116" s="4"/>
      <c r="K116" s="3"/>
      <c r="L116" s="4"/>
      <c r="M116" s="75"/>
      <c r="N116" s="70"/>
      <c r="O116" s="3"/>
      <c r="P116" s="4"/>
      <c r="Q116" s="75"/>
      <c r="R116" s="70"/>
      <c r="S116" s="2"/>
      <c r="T116" s="2"/>
      <c r="U116" s="2"/>
      <c r="V116" s="2"/>
      <c r="W116" s="2"/>
    </row>
    <row r="117" spans="1:23" s="73" customFormat="1" ht="12.75" customHeight="1">
      <c r="A117" s="2"/>
      <c r="B117" s="2"/>
      <c r="C117" s="2"/>
      <c r="D117" s="4"/>
      <c r="E117" s="4"/>
      <c r="F117" s="4"/>
      <c r="G117" s="3"/>
      <c r="H117" s="4"/>
      <c r="I117" s="3"/>
      <c r="J117" s="4"/>
      <c r="K117" s="3"/>
      <c r="L117" s="4"/>
      <c r="M117" s="75"/>
      <c r="N117" s="70"/>
      <c r="O117" s="3"/>
      <c r="P117" s="4"/>
      <c r="Q117" s="75"/>
      <c r="R117" s="70"/>
      <c r="S117" s="2"/>
      <c r="T117" s="2"/>
      <c r="U117" s="2"/>
      <c r="V117" s="2"/>
      <c r="W117" s="2"/>
    </row>
    <row r="118" spans="1:23" s="73" customFormat="1" ht="12.75" customHeight="1">
      <c r="A118" s="2"/>
      <c r="B118" s="2"/>
      <c r="C118" s="2"/>
      <c r="D118" s="4"/>
      <c r="E118" s="4"/>
      <c r="F118" s="4"/>
      <c r="G118" s="3"/>
      <c r="H118" s="4"/>
      <c r="I118" s="3"/>
      <c r="J118" s="4"/>
      <c r="K118" s="3"/>
      <c r="L118" s="4"/>
      <c r="M118" s="75"/>
      <c r="N118" s="70"/>
      <c r="O118" s="3"/>
      <c r="P118" s="4"/>
      <c r="Q118" s="75"/>
      <c r="R118" s="70"/>
      <c r="S118" s="2"/>
      <c r="T118" s="2"/>
      <c r="U118" s="2"/>
      <c r="V118" s="2"/>
      <c r="W118" s="2"/>
    </row>
    <row r="119" spans="1:23" s="73" customFormat="1" ht="12.75" customHeight="1">
      <c r="A119" s="2"/>
      <c r="B119" s="2"/>
      <c r="C119" s="2"/>
      <c r="D119" s="4"/>
      <c r="E119" s="4"/>
      <c r="F119" s="4"/>
      <c r="G119" s="3"/>
      <c r="H119" s="4"/>
      <c r="I119" s="3"/>
      <c r="J119" s="4"/>
      <c r="K119" s="3"/>
      <c r="L119" s="4"/>
      <c r="M119" s="75"/>
      <c r="N119" s="70"/>
      <c r="O119" s="3"/>
      <c r="P119" s="4"/>
      <c r="Q119" s="75"/>
      <c r="R119" s="70"/>
      <c r="S119" s="2"/>
      <c r="T119" s="2"/>
      <c r="U119" s="2"/>
      <c r="V119" s="2"/>
      <c r="W119" s="2"/>
    </row>
    <row r="120" spans="1:23" s="73" customFormat="1" ht="12.75" customHeight="1">
      <c r="A120" s="2"/>
      <c r="B120" s="2"/>
      <c r="C120" s="2"/>
      <c r="D120" s="4"/>
      <c r="E120" s="4"/>
      <c r="F120" s="4"/>
      <c r="G120" s="3"/>
      <c r="H120" s="4"/>
      <c r="I120" s="3"/>
      <c r="J120" s="4"/>
      <c r="K120" s="3"/>
      <c r="L120" s="4"/>
      <c r="M120" s="75"/>
      <c r="N120" s="70"/>
      <c r="O120" s="3"/>
      <c r="P120" s="4"/>
      <c r="Q120" s="75"/>
      <c r="R120" s="70"/>
      <c r="S120" s="2"/>
      <c r="T120" s="2"/>
      <c r="U120" s="2"/>
      <c r="V120" s="2"/>
      <c r="W120" s="2"/>
    </row>
    <row r="121" spans="1:23" s="73" customFormat="1" ht="12.75" customHeight="1">
      <c r="A121" s="2"/>
      <c r="B121" s="2"/>
      <c r="C121" s="2"/>
      <c r="D121" s="4"/>
      <c r="E121" s="4"/>
      <c r="F121" s="4"/>
      <c r="G121" s="3"/>
      <c r="H121" s="4"/>
      <c r="I121" s="3"/>
      <c r="J121" s="4"/>
      <c r="K121" s="3"/>
      <c r="L121" s="4"/>
      <c r="M121" s="75"/>
      <c r="N121" s="70"/>
      <c r="O121" s="3"/>
      <c r="P121" s="4"/>
      <c r="Q121" s="75"/>
      <c r="R121" s="70"/>
      <c r="S121" s="2"/>
      <c r="T121" s="2"/>
      <c r="U121" s="2"/>
      <c r="V121" s="2"/>
      <c r="W121" s="2"/>
    </row>
    <row r="122" spans="1:23" s="73" customFormat="1" ht="12.75" customHeight="1">
      <c r="A122" s="2"/>
      <c r="B122" s="2"/>
      <c r="C122" s="2"/>
      <c r="D122" s="4"/>
      <c r="E122" s="4"/>
      <c r="F122" s="4"/>
      <c r="G122" s="3"/>
      <c r="H122" s="4"/>
      <c r="I122" s="3"/>
      <c r="J122" s="4"/>
      <c r="K122" s="3"/>
      <c r="L122" s="4"/>
      <c r="M122" s="75"/>
      <c r="N122" s="70"/>
      <c r="O122" s="3"/>
      <c r="P122" s="4"/>
      <c r="Q122" s="75"/>
      <c r="R122" s="70"/>
      <c r="S122" s="2"/>
      <c r="T122" s="2"/>
      <c r="U122" s="2"/>
      <c r="V122" s="2"/>
      <c r="W122" s="2"/>
    </row>
    <row r="123" spans="1:23" s="73" customFormat="1" ht="12.75" customHeight="1">
      <c r="A123" s="2"/>
      <c r="B123" s="2"/>
      <c r="C123" s="2"/>
      <c r="D123" s="4"/>
      <c r="E123" s="4"/>
      <c r="F123" s="4"/>
      <c r="G123" s="3"/>
      <c r="H123" s="4"/>
      <c r="I123" s="3"/>
      <c r="J123" s="4"/>
      <c r="K123" s="3"/>
      <c r="L123" s="4"/>
      <c r="M123" s="75"/>
      <c r="N123" s="70"/>
      <c r="O123" s="3"/>
      <c r="P123" s="4"/>
      <c r="Q123" s="75"/>
      <c r="R123" s="70"/>
      <c r="S123" s="2"/>
      <c r="T123" s="2"/>
      <c r="U123" s="2"/>
      <c r="V123" s="2"/>
      <c r="W123" s="2"/>
    </row>
    <row r="124" spans="1:23" s="73" customFormat="1" ht="12.75" customHeight="1">
      <c r="A124" s="2"/>
      <c r="B124" s="2"/>
      <c r="C124" s="2"/>
      <c r="D124" s="4"/>
      <c r="E124" s="4"/>
      <c r="F124" s="4"/>
      <c r="G124" s="3"/>
      <c r="H124" s="4"/>
      <c r="I124" s="3"/>
      <c r="J124" s="4"/>
      <c r="K124" s="3"/>
      <c r="L124" s="4"/>
      <c r="M124" s="75"/>
      <c r="N124" s="70"/>
      <c r="O124" s="3"/>
      <c r="P124" s="4"/>
      <c r="Q124" s="75"/>
      <c r="R124" s="70"/>
      <c r="S124" s="2"/>
      <c r="T124" s="2"/>
      <c r="U124" s="2"/>
      <c r="V124" s="2"/>
      <c r="W124" s="2"/>
    </row>
    <row r="125" spans="1:23" s="73" customFormat="1" ht="12.75" customHeight="1">
      <c r="A125" s="2"/>
      <c r="B125" s="2"/>
      <c r="C125" s="2"/>
      <c r="D125" s="4"/>
      <c r="E125" s="4"/>
      <c r="F125" s="4"/>
      <c r="G125" s="3"/>
      <c r="H125" s="4"/>
      <c r="I125" s="3"/>
      <c r="J125" s="4"/>
      <c r="K125" s="3"/>
      <c r="L125" s="4"/>
      <c r="M125" s="75"/>
      <c r="N125" s="70"/>
      <c r="O125" s="3"/>
      <c r="P125" s="4"/>
      <c r="Q125" s="75"/>
      <c r="R125" s="70"/>
      <c r="S125" s="2"/>
      <c r="T125" s="2"/>
      <c r="U125" s="2"/>
      <c r="V125" s="2"/>
      <c r="W125" s="2"/>
    </row>
    <row r="126" spans="1:23" s="73" customFormat="1" ht="12.75" customHeight="1">
      <c r="A126" s="2"/>
      <c r="B126" s="2"/>
      <c r="C126" s="2"/>
      <c r="D126" s="4"/>
      <c r="E126" s="4"/>
      <c r="F126" s="4"/>
      <c r="G126" s="3"/>
      <c r="H126" s="4"/>
      <c r="I126" s="3"/>
      <c r="J126" s="4"/>
      <c r="K126" s="3"/>
      <c r="L126" s="4"/>
      <c r="M126" s="75"/>
      <c r="N126" s="70"/>
      <c r="O126" s="3"/>
      <c r="P126" s="4"/>
      <c r="Q126" s="75"/>
      <c r="R126" s="70"/>
      <c r="S126" s="2"/>
      <c r="T126" s="2"/>
      <c r="U126" s="2"/>
      <c r="V126" s="2"/>
      <c r="W126" s="2"/>
    </row>
    <row r="127" spans="1:23" s="73" customFormat="1" ht="12.75" customHeight="1">
      <c r="A127" s="2"/>
      <c r="B127" s="2"/>
      <c r="C127" s="2"/>
      <c r="D127" s="4"/>
      <c r="E127" s="4"/>
      <c r="F127" s="4"/>
      <c r="G127" s="3"/>
      <c r="H127" s="4"/>
      <c r="I127" s="3"/>
      <c r="J127" s="4"/>
      <c r="K127" s="3"/>
      <c r="L127" s="4"/>
      <c r="M127" s="75"/>
      <c r="N127" s="70"/>
      <c r="O127" s="3"/>
      <c r="P127" s="4"/>
      <c r="Q127" s="75"/>
      <c r="R127" s="70"/>
      <c r="S127" s="2"/>
      <c r="T127" s="2"/>
      <c r="U127" s="2"/>
      <c r="V127" s="2"/>
      <c r="W127" s="2"/>
    </row>
    <row r="128" spans="1:23" s="73" customFormat="1" ht="12.75" customHeight="1">
      <c r="A128" s="2"/>
      <c r="B128" s="2"/>
      <c r="C128" s="2"/>
      <c r="D128" s="4"/>
      <c r="E128" s="4"/>
      <c r="F128" s="4"/>
      <c r="G128" s="3"/>
      <c r="H128" s="4"/>
      <c r="I128" s="3"/>
      <c r="J128" s="4"/>
      <c r="K128" s="3"/>
      <c r="L128" s="4"/>
      <c r="M128" s="75"/>
      <c r="N128" s="70"/>
      <c r="O128" s="3"/>
      <c r="P128" s="4"/>
      <c r="Q128" s="75"/>
      <c r="R128" s="70"/>
      <c r="S128" s="2"/>
      <c r="T128" s="2"/>
      <c r="U128" s="2"/>
      <c r="V128" s="2"/>
      <c r="W128" s="2"/>
    </row>
    <row r="129" spans="1:23" s="73" customFormat="1" ht="12.75" customHeight="1">
      <c r="A129" s="2"/>
      <c r="B129" s="2"/>
      <c r="C129" s="2"/>
      <c r="D129" s="4"/>
      <c r="E129" s="4"/>
      <c r="F129" s="4"/>
      <c r="G129" s="3"/>
      <c r="H129" s="4"/>
      <c r="I129" s="3"/>
      <c r="J129" s="4"/>
      <c r="K129" s="3"/>
      <c r="L129" s="4"/>
      <c r="M129" s="75"/>
      <c r="N129" s="70"/>
      <c r="O129" s="3"/>
      <c r="P129" s="4"/>
      <c r="Q129" s="75"/>
      <c r="R129" s="70"/>
      <c r="S129" s="2"/>
      <c r="T129" s="2"/>
      <c r="U129" s="2"/>
      <c r="V129" s="2"/>
      <c r="W129" s="2"/>
    </row>
    <row r="130" spans="1:23" s="73" customFormat="1" ht="12.75" customHeight="1">
      <c r="A130" s="2"/>
      <c r="B130" s="2"/>
      <c r="C130" s="2"/>
      <c r="D130" s="4"/>
      <c r="E130" s="4"/>
      <c r="F130" s="4"/>
      <c r="G130" s="3"/>
      <c r="H130" s="4"/>
      <c r="I130" s="3"/>
      <c r="J130" s="4"/>
      <c r="K130" s="3"/>
      <c r="L130" s="4"/>
      <c r="M130" s="75"/>
      <c r="N130" s="70"/>
      <c r="O130" s="3"/>
      <c r="P130" s="4"/>
      <c r="Q130" s="75"/>
      <c r="R130" s="70"/>
      <c r="S130" s="2"/>
      <c r="T130" s="2"/>
      <c r="U130" s="2"/>
      <c r="V130" s="2"/>
      <c r="W130" s="2"/>
    </row>
    <row r="131" spans="1:23" s="73" customFormat="1" ht="12.75" customHeight="1">
      <c r="A131" s="2"/>
      <c r="B131" s="2"/>
      <c r="C131" s="2"/>
      <c r="D131" s="4"/>
      <c r="E131" s="4"/>
      <c r="F131" s="4"/>
      <c r="G131" s="3"/>
      <c r="H131" s="4"/>
      <c r="I131" s="3"/>
      <c r="J131" s="4"/>
      <c r="K131" s="3"/>
      <c r="L131" s="4"/>
      <c r="M131" s="75"/>
      <c r="N131" s="70"/>
      <c r="O131" s="3"/>
      <c r="P131" s="4"/>
      <c r="Q131" s="75"/>
      <c r="R131" s="70"/>
      <c r="S131" s="2"/>
      <c r="T131" s="2"/>
      <c r="U131" s="2"/>
      <c r="V131" s="2"/>
      <c r="W131" s="2"/>
    </row>
    <row r="132" spans="1:23" s="73" customFormat="1" ht="12.75" customHeight="1">
      <c r="A132" s="2"/>
      <c r="B132" s="2"/>
      <c r="C132" s="2"/>
      <c r="D132" s="4"/>
      <c r="E132" s="4"/>
      <c r="F132" s="4"/>
      <c r="G132" s="3"/>
      <c r="H132" s="4"/>
      <c r="I132" s="3"/>
      <c r="J132" s="4"/>
      <c r="K132" s="3"/>
      <c r="L132" s="4"/>
      <c r="M132" s="75"/>
      <c r="N132" s="70"/>
      <c r="O132" s="3"/>
      <c r="P132" s="4"/>
      <c r="Q132" s="75"/>
      <c r="R132" s="70"/>
      <c r="S132" s="2"/>
      <c r="T132" s="2"/>
      <c r="U132" s="2"/>
      <c r="V132" s="2"/>
      <c r="W132" s="2"/>
    </row>
    <row r="133" spans="1:23" s="73" customFormat="1" ht="12.75" customHeight="1">
      <c r="A133" s="2"/>
      <c r="B133" s="2"/>
      <c r="C133" s="2"/>
      <c r="D133" s="4"/>
      <c r="E133" s="4"/>
      <c r="F133" s="4"/>
      <c r="G133" s="3"/>
      <c r="H133" s="4"/>
      <c r="I133" s="3"/>
      <c r="J133" s="4"/>
      <c r="K133" s="3"/>
      <c r="L133" s="4"/>
      <c r="M133" s="75"/>
      <c r="N133" s="70"/>
      <c r="O133" s="3"/>
      <c r="P133" s="4"/>
      <c r="Q133" s="75"/>
      <c r="R133" s="70"/>
      <c r="S133" s="2"/>
      <c r="T133" s="2"/>
      <c r="U133" s="2"/>
      <c r="V133" s="2"/>
      <c r="W133" s="2"/>
    </row>
    <row r="134" spans="1:23" s="73" customFormat="1" ht="12.75" customHeight="1">
      <c r="A134" s="2"/>
      <c r="B134" s="2"/>
      <c r="C134" s="2"/>
      <c r="D134" s="4"/>
      <c r="E134" s="4"/>
      <c r="F134" s="4"/>
      <c r="G134" s="3"/>
      <c r="H134" s="4"/>
      <c r="I134" s="3"/>
      <c r="J134" s="4"/>
      <c r="K134" s="3"/>
      <c r="L134" s="4"/>
      <c r="M134" s="75"/>
      <c r="N134" s="70"/>
      <c r="O134" s="3"/>
      <c r="P134" s="4"/>
      <c r="Q134" s="75"/>
      <c r="R134" s="70"/>
      <c r="S134" s="2"/>
      <c r="T134" s="2"/>
      <c r="U134" s="2"/>
      <c r="V134" s="2"/>
      <c r="W134" s="2"/>
    </row>
    <row r="135" spans="1:23" s="73" customFormat="1" ht="12.75" customHeight="1">
      <c r="A135" s="2"/>
      <c r="B135" s="2"/>
      <c r="C135" s="2"/>
      <c r="D135" s="4"/>
      <c r="E135" s="4"/>
      <c r="F135" s="4"/>
      <c r="G135" s="3"/>
      <c r="H135" s="4"/>
      <c r="I135" s="3"/>
      <c r="J135" s="4"/>
      <c r="K135" s="3"/>
      <c r="L135" s="4"/>
      <c r="M135" s="75"/>
      <c r="N135" s="70"/>
      <c r="O135" s="3"/>
      <c r="P135" s="4"/>
      <c r="Q135" s="75"/>
      <c r="R135" s="70"/>
      <c r="S135" s="2"/>
      <c r="T135" s="2"/>
      <c r="U135" s="2"/>
      <c r="V135" s="2"/>
      <c r="W135" s="2"/>
    </row>
    <row r="136" spans="1:23" s="73" customFormat="1" ht="12.75" customHeight="1">
      <c r="A136" s="2"/>
      <c r="B136" s="2"/>
      <c r="C136" s="2"/>
      <c r="D136" s="4"/>
      <c r="E136" s="4"/>
      <c r="F136" s="4"/>
      <c r="G136" s="3"/>
      <c r="H136" s="4"/>
      <c r="I136" s="3"/>
      <c r="J136" s="4"/>
      <c r="K136" s="3"/>
      <c r="L136" s="4"/>
      <c r="M136" s="75"/>
      <c r="N136" s="70"/>
      <c r="O136" s="3"/>
      <c r="P136" s="4"/>
      <c r="Q136" s="75"/>
      <c r="R136" s="70"/>
      <c r="S136" s="2"/>
      <c r="T136" s="2"/>
      <c r="U136" s="2"/>
      <c r="V136" s="2"/>
      <c r="W136" s="2"/>
    </row>
    <row r="137" spans="1:23" s="73" customFormat="1" ht="12.75" customHeight="1">
      <c r="A137" s="2"/>
      <c r="B137" s="2"/>
      <c r="C137" s="2"/>
      <c r="D137" s="4"/>
      <c r="E137" s="4"/>
      <c r="F137" s="4"/>
      <c r="G137" s="3"/>
      <c r="H137" s="4"/>
      <c r="I137" s="3"/>
      <c r="J137" s="4"/>
      <c r="K137" s="3"/>
      <c r="L137" s="4"/>
      <c r="M137" s="75"/>
      <c r="N137" s="70"/>
      <c r="O137" s="3"/>
      <c r="P137" s="4"/>
      <c r="Q137" s="75"/>
      <c r="R137" s="70"/>
      <c r="S137" s="2"/>
      <c r="T137" s="2"/>
      <c r="U137" s="2"/>
      <c r="V137" s="2"/>
      <c r="W137" s="2"/>
    </row>
    <row r="138" spans="1:23" s="73" customFormat="1" ht="12.75" customHeight="1">
      <c r="A138" s="2"/>
      <c r="B138" s="2"/>
      <c r="C138" s="2"/>
      <c r="D138" s="4"/>
      <c r="E138" s="4"/>
      <c r="F138" s="4"/>
      <c r="G138" s="3"/>
      <c r="H138" s="4"/>
      <c r="I138" s="3"/>
      <c r="J138" s="4"/>
      <c r="K138" s="3"/>
      <c r="L138" s="4"/>
      <c r="M138" s="75"/>
      <c r="N138" s="70"/>
      <c r="O138" s="3"/>
      <c r="P138" s="4"/>
      <c r="Q138" s="75"/>
      <c r="R138" s="70"/>
      <c r="S138" s="2"/>
      <c r="T138" s="2"/>
      <c r="U138" s="2"/>
      <c r="V138" s="2"/>
      <c r="W138" s="2"/>
    </row>
    <row r="139" spans="1:23" s="73" customFormat="1" ht="12.75" customHeight="1">
      <c r="A139" s="2"/>
      <c r="B139" s="2"/>
      <c r="C139" s="2"/>
      <c r="D139" s="4"/>
      <c r="E139" s="4"/>
      <c r="F139" s="4"/>
      <c r="G139" s="3"/>
      <c r="H139" s="4"/>
      <c r="I139" s="3"/>
      <c r="J139" s="4"/>
      <c r="K139" s="3"/>
      <c r="L139" s="4"/>
      <c r="M139" s="75"/>
      <c r="N139" s="70"/>
      <c r="O139" s="3"/>
      <c r="P139" s="4"/>
      <c r="Q139" s="75"/>
      <c r="R139" s="70"/>
      <c r="S139" s="2"/>
      <c r="T139" s="2"/>
      <c r="U139" s="2"/>
      <c r="V139" s="2"/>
      <c r="W139" s="2"/>
    </row>
    <row r="140" spans="1:23" s="73" customFormat="1" ht="12.75" customHeight="1">
      <c r="A140" s="2"/>
      <c r="B140" s="2"/>
      <c r="C140" s="2"/>
      <c r="D140" s="4"/>
      <c r="E140" s="4"/>
      <c r="F140" s="4"/>
      <c r="G140" s="3"/>
      <c r="H140" s="4"/>
      <c r="I140" s="3"/>
      <c r="J140" s="4"/>
      <c r="K140" s="3"/>
      <c r="L140" s="4"/>
      <c r="M140" s="75"/>
      <c r="N140" s="70"/>
      <c r="O140" s="3"/>
      <c r="P140" s="4"/>
      <c r="Q140" s="75"/>
      <c r="R140" s="70"/>
      <c r="S140" s="2"/>
      <c r="T140" s="2"/>
      <c r="U140" s="2"/>
      <c r="V140" s="2"/>
      <c r="W140" s="2"/>
    </row>
    <row r="141" spans="1:23" s="73" customFormat="1" ht="12.75" customHeight="1">
      <c r="A141" s="2"/>
      <c r="B141" s="2"/>
      <c r="C141" s="2"/>
      <c r="D141" s="4"/>
      <c r="E141" s="4"/>
      <c r="F141" s="4"/>
      <c r="G141" s="3"/>
      <c r="H141" s="4"/>
      <c r="I141" s="3"/>
      <c r="J141" s="4"/>
      <c r="K141" s="3"/>
      <c r="L141" s="4"/>
      <c r="M141" s="75"/>
      <c r="N141" s="70"/>
      <c r="O141" s="3"/>
      <c r="P141" s="4"/>
      <c r="Q141" s="75"/>
      <c r="R141" s="70"/>
      <c r="S141" s="2"/>
      <c r="T141" s="2"/>
      <c r="U141" s="2"/>
      <c r="V141" s="2"/>
      <c r="W141" s="2"/>
    </row>
    <row r="142" spans="1:23" s="73" customFormat="1" ht="12.75" customHeight="1">
      <c r="A142" s="2"/>
      <c r="B142" s="2"/>
      <c r="C142" s="2"/>
      <c r="D142" s="4"/>
      <c r="E142" s="4"/>
      <c r="F142" s="4"/>
      <c r="G142" s="3"/>
      <c r="H142" s="4"/>
      <c r="I142" s="3"/>
      <c r="J142" s="4"/>
      <c r="K142" s="3"/>
      <c r="L142" s="4"/>
      <c r="M142" s="75"/>
      <c r="N142" s="70"/>
      <c r="O142" s="3"/>
      <c r="P142" s="4"/>
      <c r="Q142" s="75"/>
      <c r="R142" s="70"/>
      <c r="S142" s="2"/>
      <c r="T142" s="2"/>
      <c r="U142" s="2"/>
      <c r="V142" s="2"/>
      <c r="W142" s="2"/>
    </row>
    <row r="143" spans="1:23" s="73" customFormat="1" ht="12.75" customHeight="1">
      <c r="A143" s="2"/>
      <c r="B143" s="2"/>
      <c r="C143" s="2"/>
      <c r="D143" s="4"/>
      <c r="E143" s="4"/>
      <c r="F143" s="4"/>
      <c r="G143" s="3"/>
      <c r="H143" s="4"/>
      <c r="I143" s="3"/>
      <c r="J143" s="4"/>
      <c r="K143" s="3"/>
      <c r="L143" s="4"/>
      <c r="M143" s="75"/>
      <c r="N143" s="70"/>
      <c r="O143" s="3"/>
      <c r="P143" s="4"/>
      <c r="Q143" s="75"/>
      <c r="R143" s="70"/>
      <c r="S143" s="2"/>
      <c r="T143" s="2"/>
      <c r="U143" s="2"/>
      <c r="V143" s="2"/>
      <c r="W143" s="2"/>
    </row>
    <row r="144" spans="1:23" s="73" customFormat="1" ht="12.75" customHeight="1">
      <c r="A144" s="2"/>
      <c r="B144" s="2"/>
      <c r="C144" s="2"/>
      <c r="D144" s="4"/>
      <c r="E144" s="4"/>
      <c r="F144" s="4"/>
      <c r="G144" s="3"/>
      <c r="H144" s="4"/>
      <c r="I144" s="3"/>
      <c r="J144" s="4"/>
      <c r="K144" s="3"/>
      <c r="L144" s="4"/>
      <c r="M144" s="75"/>
      <c r="N144" s="70"/>
      <c r="O144" s="3"/>
      <c r="P144" s="4"/>
      <c r="Q144" s="75"/>
      <c r="R144" s="70"/>
      <c r="S144" s="2"/>
      <c r="T144" s="2"/>
      <c r="U144" s="2"/>
      <c r="V144" s="2"/>
      <c r="W144" s="2"/>
    </row>
    <row r="145" spans="1:23" s="73" customFormat="1" ht="12.75" customHeight="1">
      <c r="A145" s="2"/>
      <c r="B145" s="2"/>
      <c r="C145" s="2"/>
      <c r="D145" s="4"/>
      <c r="E145" s="4"/>
      <c r="F145" s="4"/>
      <c r="G145" s="3"/>
      <c r="H145" s="4"/>
      <c r="I145" s="3"/>
      <c r="J145" s="4"/>
      <c r="K145" s="3"/>
      <c r="L145" s="4"/>
      <c r="M145" s="75"/>
      <c r="N145" s="70"/>
      <c r="O145" s="3"/>
      <c r="P145" s="4"/>
      <c r="Q145" s="75"/>
      <c r="R145" s="70"/>
      <c r="S145" s="2"/>
      <c r="T145" s="2"/>
      <c r="U145" s="2"/>
      <c r="V145" s="2"/>
      <c r="W145" s="2"/>
    </row>
    <row r="146" spans="1:23" s="73" customFormat="1" ht="12.75" customHeight="1">
      <c r="A146" s="2"/>
      <c r="B146" s="2"/>
      <c r="C146" s="2"/>
      <c r="D146" s="4"/>
      <c r="E146" s="4"/>
      <c r="F146" s="4"/>
      <c r="G146" s="3"/>
      <c r="H146" s="4"/>
      <c r="I146" s="3"/>
      <c r="J146" s="4"/>
      <c r="K146" s="3"/>
      <c r="L146" s="4"/>
      <c r="M146" s="75"/>
      <c r="N146" s="70"/>
      <c r="O146" s="3"/>
      <c r="P146" s="4"/>
      <c r="Q146" s="75"/>
      <c r="R146" s="70"/>
      <c r="S146" s="2"/>
      <c r="T146" s="2"/>
      <c r="U146" s="2"/>
      <c r="V146" s="2"/>
      <c r="W146" s="2"/>
    </row>
    <row r="147" spans="1:23" s="73" customFormat="1" ht="12.75" customHeight="1">
      <c r="A147" s="2"/>
      <c r="B147" s="2"/>
      <c r="C147" s="2"/>
      <c r="D147" s="4"/>
      <c r="E147" s="4"/>
      <c r="F147" s="4"/>
      <c r="G147" s="3"/>
      <c r="H147" s="4"/>
      <c r="I147" s="3"/>
      <c r="J147" s="4"/>
      <c r="K147" s="3"/>
      <c r="L147" s="4"/>
      <c r="M147" s="75"/>
      <c r="N147" s="70"/>
      <c r="O147" s="3"/>
      <c r="P147" s="4"/>
      <c r="Q147" s="75"/>
      <c r="R147" s="70"/>
      <c r="S147" s="2"/>
      <c r="T147" s="2"/>
      <c r="U147" s="2"/>
      <c r="V147" s="2"/>
      <c r="W147" s="2"/>
    </row>
    <row r="148" spans="1:23" s="73" customFormat="1" ht="12.75" customHeight="1">
      <c r="A148" s="2"/>
      <c r="B148" s="2"/>
      <c r="C148" s="2"/>
      <c r="D148" s="4"/>
      <c r="E148" s="4"/>
      <c r="F148" s="4"/>
      <c r="G148" s="3"/>
      <c r="H148" s="4"/>
      <c r="I148" s="3"/>
      <c r="J148" s="4"/>
      <c r="K148" s="3"/>
      <c r="L148" s="4"/>
      <c r="M148" s="75"/>
      <c r="N148" s="70"/>
      <c r="O148" s="3"/>
      <c r="P148" s="4"/>
      <c r="Q148" s="75"/>
      <c r="R148" s="70"/>
      <c r="S148" s="2"/>
      <c r="T148" s="2"/>
      <c r="U148" s="2"/>
      <c r="V148" s="2"/>
      <c r="W148" s="2"/>
    </row>
    <row r="149" spans="1:23" s="73" customFormat="1" ht="12.75" customHeight="1">
      <c r="A149" s="2"/>
      <c r="B149" s="2"/>
      <c r="C149" s="2"/>
      <c r="D149" s="4"/>
      <c r="E149" s="4"/>
      <c r="F149" s="4"/>
      <c r="G149" s="3"/>
      <c r="H149" s="4"/>
      <c r="I149" s="3"/>
      <c r="J149" s="4"/>
      <c r="K149" s="3"/>
      <c r="L149" s="4"/>
      <c r="M149" s="75"/>
      <c r="N149" s="70"/>
      <c r="O149" s="3"/>
      <c r="P149" s="4"/>
      <c r="Q149" s="75"/>
      <c r="R149" s="70"/>
      <c r="S149" s="2"/>
      <c r="T149" s="2"/>
      <c r="U149" s="2"/>
      <c r="V149" s="2"/>
      <c r="W149" s="2"/>
    </row>
    <row r="150" spans="1:23" s="73" customFormat="1" ht="12.75" customHeight="1">
      <c r="A150" s="2"/>
      <c r="B150" s="2"/>
      <c r="C150" s="2"/>
      <c r="D150" s="4"/>
      <c r="E150" s="4"/>
      <c r="F150" s="4"/>
      <c r="G150" s="3"/>
      <c r="H150" s="4"/>
      <c r="I150" s="3"/>
      <c r="J150" s="4"/>
      <c r="K150" s="3"/>
      <c r="L150" s="4"/>
      <c r="M150" s="75"/>
      <c r="N150" s="70"/>
      <c r="O150" s="3"/>
      <c r="P150" s="4"/>
      <c r="Q150" s="75"/>
      <c r="R150" s="70"/>
      <c r="S150" s="2"/>
      <c r="T150" s="2"/>
      <c r="U150" s="2"/>
      <c r="V150" s="2"/>
      <c r="W150" s="2"/>
    </row>
    <row r="151" spans="1:23" s="73" customFormat="1" ht="12.75" customHeight="1">
      <c r="A151" s="2"/>
      <c r="B151" s="2"/>
      <c r="C151" s="2"/>
      <c r="D151" s="4"/>
      <c r="E151" s="4"/>
      <c r="F151" s="4"/>
      <c r="G151" s="3"/>
      <c r="H151" s="4"/>
      <c r="I151" s="3"/>
      <c r="J151" s="4"/>
      <c r="K151" s="3"/>
      <c r="L151" s="4"/>
      <c r="M151" s="75"/>
      <c r="N151" s="70"/>
      <c r="O151" s="3"/>
      <c r="P151" s="4"/>
      <c r="Q151" s="75"/>
      <c r="R151" s="70"/>
      <c r="S151" s="2"/>
      <c r="T151" s="2"/>
      <c r="U151" s="2"/>
      <c r="V151" s="2"/>
      <c r="W151" s="2"/>
    </row>
    <row r="152" spans="1:23" s="73" customFormat="1" ht="12.75" customHeight="1">
      <c r="A152" s="2"/>
      <c r="B152" s="2"/>
      <c r="C152" s="2"/>
      <c r="D152" s="4"/>
      <c r="E152" s="4"/>
      <c r="F152" s="4"/>
      <c r="G152" s="3"/>
      <c r="H152" s="4"/>
      <c r="I152" s="3"/>
      <c r="J152" s="4"/>
      <c r="K152" s="3"/>
      <c r="L152" s="4"/>
      <c r="M152" s="75"/>
      <c r="N152" s="70"/>
      <c r="O152" s="3"/>
      <c r="P152" s="4"/>
      <c r="Q152" s="75"/>
      <c r="R152" s="70"/>
      <c r="S152" s="2"/>
      <c r="T152" s="2"/>
      <c r="U152" s="2"/>
      <c r="V152" s="2"/>
      <c r="W152" s="2"/>
    </row>
    <row r="153" spans="1:23" s="73" customFormat="1" ht="12.75" customHeight="1">
      <c r="A153" s="2"/>
      <c r="B153" s="2"/>
      <c r="C153" s="2"/>
      <c r="D153" s="4"/>
      <c r="E153" s="4"/>
      <c r="F153" s="4"/>
      <c r="G153" s="3"/>
      <c r="H153" s="4"/>
      <c r="I153" s="3"/>
      <c r="J153" s="4"/>
      <c r="K153" s="3"/>
      <c r="L153" s="4"/>
      <c r="M153" s="75"/>
      <c r="N153" s="70"/>
      <c r="O153" s="3"/>
      <c r="P153" s="4"/>
      <c r="Q153" s="75"/>
      <c r="R153" s="70"/>
      <c r="S153" s="2"/>
      <c r="T153" s="2"/>
      <c r="U153" s="2"/>
      <c r="V153" s="2"/>
      <c r="W153" s="2"/>
    </row>
    <row r="154" spans="1:23" s="73" customFormat="1" ht="12.75" customHeight="1">
      <c r="A154" s="2"/>
      <c r="B154" s="2"/>
      <c r="C154" s="2"/>
      <c r="D154" s="4"/>
      <c r="E154" s="4"/>
      <c r="F154" s="4"/>
      <c r="G154" s="3"/>
      <c r="H154" s="4"/>
      <c r="I154" s="3"/>
      <c r="J154" s="4"/>
      <c r="K154" s="3"/>
      <c r="L154" s="4"/>
      <c r="M154" s="75"/>
      <c r="N154" s="70"/>
      <c r="O154" s="3"/>
      <c r="P154" s="4"/>
      <c r="Q154" s="75"/>
      <c r="R154" s="70"/>
      <c r="S154" s="2"/>
      <c r="T154" s="2"/>
      <c r="U154" s="2"/>
      <c r="V154" s="2"/>
      <c r="W154" s="2"/>
    </row>
    <row r="155" spans="1:23" s="73" customFormat="1" ht="12.75" customHeight="1">
      <c r="A155" s="2"/>
      <c r="B155" s="2"/>
      <c r="C155" s="2"/>
      <c r="D155" s="4"/>
      <c r="E155" s="4"/>
      <c r="F155" s="4"/>
      <c r="G155" s="3"/>
      <c r="H155" s="4"/>
      <c r="I155" s="3"/>
      <c r="J155" s="4"/>
      <c r="K155" s="3"/>
      <c r="L155" s="4"/>
      <c r="M155" s="75"/>
      <c r="N155" s="70"/>
      <c r="O155" s="3"/>
      <c r="P155" s="4"/>
      <c r="Q155" s="75"/>
      <c r="R155" s="70"/>
      <c r="S155" s="2"/>
      <c r="T155" s="2"/>
      <c r="U155" s="2"/>
      <c r="V155" s="2"/>
      <c r="W155" s="2"/>
    </row>
    <row r="156" spans="1:23" s="73" customFormat="1" ht="12.75" customHeight="1">
      <c r="A156" s="2"/>
      <c r="B156" s="2"/>
      <c r="C156" s="2"/>
      <c r="D156" s="4"/>
      <c r="E156" s="4"/>
      <c r="F156" s="4"/>
      <c r="G156" s="3"/>
      <c r="H156" s="4"/>
      <c r="I156" s="3"/>
      <c r="J156" s="4"/>
      <c r="K156" s="3"/>
      <c r="L156" s="4"/>
      <c r="M156" s="75"/>
      <c r="N156" s="70"/>
      <c r="O156" s="3"/>
      <c r="P156" s="4"/>
      <c r="Q156" s="75"/>
      <c r="R156" s="70"/>
      <c r="S156" s="2"/>
      <c r="T156" s="2"/>
      <c r="U156" s="2"/>
      <c r="V156" s="2"/>
      <c r="W156" s="2"/>
    </row>
    <row r="157" spans="1:23" s="73" customFormat="1" ht="12.75" customHeight="1">
      <c r="A157" s="2"/>
      <c r="B157" s="2"/>
      <c r="C157" s="2"/>
      <c r="D157" s="4"/>
      <c r="E157" s="4"/>
      <c r="F157" s="4"/>
      <c r="G157" s="3"/>
      <c r="H157" s="4"/>
      <c r="I157" s="3"/>
      <c r="J157" s="4"/>
      <c r="K157" s="3"/>
      <c r="L157" s="4"/>
      <c r="M157" s="75"/>
      <c r="N157" s="70"/>
      <c r="O157" s="3"/>
      <c r="P157" s="4"/>
      <c r="Q157" s="75"/>
      <c r="R157" s="70"/>
      <c r="S157" s="2"/>
      <c r="T157" s="2"/>
      <c r="U157" s="2"/>
      <c r="V157" s="2"/>
      <c r="W157" s="2"/>
    </row>
    <row r="158" spans="1:23" s="73" customFormat="1" ht="12.75" customHeight="1">
      <c r="A158" s="2"/>
      <c r="B158" s="2"/>
      <c r="C158" s="2"/>
      <c r="D158" s="4"/>
      <c r="E158" s="4"/>
      <c r="F158" s="4"/>
      <c r="G158" s="3"/>
      <c r="H158" s="4"/>
      <c r="I158" s="3"/>
      <c r="J158" s="4"/>
      <c r="K158" s="3"/>
      <c r="L158" s="4"/>
      <c r="M158" s="75"/>
      <c r="N158" s="70"/>
      <c r="O158" s="3"/>
      <c r="P158" s="4"/>
      <c r="Q158" s="75"/>
      <c r="R158" s="70"/>
      <c r="S158" s="2"/>
      <c r="T158" s="2"/>
      <c r="U158" s="2"/>
      <c r="V158" s="2"/>
      <c r="W158" s="2"/>
    </row>
    <row r="159" spans="1:23" s="73" customFormat="1" ht="12.75" customHeight="1">
      <c r="A159" s="2"/>
      <c r="B159" s="2"/>
      <c r="C159" s="2"/>
      <c r="D159" s="4"/>
      <c r="E159" s="4"/>
      <c r="F159" s="4"/>
      <c r="G159" s="3"/>
      <c r="H159" s="4"/>
      <c r="I159" s="3"/>
      <c r="J159" s="4"/>
      <c r="K159" s="3"/>
      <c r="L159" s="4"/>
      <c r="M159" s="75"/>
      <c r="N159" s="70"/>
      <c r="O159" s="3"/>
      <c r="P159" s="4"/>
      <c r="Q159" s="75"/>
      <c r="R159" s="70"/>
      <c r="S159" s="2"/>
      <c r="T159" s="2"/>
      <c r="U159" s="2"/>
      <c r="V159" s="2"/>
      <c r="W159" s="2"/>
    </row>
    <row r="160" spans="1:23" s="73" customFormat="1" ht="12.75" customHeight="1">
      <c r="A160" s="2"/>
      <c r="B160" s="2"/>
      <c r="C160" s="2"/>
      <c r="D160" s="4"/>
      <c r="E160" s="4"/>
      <c r="F160" s="4"/>
      <c r="G160" s="3"/>
      <c r="H160" s="4"/>
      <c r="I160" s="3"/>
      <c r="J160" s="4"/>
      <c r="K160" s="3"/>
      <c r="L160" s="4"/>
      <c r="M160" s="75"/>
      <c r="N160" s="70"/>
      <c r="O160" s="3"/>
      <c r="P160" s="4"/>
      <c r="Q160" s="75"/>
      <c r="R160" s="70"/>
      <c r="S160" s="2"/>
      <c r="T160" s="2"/>
      <c r="U160" s="2"/>
      <c r="V160" s="2"/>
      <c r="W160" s="2"/>
    </row>
    <row r="161" spans="1:23" s="73" customFormat="1" ht="12.75" customHeight="1">
      <c r="A161" s="2"/>
      <c r="B161" s="2"/>
      <c r="C161" s="2"/>
      <c r="D161" s="4"/>
      <c r="E161" s="4"/>
      <c r="F161" s="4"/>
      <c r="G161" s="3"/>
      <c r="H161" s="4"/>
      <c r="I161" s="3"/>
      <c r="J161" s="4"/>
      <c r="K161" s="3"/>
      <c r="L161" s="4"/>
      <c r="M161" s="75"/>
      <c r="N161" s="70"/>
      <c r="O161" s="3"/>
      <c r="P161" s="4"/>
      <c r="Q161" s="75"/>
      <c r="R161" s="70"/>
      <c r="S161" s="2"/>
      <c r="T161" s="2"/>
      <c r="U161" s="2"/>
      <c r="V161" s="2"/>
      <c r="W161" s="2"/>
    </row>
    <row r="162" spans="1:23" s="73" customFormat="1" ht="12.75" customHeight="1">
      <c r="A162" s="2"/>
      <c r="B162" s="2"/>
      <c r="C162" s="2"/>
      <c r="D162" s="4"/>
      <c r="E162" s="4"/>
      <c r="F162" s="4"/>
      <c r="G162" s="3"/>
      <c r="H162" s="4"/>
      <c r="I162" s="3"/>
      <c r="J162" s="4"/>
      <c r="K162" s="3"/>
      <c r="L162" s="4"/>
      <c r="M162" s="75"/>
      <c r="N162" s="70"/>
      <c r="O162" s="3"/>
      <c r="P162" s="4"/>
      <c r="Q162" s="75"/>
      <c r="R162" s="70"/>
      <c r="S162" s="2"/>
      <c r="T162" s="2"/>
      <c r="U162" s="2"/>
      <c r="V162" s="2"/>
      <c r="W162" s="2"/>
    </row>
    <row r="163" spans="1:23" s="73" customFormat="1" ht="12.75" customHeight="1">
      <c r="A163" s="2"/>
      <c r="B163" s="2"/>
      <c r="C163" s="2"/>
      <c r="D163" s="4"/>
      <c r="E163" s="4"/>
      <c r="F163" s="4"/>
      <c r="G163" s="3"/>
      <c r="H163" s="4"/>
      <c r="I163" s="3"/>
      <c r="J163" s="4"/>
      <c r="K163" s="3"/>
      <c r="L163" s="4"/>
      <c r="M163" s="75"/>
      <c r="N163" s="70"/>
      <c r="O163" s="3"/>
      <c r="P163" s="4"/>
      <c r="Q163" s="75"/>
      <c r="R163" s="70"/>
      <c r="S163" s="2"/>
      <c r="T163" s="2"/>
      <c r="U163" s="2"/>
      <c r="V163" s="2"/>
      <c r="W163" s="2"/>
    </row>
    <row r="164" spans="1:23" s="73" customFormat="1" ht="12.75" customHeight="1">
      <c r="A164" s="2"/>
      <c r="B164" s="2"/>
      <c r="C164" s="2"/>
      <c r="D164" s="4"/>
      <c r="E164" s="4"/>
      <c r="F164" s="4"/>
      <c r="G164" s="3"/>
      <c r="H164" s="4"/>
      <c r="I164" s="3"/>
      <c r="J164" s="4"/>
      <c r="K164" s="3"/>
      <c r="L164" s="4"/>
      <c r="M164" s="75"/>
      <c r="N164" s="70"/>
      <c r="O164" s="3"/>
      <c r="P164" s="4"/>
      <c r="Q164" s="75"/>
      <c r="R164" s="70"/>
      <c r="S164" s="2"/>
      <c r="T164" s="2"/>
      <c r="U164" s="2"/>
      <c r="V164" s="2"/>
      <c r="W164" s="2"/>
    </row>
    <row r="165" spans="1:23" s="73" customFormat="1" ht="12.75" customHeight="1">
      <c r="A165" s="2"/>
      <c r="B165" s="2"/>
      <c r="C165" s="2"/>
      <c r="D165" s="4"/>
      <c r="E165" s="4"/>
      <c r="F165" s="4"/>
      <c r="G165" s="3"/>
      <c r="H165" s="4"/>
      <c r="I165" s="3"/>
      <c r="J165" s="4"/>
      <c r="K165" s="3"/>
      <c r="L165" s="4"/>
      <c r="M165" s="75"/>
      <c r="N165" s="70"/>
      <c r="O165" s="3"/>
      <c r="P165" s="4"/>
      <c r="Q165" s="75"/>
      <c r="R165" s="70"/>
      <c r="S165" s="2"/>
      <c r="T165" s="2"/>
      <c r="U165" s="2"/>
      <c r="V165" s="2"/>
      <c r="W165" s="2"/>
    </row>
    <row r="166" spans="1:23" s="73" customFormat="1" ht="12.75" customHeight="1">
      <c r="A166" s="2"/>
      <c r="B166" s="2"/>
      <c r="C166" s="2"/>
      <c r="D166" s="4"/>
      <c r="E166" s="4"/>
      <c r="F166" s="4"/>
      <c r="G166" s="3"/>
      <c r="H166" s="4"/>
      <c r="I166" s="3"/>
      <c r="J166" s="4"/>
      <c r="K166" s="3"/>
      <c r="L166" s="4"/>
      <c r="M166" s="75"/>
      <c r="N166" s="70"/>
      <c r="O166" s="3"/>
      <c r="P166" s="4"/>
      <c r="Q166" s="75"/>
      <c r="R166" s="70"/>
      <c r="S166" s="2"/>
      <c r="T166" s="2"/>
      <c r="U166" s="2"/>
      <c r="V166" s="2"/>
      <c r="W166" s="2"/>
    </row>
    <row r="167" spans="1:23" s="73" customFormat="1" ht="12.75" customHeight="1">
      <c r="A167" s="2"/>
      <c r="B167" s="2"/>
      <c r="C167" s="2"/>
      <c r="D167" s="4"/>
      <c r="E167" s="4"/>
      <c r="F167" s="4"/>
      <c r="G167" s="3"/>
      <c r="H167" s="4"/>
      <c r="I167" s="3"/>
      <c r="J167" s="4"/>
      <c r="K167" s="3"/>
      <c r="L167" s="4"/>
      <c r="M167" s="75"/>
      <c r="N167" s="70"/>
      <c r="O167" s="3"/>
      <c r="P167" s="4"/>
      <c r="Q167" s="75"/>
      <c r="R167" s="70"/>
      <c r="S167" s="2"/>
      <c r="T167" s="2"/>
      <c r="U167" s="2"/>
      <c r="V167" s="2"/>
      <c r="W167" s="2"/>
    </row>
    <row r="168" spans="1:23" s="73" customFormat="1" ht="12.75" customHeight="1">
      <c r="A168" s="2"/>
      <c r="B168" s="2"/>
      <c r="C168" s="2"/>
      <c r="D168" s="4"/>
      <c r="E168" s="4"/>
      <c r="F168" s="4"/>
      <c r="G168" s="3"/>
      <c r="H168" s="4"/>
      <c r="I168" s="3"/>
      <c r="J168" s="4"/>
      <c r="K168" s="3"/>
      <c r="L168" s="4"/>
      <c r="M168" s="75"/>
      <c r="N168" s="70"/>
      <c r="O168" s="3"/>
      <c r="P168" s="4"/>
      <c r="Q168" s="75"/>
      <c r="R168" s="70"/>
      <c r="S168" s="2"/>
      <c r="T168" s="2"/>
      <c r="U168" s="2"/>
      <c r="V168" s="2"/>
      <c r="W168" s="2"/>
    </row>
    <row r="169" spans="1:23" s="73" customFormat="1" ht="12.75" customHeight="1">
      <c r="A169" s="2"/>
      <c r="B169" s="2"/>
      <c r="C169" s="2"/>
      <c r="D169" s="4"/>
      <c r="E169" s="4"/>
      <c r="F169" s="4"/>
      <c r="G169" s="3"/>
      <c r="H169" s="4"/>
      <c r="I169" s="3"/>
      <c r="J169" s="4"/>
      <c r="K169" s="3"/>
      <c r="L169" s="4"/>
      <c r="M169" s="75"/>
      <c r="N169" s="70"/>
      <c r="O169" s="3"/>
      <c r="P169" s="4"/>
      <c r="Q169" s="75"/>
      <c r="R169" s="70"/>
      <c r="S169" s="2"/>
      <c r="T169" s="2"/>
      <c r="U169" s="2"/>
      <c r="V169" s="2"/>
      <c r="W169" s="2"/>
    </row>
    <row r="170" spans="1:23" s="73" customFormat="1" ht="12.75" customHeight="1">
      <c r="A170" s="2"/>
      <c r="B170" s="2"/>
      <c r="C170" s="2"/>
      <c r="D170" s="4"/>
      <c r="E170" s="4"/>
      <c r="F170" s="4"/>
      <c r="G170" s="3"/>
      <c r="H170" s="4"/>
      <c r="I170" s="3"/>
      <c r="J170" s="4"/>
      <c r="K170" s="3"/>
      <c r="L170" s="4"/>
      <c r="M170" s="75"/>
      <c r="N170" s="70"/>
      <c r="O170" s="3"/>
      <c r="P170" s="4"/>
      <c r="Q170" s="75"/>
      <c r="R170" s="70"/>
      <c r="S170" s="2"/>
      <c r="T170" s="2"/>
      <c r="U170" s="2"/>
      <c r="V170" s="2"/>
      <c r="W170" s="2"/>
    </row>
    <row r="171" spans="1:23" s="73" customFormat="1" ht="12.75" customHeight="1">
      <c r="A171" s="2"/>
      <c r="B171" s="2"/>
      <c r="C171" s="2"/>
      <c r="D171" s="4"/>
      <c r="E171" s="4"/>
      <c r="F171" s="4"/>
      <c r="G171" s="3"/>
      <c r="H171" s="4"/>
      <c r="I171" s="3"/>
      <c r="J171" s="4"/>
      <c r="K171" s="3"/>
      <c r="L171" s="4"/>
      <c r="M171" s="75"/>
      <c r="N171" s="70"/>
      <c r="O171" s="3"/>
      <c r="P171" s="4"/>
      <c r="Q171" s="75"/>
      <c r="R171" s="70"/>
      <c r="S171" s="2"/>
      <c r="T171" s="2"/>
      <c r="U171" s="2"/>
      <c r="V171" s="2"/>
      <c r="W171" s="2"/>
    </row>
    <row r="172" spans="1:23" s="73" customFormat="1" ht="12.75" customHeight="1">
      <c r="A172" s="2"/>
      <c r="B172" s="2"/>
      <c r="C172" s="2"/>
      <c r="D172" s="4"/>
      <c r="E172" s="4"/>
      <c r="F172" s="4"/>
      <c r="G172" s="3"/>
      <c r="H172" s="4"/>
      <c r="I172" s="3"/>
      <c r="J172" s="4"/>
      <c r="K172" s="3"/>
      <c r="L172" s="4"/>
      <c r="M172" s="75"/>
      <c r="N172" s="70"/>
      <c r="O172" s="3"/>
      <c r="P172" s="4"/>
      <c r="Q172" s="75"/>
      <c r="R172" s="70"/>
      <c r="S172" s="2"/>
      <c r="T172" s="2"/>
      <c r="U172" s="2"/>
      <c r="V172" s="2"/>
      <c r="W172" s="2"/>
    </row>
    <row r="173" spans="1:23" s="73" customFormat="1" ht="12.75" customHeight="1">
      <c r="A173" s="2"/>
      <c r="B173" s="2"/>
      <c r="C173" s="2"/>
      <c r="D173" s="4"/>
      <c r="E173" s="4"/>
      <c r="F173" s="4"/>
      <c r="G173" s="3"/>
      <c r="H173" s="4"/>
      <c r="I173" s="3"/>
      <c r="J173" s="4"/>
      <c r="K173" s="3"/>
      <c r="L173" s="4"/>
      <c r="M173" s="75"/>
      <c r="N173" s="70"/>
      <c r="O173" s="3"/>
      <c r="P173" s="4"/>
      <c r="Q173" s="75"/>
      <c r="R173" s="70"/>
      <c r="S173" s="2"/>
      <c r="T173" s="2"/>
      <c r="U173" s="2"/>
      <c r="V173" s="2"/>
      <c r="W173" s="2"/>
    </row>
    <row r="174" spans="1:23" s="73" customFormat="1" ht="12.75" customHeight="1">
      <c r="A174" s="2"/>
      <c r="B174" s="2"/>
      <c r="C174" s="2"/>
      <c r="D174" s="4"/>
      <c r="E174" s="4"/>
      <c r="F174" s="4"/>
      <c r="G174" s="3"/>
      <c r="H174" s="4"/>
      <c r="I174" s="3"/>
      <c r="J174" s="4"/>
      <c r="K174" s="3"/>
      <c r="L174" s="4"/>
      <c r="M174" s="75"/>
      <c r="N174" s="70"/>
      <c r="O174" s="3"/>
      <c r="P174" s="4"/>
      <c r="Q174" s="75"/>
      <c r="R174" s="70"/>
      <c r="S174" s="2"/>
      <c r="T174" s="2"/>
      <c r="U174" s="2"/>
      <c r="V174" s="2"/>
      <c r="W174" s="2"/>
    </row>
    <row r="175" spans="1:23" s="73" customFormat="1" ht="12.75" customHeight="1">
      <c r="A175" s="2"/>
      <c r="B175" s="2"/>
      <c r="C175" s="2"/>
      <c r="D175" s="4"/>
      <c r="E175" s="4"/>
      <c r="F175" s="4"/>
      <c r="G175" s="3"/>
      <c r="H175" s="4"/>
      <c r="I175" s="3"/>
      <c r="J175" s="4"/>
      <c r="K175" s="3"/>
      <c r="L175" s="4"/>
      <c r="M175" s="75"/>
      <c r="N175" s="70"/>
      <c r="O175" s="3"/>
      <c r="P175" s="4"/>
      <c r="Q175" s="75"/>
      <c r="R175" s="70"/>
      <c r="S175" s="2"/>
      <c r="T175" s="2"/>
      <c r="U175" s="2"/>
      <c r="V175" s="2"/>
      <c r="W175" s="2"/>
    </row>
    <row r="176" spans="1:23" s="73" customFormat="1" ht="12.75" customHeight="1">
      <c r="A176" s="2"/>
      <c r="B176" s="2"/>
      <c r="C176" s="2"/>
      <c r="D176" s="4"/>
      <c r="E176" s="4"/>
      <c r="F176" s="4"/>
      <c r="G176" s="3"/>
      <c r="H176" s="4"/>
      <c r="I176" s="3"/>
      <c r="J176" s="4"/>
      <c r="K176" s="3"/>
      <c r="L176" s="4"/>
      <c r="M176" s="75"/>
      <c r="N176" s="70"/>
      <c r="O176" s="3"/>
      <c r="P176" s="4"/>
      <c r="Q176" s="75"/>
      <c r="R176" s="70"/>
      <c r="S176" s="2"/>
      <c r="T176" s="2"/>
      <c r="U176" s="2"/>
      <c r="V176" s="2"/>
      <c r="W176" s="2"/>
    </row>
    <row r="177" spans="1:23" s="73" customFormat="1" ht="12.75" customHeight="1">
      <c r="A177" s="2"/>
      <c r="B177" s="2"/>
      <c r="C177" s="2"/>
      <c r="D177" s="4"/>
      <c r="E177" s="4"/>
      <c r="F177" s="4"/>
      <c r="G177" s="3"/>
      <c r="H177" s="4"/>
      <c r="I177" s="3"/>
      <c r="J177" s="4"/>
      <c r="K177" s="3"/>
      <c r="L177" s="4"/>
      <c r="M177" s="75"/>
      <c r="N177" s="70"/>
      <c r="O177" s="3"/>
      <c r="P177" s="4"/>
      <c r="Q177" s="75"/>
      <c r="R177" s="70"/>
      <c r="S177" s="2"/>
      <c r="T177" s="2"/>
      <c r="U177" s="2"/>
      <c r="V177" s="2"/>
      <c r="W177" s="2"/>
    </row>
    <row r="178" spans="1:23" s="73" customFormat="1" ht="12.75" customHeight="1">
      <c r="A178" s="2"/>
      <c r="B178" s="2"/>
      <c r="C178" s="2"/>
      <c r="D178" s="4"/>
      <c r="E178" s="4"/>
      <c r="F178" s="4"/>
      <c r="G178" s="3"/>
      <c r="H178" s="4"/>
      <c r="I178" s="3"/>
      <c r="J178" s="4"/>
      <c r="K178" s="3"/>
      <c r="L178" s="4"/>
      <c r="M178" s="75"/>
      <c r="N178" s="70"/>
      <c r="O178" s="3"/>
      <c r="P178" s="4"/>
      <c r="Q178" s="75"/>
      <c r="R178" s="70"/>
      <c r="S178" s="2"/>
      <c r="T178" s="2"/>
      <c r="U178" s="2"/>
      <c r="V178" s="2"/>
      <c r="W178" s="2"/>
    </row>
    <row r="179" spans="1:23" s="73" customFormat="1" ht="12.75" customHeight="1">
      <c r="A179" s="2"/>
      <c r="B179" s="2"/>
      <c r="C179" s="2"/>
      <c r="D179" s="4"/>
      <c r="E179" s="4"/>
      <c r="F179" s="4"/>
      <c r="G179" s="3"/>
      <c r="H179" s="4"/>
      <c r="I179" s="3"/>
      <c r="J179" s="4"/>
      <c r="K179" s="3"/>
      <c r="L179" s="4"/>
      <c r="M179" s="75"/>
      <c r="N179" s="70"/>
      <c r="O179" s="3"/>
      <c r="P179" s="4"/>
      <c r="Q179" s="75"/>
      <c r="R179" s="70"/>
      <c r="S179" s="2"/>
      <c r="T179" s="2"/>
      <c r="U179" s="2"/>
      <c r="V179" s="2"/>
      <c r="W179" s="2"/>
    </row>
    <row r="180" spans="1:23" s="73" customFormat="1" ht="12.75" customHeight="1">
      <c r="A180" s="2"/>
      <c r="B180" s="2"/>
      <c r="C180" s="2"/>
      <c r="D180" s="4"/>
      <c r="E180" s="4"/>
      <c r="F180" s="4"/>
      <c r="G180" s="3"/>
      <c r="H180" s="4"/>
      <c r="I180" s="3"/>
      <c r="J180" s="4"/>
      <c r="K180" s="3"/>
      <c r="L180" s="4"/>
      <c r="M180" s="75"/>
      <c r="N180" s="70"/>
      <c r="O180" s="3"/>
      <c r="P180" s="4"/>
      <c r="Q180" s="75"/>
      <c r="R180" s="70"/>
      <c r="S180" s="2"/>
      <c r="T180" s="2"/>
      <c r="U180" s="2"/>
      <c r="V180" s="2"/>
      <c r="W180" s="2"/>
    </row>
    <row r="181" spans="1:23" s="73" customFormat="1" ht="12.75" customHeight="1">
      <c r="A181" s="2"/>
      <c r="B181" s="2"/>
      <c r="C181" s="2"/>
      <c r="D181" s="4"/>
      <c r="E181" s="4"/>
      <c r="F181" s="4"/>
      <c r="G181" s="3"/>
      <c r="H181" s="4"/>
      <c r="I181" s="3"/>
      <c r="J181" s="4"/>
      <c r="K181" s="3"/>
      <c r="L181" s="4"/>
      <c r="M181" s="75"/>
      <c r="N181" s="70"/>
      <c r="O181" s="3"/>
      <c r="P181" s="4"/>
      <c r="Q181" s="75"/>
      <c r="R181" s="70"/>
      <c r="S181" s="2"/>
      <c r="T181" s="2"/>
      <c r="U181" s="2"/>
      <c r="V181" s="2"/>
      <c r="W181" s="2"/>
    </row>
    <row r="182" spans="1:23" s="73" customFormat="1" ht="12.75" customHeight="1">
      <c r="A182" s="2"/>
      <c r="B182" s="2"/>
      <c r="C182" s="2"/>
      <c r="D182" s="4"/>
      <c r="E182" s="4"/>
      <c r="F182" s="4"/>
      <c r="G182" s="3"/>
      <c r="H182" s="4"/>
      <c r="I182" s="3"/>
      <c r="J182" s="4"/>
      <c r="K182" s="3"/>
      <c r="L182" s="4"/>
      <c r="M182" s="75"/>
      <c r="N182" s="70"/>
      <c r="O182" s="3"/>
      <c r="P182" s="4"/>
      <c r="Q182" s="75"/>
      <c r="R182" s="70"/>
      <c r="S182" s="2"/>
      <c r="T182" s="2"/>
      <c r="U182" s="2"/>
      <c r="V182" s="2"/>
      <c r="W182" s="2"/>
    </row>
    <row r="183" spans="1:23" s="73" customFormat="1" ht="12.75" customHeight="1">
      <c r="A183" s="2"/>
      <c r="B183" s="2"/>
      <c r="C183" s="2"/>
      <c r="D183" s="4"/>
      <c r="E183" s="4"/>
      <c r="F183" s="4"/>
      <c r="G183" s="3"/>
      <c r="H183" s="4"/>
      <c r="I183" s="3"/>
      <c r="J183" s="4"/>
      <c r="K183" s="3"/>
      <c r="L183" s="4"/>
      <c r="M183" s="75"/>
      <c r="N183" s="70"/>
      <c r="O183" s="3"/>
      <c r="P183" s="4"/>
      <c r="Q183" s="75"/>
      <c r="R183" s="70"/>
      <c r="S183" s="2"/>
      <c r="T183" s="2"/>
      <c r="U183" s="2"/>
      <c r="V183" s="2"/>
      <c r="W183" s="2"/>
    </row>
    <row r="184" spans="1:23" s="73" customFormat="1" ht="12.75" customHeight="1">
      <c r="A184" s="2"/>
      <c r="B184" s="2"/>
      <c r="C184" s="2"/>
      <c r="D184" s="4"/>
      <c r="E184" s="4"/>
      <c r="F184" s="4"/>
      <c r="G184" s="3"/>
      <c r="H184" s="4"/>
      <c r="I184" s="3"/>
      <c r="J184" s="4"/>
      <c r="K184" s="3"/>
      <c r="L184" s="4"/>
      <c r="M184" s="75"/>
      <c r="N184" s="70"/>
      <c r="O184" s="3"/>
      <c r="P184" s="4"/>
      <c r="Q184" s="75"/>
      <c r="R184" s="70"/>
      <c r="S184" s="2"/>
      <c r="T184" s="2"/>
      <c r="U184" s="2"/>
      <c r="V184" s="2"/>
      <c r="W184" s="2"/>
    </row>
    <row r="185" spans="1:23" s="73" customFormat="1" ht="12.75" customHeight="1">
      <c r="A185" s="2"/>
      <c r="B185" s="2"/>
      <c r="C185" s="2"/>
      <c r="D185" s="4"/>
      <c r="E185" s="4"/>
      <c r="F185" s="4"/>
      <c r="G185" s="3"/>
      <c r="H185" s="4"/>
      <c r="I185" s="3"/>
      <c r="J185" s="4"/>
      <c r="K185" s="3"/>
      <c r="L185" s="4"/>
      <c r="M185" s="75"/>
      <c r="N185" s="70"/>
      <c r="O185" s="3"/>
      <c r="P185" s="4"/>
      <c r="Q185" s="75"/>
      <c r="R185" s="70"/>
      <c r="S185" s="2"/>
      <c r="T185" s="2"/>
      <c r="U185" s="2"/>
      <c r="V185" s="2"/>
      <c r="W185" s="2"/>
    </row>
    <row r="186" spans="1:23" s="73" customFormat="1" ht="12.75" customHeight="1">
      <c r="A186" s="2"/>
      <c r="B186" s="2"/>
      <c r="C186" s="2"/>
      <c r="D186" s="4"/>
      <c r="E186" s="4"/>
      <c r="F186" s="4"/>
      <c r="G186" s="3"/>
      <c r="H186" s="4"/>
      <c r="I186" s="3"/>
      <c r="J186" s="4"/>
      <c r="K186" s="3"/>
      <c r="L186" s="4"/>
      <c r="M186" s="75"/>
      <c r="N186" s="70"/>
      <c r="O186" s="3"/>
      <c r="P186" s="4"/>
      <c r="Q186" s="75"/>
      <c r="R186" s="70"/>
      <c r="S186" s="2"/>
      <c r="T186" s="2"/>
      <c r="U186" s="2"/>
      <c r="V186" s="2"/>
      <c r="W186" s="2"/>
    </row>
    <row r="187" spans="1:23" s="73" customFormat="1" ht="12.75" customHeight="1">
      <c r="A187" s="2"/>
      <c r="B187" s="2"/>
      <c r="C187" s="2"/>
      <c r="D187" s="4"/>
      <c r="E187" s="4"/>
      <c r="F187" s="4"/>
      <c r="G187" s="3"/>
      <c r="H187" s="4"/>
      <c r="I187" s="3"/>
      <c r="J187" s="4"/>
      <c r="K187" s="3"/>
      <c r="L187" s="4"/>
      <c r="M187" s="75"/>
      <c r="N187" s="70"/>
      <c r="O187" s="3"/>
      <c r="P187" s="4"/>
      <c r="Q187" s="75"/>
      <c r="R187" s="70"/>
      <c r="S187" s="2"/>
      <c r="T187" s="2"/>
      <c r="U187" s="2"/>
      <c r="V187" s="2"/>
      <c r="W187" s="2"/>
    </row>
    <row r="188" spans="1:23" s="73" customFormat="1" ht="12.75" customHeight="1">
      <c r="A188" s="2"/>
      <c r="B188" s="2"/>
      <c r="C188" s="2"/>
      <c r="D188" s="4"/>
      <c r="E188" s="4"/>
      <c r="F188" s="4"/>
      <c r="G188" s="3"/>
      <c r="H188" s="4"/>
      <c r="I188" s="3"/>
      <c r="J188" s="4"/>
      <c r="K188" s="3"/>
      <c r="L188" s="4"/>
      <c r="M188" s="75"/>
      <c r="N188" s="70"/>
      <c r="O188" s="3"/>
      <c r="P188" s="4"/>
      <c r="Q188" s="75"/>
      <c r="R188" s="70"/>
      <c r="S188" s="2"/>
      <c r="T188" s="2"/>
      <c r="U188" s="2"/>
      <c r="V188" s="2"/>
      <c r="W188" s="2"/>
    </row>
    <row r="189" spans="1:23" s="73" customFormat="1" ht="12.75" customHeight="1">
      <c r="A189" s="2"/>
      <c r="B189" s="2"/>
      <c r="C189" s="2"/>
      <c r="D189" s="4"/>
      <c r="E189" s="4"/>
      <c r="F189" s="4"/>
      <c r="G189" s="3"/>
      <c r="H189" s="4"/>
      <c r="I189" s="3"/>
      <c r="J189" s="4"/>
      <c r="K189" s="3"/>
      <c r="L189" s="4"/>
      <c r="M189" s="75"/>
      <c r="N189" s="70"/>
      <c r="O189" s="3"/>
      <c r="P189" s="4"/>
      <c r="Q189" s="75"/>
      <c r="R189" s="70"/>
      <c r="S189" s="2"/>
      <c r="T189" s="2"/>
      <c r="U189" s="2"/>
      <c r="V189" s="2"/>
      <c r="W189" s="2"/>
    </row>
    <row r="190" spans="1:23" s="73" customFormat="1" ht="12.75" customHeight="1">
      <c r="A190" s="2"/>
      <c r="B190" s="2"/>
      <c r="C190" s="2"/>
      <c r="D190" s="4"/>
      <c r="E190" s="4"/>
      <c r="F190" s="4"/>
      <c r="G190" s="3"/>
      <c r="H190" s="4"/>
      <c r="I190" s="3"/>
      <c r="J190" s="4"/>
      <c r="K190" s="3"/>
      <c r="L190" s="4"/>
      <c r="M190" s="75"/>
      <c r="N190" s="70"/>
      <c r="O190" s="3"/>
      <c r="P190" s="4"/>
      <c r="Q190" s="75"/>
      <c r="R190" s="70"/>
      <c r="S190" s="2"/>
      <c r="T190" s="2"/>
      <c r="U190" s="2"/>
      <c r="V190" s="2"/>
      <c r="W190" s="2"/>
    </row>
    <row r="191" spans="1:23" s="73" customFormat="1" ht="12.75" customHeight="1">
      <c r="A191" s="2"/>
      <c r="B191" s="2"/>
      <c r="C191" s="2"/>
      <c r="D191" s="4"/>
      <c r="E191" s="4"/>
      <c r="F191" s="4"/>
      <c r="G191" s="3"/>
      <c r="H191" s="4"/>
      <c r="I191" s="3"/>
      <c r="J191" s="4"/>
      <c r="K191" s="3"/>
      <c r="L191" s="4"/>
      <c r="M191" s="75"/>
      <c r="N191" s="70"/>
      <c r="O191" s="3"/>
      <c r="P191" s="4"/>
      <c r="Q191" s="75"/>
      <c r="R191" s="70"/>
      <c r="S191" s="2"/>
      <c r="T191" s="2"/>
      <c r="U191" s="2"/>
      <c r="V191" s="2"/>
      <c r="W191" s="2"/>
    </row>
    <row r="192" spans="1:23" s="73" customFormat="1" ht="12.75" customHeight="1">
      <c r="A192" s="2"/>
      <c r="B192" s="2"/>
      <c r="C192" s="2"/>
      <c r="D192" s="4"/>
      <c r="E192" s="4"/>
      <c r="F192" s="4"/>
      <c r="G192" s="3"/>
      <c r="H192" s="4"/>
      <c r="I192" s="3"/>
      <c r="J192" s="4"/>
      <c r="K192" s="3"/>
      <c r="L192" s="4"/>
      <c r="M192" s="75"/>
      <c r="N192" s="70"/>
      <c r="O192" s="3"/>
      <c r="P192" s="4"/>
      <c r="Q192" s="75"/>
      <c r="R192" s="70"/>
      <c r="S192" s="2"/>
      <c r="T192" s="2"/>
      <c r="U192" s="2"/>
      <c r="V192" s="2"/>
      <c r="W192" s="2"/>
    </row>
    <row r="193" spans="1:23" s="73" customFormat="1" ht="12.75" customHeight="1">
      <c r="A193" s="2"/>
      <c r="B193" s="2"/>
      <c r="C193" s="2"/>
      <c r="D193" s="4"/>
      <c r="E193" s="4"/>
      <c r="F193" s="4"/>
      <c r="G193" s="3"/>
      <c r="H193" s="4"/>
      <c r="I193" s="3"/>
      <c r="J193" s="4"/>
      <c r="K193" s="3"/>
      <c r="L193" s="4"/>
      <c r="M193" s="75"/>
      <c r="N193" s="70"/>
      <c r="O193" s="3"/>
      <c r="P193" s="4"/>
      <c r="Q193" s="75"/>
      <c r="R193" s="70"/>
      <c r="S193" s="2"/>
      <c r="T193" s="2"/>
      <c r="U193" s="2"/>
      <c r="V193" s="2"/>
      <c r="W193" s="2"/>
    </row>
    <row r="194" spans="1:23" s="73" customFormat="1" ht="12.75" customHeight="1">
      <c r="A194" s="2"/>
      <c r="B194" s="2"/>
      <c r="C194" s="2"/>
      <c r="D194" s="4"/>
      <c r="E194" s="4"/>
      <c r="F194" s="4"/>
      <c r="G194" s="3"/>
      <c r="H194" s="4"/>
      <c r="I194" s="3"/>
      <c r="J194" s="4"/>
      <c r="K194" s="3"/>
      <c r="L194" s="4"/>
      <c r="M194" s="75"/>
      <c r="N194" s="70"/>
      <c r="O194" s="3"/>
      <c r="P194" s="4"/>
      <c r="Q194" s="75"/>
      <c r="R194" s="70"/>
      <c r="S194" s="2"/>
      <c r="T194" s="2"/>
      <c r="U194" s="2"/>
      <c r="V194" s="2"/>
      <c r="W194" s="2"/>
    </row>
    <row r="195" spans="1:23" s="73" customFormat="1" ht="12.75" customHeight="1">
      <c r="A195" s="2"/>
      <c r="B195" s="2"/>
      <c r="C195" s="2"/>
      <c r="D195" s="4"/>
      <c r="E195" s="4"/>
      <c r="F195" s="4"/>
      <c r="G195" s="3"/>
      <c r="H195" s="4"/>
      <c r="I195" s="3"/>
      <c r="J195" s="4"/>
      <c r="K195" s="3"/>
      <c r="L195" s="4"/>
      <c r="M195" s="75"/>
      <c r="N195" s="70"/>
      <c r="O195" s="3"/>
      <c r="P195" s="4"/>
      <c r="Q195" s="75"/>
      <c r="R195" s="70"/>
      <c r="S195" s="2"/>
      <c r="T195" s="2"/>
      <c r="U195" s="2"/>
      <c r="V195" s="2"/>
      <c r="W195" s="2"/>
    </row>
    <row r="196" spans="1:23" s="73" customFormat="1" ht="12.75" customHeight="1">
      <c r="A196" s="2"/>
      <c r="B196" s="2"/>
      <c r="C196" s="2"/>
      <c r="D196" s="4"/>
      <c r="E196" s="4"/>
      <c r="F196" s="4"/>
      <c r="G196" s="3"/>
      <c r="H196" s="4"/>
      <c r="I196" s="3"/>
      <c r="J196" s="4"/>
      <c r="K196" s="3"/>
      <c r="L196" s="4"/>
      <c r="M196" s="75"/>
      <c r="N196" s="70"/>
      <c r="O196" s="3"/>
      <c r="P196" s="4"/>
      <c r="Q196" s="75"/>
      <c r="R196" s="70"/>
      <c r="S196" s="2"/>
      <c r="T196" s="2"/>
      <c r="U196" s="2"/>
      <c r="V196" s="2"/>
      <c r="W196" s="2"/>
    </row>
    <row r="197" spans="1:23" s="73" customFormat="1" ht="12.75" customHeight="1">
      <c r="A197" s="2"/>
      <c r="B197" s="2"/>
      <c r="C197" s="2"/>
      <c r="D197" s="4"/>
      <c r="E197" s="4"/>
      <c r="F197" s="4"/>
      <c r="G197" s="3"/>
      <c r="H197" s="4"/>
      <c r="I197" s="3"/>
      <c r="J197" s="4"/>
      <c r="K197" s="3"/>
      <c r="L197" s="4"/>
      <c r="M197" s="75"/>
      <c r="N197" s="70"/>
      <c r="O197" s="3"/>
      <c r="P197" s="4"/>
      <c r="Q197" s="75"/>
      <c r="R197" s="70"/>
      <c r="S197" s="2"/>
      <c r="T197" s="2"/>
      <c r="U197" s="2"/>
      <c r="V197" s="2"/>
      <c r="W197" s="2"/>
    </row>
    <row r="198" spans="1:23" s="73" customFormat="1" ht="12.75" customHeight="1">
      <c r="A198" s="2"/>
      <c r="B198" s="2"/>
      <c r="C198" s="2"/>
      <c r="D198" s="4"/>
      <c r="E198" s="4"/>
      <c r="F198" s="4"/>
      <c r="G198" s="3"/>
      <c r="H198" s="4"/>
      <c r="I198" s="3"/>
      <c r="J198" s="4"/>
      <c r="K198" s="3"/>
      <c r="L198" s="4"/>
      <c r="M198" s="75"/>
      <c r="N198" s="70"/>
      <c r="O198" s="3"/>
      <c r="P198" s="4"/>
      <c r="Q198" s="75"/>
      <c r="R198" s="70"/>
      <c r="S198" s="2"/>
      <c r="T198" s="2"/>
      <c r="U198" s="2"/>
      <c r="V198" s="2"/>
      <c r="W198" s="2"/>
    </row>
    <row r="199" spans="1:23" s="73" customFormat="1" ht="12.75" customHeight="1">
      <c r="A199" s="2"/>
      <c r="B199" s="2"/>
      <c r="C199" s="2"/>
      <c r="D199" s="4"/>
      <c r="E199" s="4"/>
      <c r="F199" s="4"/>
      <c r="G199" s="3"/>
      <c r="H199" s="4"/>
      <c r="I199" s="3"/>
      <c r="J199" s="4"/>
      <c r="K199" s="3"/>
      <c r="L199" s="4"/>
      <c r="M199" s="75"/>
      <c r="N199" s="70"/>
      <c r="O199" s="3"/>
      <c r="P199" s="4"/>
      <c r="Q199" s="75"/>
      <c r="R199" s="70"/>
      <c r="S199" s="2"/>
      <c r="T199" s="2"/>
      <c r="U199" s="2"/>
      <c r="V199" s="2"/>
      <c r="W199" s="2"/>
    </row>
    <row r="200" spans="1:23" s="73" customFormat="1" ht="12.75" customHeight="1">
      <c r="A200" s="2"/>
      <c r="B200" s="2"/>
      <c r="C200" s="2"/>
      <c r="D200" s="4"/>
      <c r="E200" s="4"/>
      <c r="F200" s="4"/>
      <c r="G200" s="3"/>
      <c r="H200" s="4"/>
      <c r="I200" s="3"/>
      <c r="J200" s="4"/>
      <c r="K200" s="3"/>
      <c r="L200" s="4"/>
      <c r="M200" s="75"/>
      <c r="N200" s="70"/>
      <c r="O200" s="3"/>
      <c r="P200" s="4"/>
      <c r="Q200" s="75"/>
      <c r="R200" s="70"/>
      <c r="S200" s="2"/>
      <c r="T200" s="2"/>
      <c r="U200" s="2"/>
      <c r="V200" s="2"/>
      <c r="W200" s="2"/>
    </row>
    <row r="201" spans="1:23" s="73" customFormat="1" ht="12.75" customHeight="1">
      <c r="A201" s="2"/>
      <c r="B201" s="2"/>
      <c r="C201" s="2"/>
      <c r="D201" s="4"/>
      <c r="E201" s="4"/>
      <c r="F201" s="4"/>
      <c r="G201" s="3"/>
      <c r="H201" s="4"/>
      <c r="I201" s="3"/>
      <c r="J201" s="4"/>
      <c r="K201" s="3"/>
      <c r="L201" s="4"/>
      <c r="M201" s="75"/>
      <c r="N201" s="70"/>
      <c r="O201" s="3"/>
      <c r="P201" s="4"/>
      <c r="Q201" s="75"/>
      <c r="R201" s="70"/>
      <c r="S201" s="2"/>
      <c r="T201" s="2"/>
      <c r="U201" s="2"/>
      <c r="V201" s="2"/>
      <c r="W201" s="2"/>
    </row>
    <row r="202" spans="1:23" s="73" customFormat="1" ht="12.75" customHeight="1">
      <c r="A202" s="2"/>
      <c r="B202" s="2"/>
      <c r="C202" s="2"/>
      <c r="D202" s="4"/>
      <c r="E202" s="4"/>
      <c r="F202" s="4"/>
      <c r="G202" s="3"/>
      <c r="H202" s="4"/>
      <c r="I202" s="3"/>
      <c r="J202" s="4"/>
      <c r="K202" s="3"/>
      <c r="L202" s="4"/>
      <c r="M202" s="75"/>
      <c r="N202" s="70"/>
      <c r="O202" s="3"/>
      <c r="P202" s="4"/>
      <c r="Q202" s="75"/>
      <c r="R202" s="70"/>
      <c r="S202" s="2"/>
      <c r="T202" s="2"/>
      <c r="U202" s="2"/>
      <c r="V202" s="2"/>
      <c r="W202" s="2"/>
    </row>
    <row r="203" spans="1:23" s="73" customFormat="1" ht="12.75" customHeight="1">
      <c r="A203" s="2"/>
      <c r="B203" s="2"/>
      <c r="C203" s="2"/>
      <c r="D203" s="4"/>
      <c r="E203" s="4"/>
      <c r="F203" s="4"/>
      <c r="G203" s="3"/>
      <c r="H203" s="4"/>
      <c r="I203" s="3"/>
      <c r="J203" s="4"/>
      <c r="K203" s="3"/>
      <c r="L203" s="4"/>
      <c r="M203" s="75"/>
      <c r="N203" s="70"/>
      <c r="O203" s="3"/>
      <c r="P203" s="4"/>
      <c r="Q203" s="75"/>
      <c r="R203" s="70"/>
      <c r="S203" s="2"/>
      <c r="T203" s="2"/>
      <c r="U203" s="2"/>
      <c r="V203" s="2"/>
      <c r="W203" s="2"/>
    </row>
    <row r="204" spans="1:23" s="73" customFormat="1" ht="12.75" customHeight="1">
      <c r="A204" s="2"/>
      <c r="B204" s="2"/>
      <c r="C204" s="2"/>
      <c r="D204" s="4"/>
      <c r="E204" s="4"/>
      <c r="F204" s="4"/>
      <c r="G204" s="3"/>
      <c r="H204" s="4"/>
      <c r="I204" s="3"/>
      <c r="J204" s="4"/>
      <c r="K204" s="3"/>
      <c r="L204" s="4"/>
      <c r="M204" s="75"/>
      <c r="N204" s="70"/>
      <c r="O204" s="3"/>
      <c r="P204" s="4"/>
      <c r="Q204" s="75"/>
      <c r="R204" s="70"/>
      <c r="S204" s="2"/>
      <c r="T204" s="2"/>
      <c r="U204" s="2"/>
      <c r="V204" s="2"/>
      <c r="W204" s="2"/>
    </row>
    <row r="205" spans="1:23" s="73" customFormat="1" ht="12.75" customHeight="1">
      <c r="A205" s="2"/>
      <c r="B205" s="2"/>
      <c r="C205" s="2"/>
      <c r="D205" s="4"/>
      <c r="E205" s="4"/>
      <c r="F205" s="4"/>
      <c r="G205" s="3"/>
      <c r="H205" s="4"/>
      <c r="I205" s="3"/>
      <c r="J205" s="4"/>
      <c r="K205" s="3"/>
      <c r="L205" s="4"/>
      <c r="M205" s="75"/>
      <c r="N205" s="70"/>
      <c r="O205" s="3"/>
      <c r="P205" s="4"/>
      <c r="Q205" s="75"/>
      <c r="R205" s="70"/>
      <c r="S205" s="2"/>
      <c r="T205" s="2"/>
      <c r="U205" s="2"/>
      <c r="V205" s="2"/>
      <c r="W205" s="2"/>
    </row>
    <row r="206" spans="1:23" s="73" customFormat="1" ht="12.75" customHeight="1">
      <c r="A206" s="2"/>
      <c r="B206" s="2"/>
      <c r="C206" s="2"/>
      <c r="D206" s="4"/>
      <c r="E206" s="4"/>
      <c r="F206" s="4"/>
      <c r="G206" s="3"/>
      <c r="H206" s="4"/>
      <c r="I206" s="3"/>
      <c r="J206" s="4"/>
      <c r="K206" s="3"/>
      <c r="L206" s="4"/>
      <c r="M206" s="75"/>
      <c r="N206" s="70"/>
      <c r="O206" s="3"/>
      <c r="P206" s="4"/>
      <c r="Q206" s="75"/>
      <c r="R206" s="70"/>
      <c r="S206" s="2"/>
      <c r="T206" s="2"/>
      <c r="U206" s="2"/>
      <c r="V206" s="2"/>
      <c r="W206" s="2"/>
    </row>
    <row r="207" spans="1:23" s="73" customFormat="1" ht="12.75" customHeight="1">
      <c r="A207" s="2"/>
      <c r="B207" s="2"/>
      <c r="C207" s="2"/>
      <c r="D207" s="4"/>
      <c r="E207" s="4"/>
      <c r="F207" s="4"/>
      <c r="G207" s="3"/>
      <c r="H207" s="4"/>
      <c r="I207" s="3"/>
      <c r="J207" s="4"/>
      <c r="K207" s="3"/>
      <c r="L207" s="4"/>
      <c r="M207" s="75"/>
      <c r="N207" s="70"/>
      <c r="O207" s="3"/>
      <c r="P207" s="4"/>
      <c r="Q207" s="75"/>
      <c r="R207" s="70"/>
      <c r="S207" s="2"/>
      <c r="T207" s="2"/>
      <c r="U207" s="2"/>
      <c r="V207" s="2"/>
      <c r="W207" s="2"/>
    </row>
    <row r="208" spans="1:23" s="73" customFormat="1" ht="12.75" customHeight="1">
      <c r="A208" s="2"/>
      <c r="B208" s="2"/>
      <c r="C208" s="2"/>
      <c r="D208" s="4"/>
      <c r="E208" s="4"/>
      <c r="F208" s="4"/>
      <c r="G208" s="3"/>
      <c r="H208" s="4"/>
      <c r="I208" s="3"/>
      <c r="J208" s="4"/>
      <c r="K208" s="3"/>
      <c r="L208" s="4"/>
      <c r="M208" s="75"/>
      <c r="N208" s="70"/>
      <c r="O208" s="3"/>
      <c r="P208" s="4"/>
      <c r="Q208" s="75"/>
      <c r="R208" s="70"/>
      <c r="S208" s="2"/>
      <c r="T208" s="2"/>
      <c r="U208" s="2"/>
      <c r="V208" s="2"/>
      <c r="W208" s="2"/>
    </row>
    <row r="209" spans="1:23" s="73" customFormat="1" ht="12.75" customHeight="1">
      <c r="A209" s="2"/>
      <c r="B209" s="2"/>
      <c r="C209" s="2"/>
      <c r="D209" s="4"/>
      <c r="E209" s="4"/>
      <c r="F209" s="4"/>
      <c r="G209" s="3"/>
      <c r="H209" s="4"/>
      <c r="I209" s="3"/>
      <c r="J209" s="4"/>
      <c r="K209" s="3"/>
      <c r="L209" s="4"/>
      <c r="M209" s="75"/>
      <c r="N209" s="70"/>
      <c r="O209" s="3"/>
      <c r="P209" s="4"/>
      <c r="Q209" s="75"/>
      <c r="R209" s="70"/>
      <c r="S209" s="2"/>
      <c r="T209" s="2"/>
      <c r="U209" s="2"/>
      <c r="V209" s="2"/>
      <c r="W209" s="2"/>
    </row>
    <row r="210" spans="1:23" s="73" customFormat="1" ht="12.75" customHeight="1">
      <c r="A210" s="2"/>
      <c r="B210" s="2"/>
      <c r="C210" s="2"/>
      <c r="D210" s="4"/>
      <c r="E210" s="4"/>
      <c r="F210" s="4"/>
      <c r="G210" s="3"/>
      <c r="H210" s="4"/>
      <c r="I210" s="3"/>
      <c r="J210" s="4"/>
      <c r="K210" s="3"/>
      <c r="L210" s="4"/>
      <c r="M210" s="75"/>
      <c r="N210" s="70"/>
      <c r="O210" s="3"/>
      <c r="P210" s="4"/>
      <c r="Q210" s="75"/>
      <c r="R210" s="70"/>
      <c r="S210" s="2"/>
      <c r="T210" s="2"/>
      <c r="U210" s="2"/>
      <c r="V210" s="2"/>
      <c r="W210" s="2"/>
    </row>
    <row r="211" spans="1:23" s="73" customFormat="1" ht="12.75" customHeight="1">
      <c r="A211" s="2"/>
      <c r="B211" s="2"/>
      <c r="C211" s="2"/>
      <c r="D211" s="4"/>
      <c r="E211" s="4"/>
      <c r="F211" s="4"/>
      <c r="G211" s="3"/>
      <c r="H211" s="4"/>
      <c r="I211" s="3"/>
      <c r="J211" s="4"/>
      <c r="K211" s="3"/>
      <c r="L211" s="4"/>
      <c r="M211" s="75"/>
      <c r="N211" s="70"/>
      <c r="O211" s="3"/>
      <c r="P211" s="4"/>
      <c r="Q211" s="75"/>
      <c r="R211" s="70"/>
      <c r="S211" s="2"/>
      <c r="T211" s="2"/>
      <c r="U211" s="2"/>
      <c r="V211" s="2"/>
      <c r="W211" s="2"/>
    </row>
    <row r="212" spans="1:23" s="73" customFormat="1" ht="12.75" customHeight="1">
      <c r="A212" s="2"/>
      <c r="B212" s="2"/>
      <c r="C212" s="2"/>
      <c r="D212" s="4"/>
      <c r="E212" s="4"/>
      <c r="F212" s="4"/>
      <c r="G212" s="3"/>
      <c r="H212" s="4"/>
      <c r="I212" s="3"/>
      <c r="J212" s="4"/>
      <c r="K212" s="3"/>
      <c r="L212" s="4"/>
      <c r="M212" s="75"/>
      <c r="N212" s="70"/>
      <c r="O212" s="3"/>
      <c r="P212" s="4"/>
      <c r="Q212" s="75"/>
      <c r="R212" s="70"/>
      <c r="S212" s="2"/>
      <c r="T212" s="2"/>
      <c r="U212" s="2"/>
      <c r="V212" s="2"/>
      <c r="W212" s="2"/>
    </row>
    <row r="213" spans="1:23" s="73" customFormat="1" ht="12.75" customHeight="1">
      <c r="A213" s="2"/>
      <c r="B213" s="2"/>
      <c r="C213" s="2"/>
      <c r="D213" s="4"/>
      <c r="E213" s="4"/>
      <c r="F213" s="4"/>
      <c r="G213" s="3"/>
      <c r="H213" s="4"/>
      <c r="I213" s="3"/>
      <c r="J213" s="4"/>
      <c r="K213" s="3"/>
      <c r="L213" s="4"/>
      <c r="M213" s="75"/>
      <c r="N213" s="70"/>
      <c r="O213" s="3"/>
      <c r="P213" s="4"/>
      <c r="Q213" s="75"/>
      <c r="R213" s="70"/>
      <c r="S213" s="2"/>
      <c r="T213" s="2"/>
      <c r="U213" s="2"/>
      <c r="V213" s="2"/>
      <c r="W213" s="2"/>
    </row>
    <row r="214" spans="1:23" s="73" customFormat="1" ht="12.75" customHeight="1">
      <c r="A214" s="2"/>
      <c r="B214" s="2"/>
      <c r="C214" s="2"/>
      <c r="D214" s="4"/>
      <c r="E214" s="4"/>
      <c r="F214" s="4"/>
      <c r="G214" s="3"/>
      <c r="H214" s="4"/>
      <c r="I214" s="3"/>
      <c r="J214" s="4"/>
      <c r="K214" s="3"/>
      <c r="L214" s="4"/>
      <c r="M214" s="75"/>
      <c r="N214" s="70"/>
      <c r="O214" s="3"/>
      <c r="P214" s="4"/>
      <c r="Q214" s="75"/>
      <c r="R214" s="70"/>
      <c r="S214" s="2"/>
      <c r="T214" s="2"/>
      <c r="U214" s="2"/>
      <c r="V214" s="2"/>
      <c r="W214" s="2"/>
    </row>
    <row r="215" spans="1:23" s="73" customFormat="1" ht="12.75" customHeight="1">
      <c r="A215" s="2"/>
      <c r="B215" s="2"/>
      <c r="C215" s="2"/>
      <c r="D215" s="4"/>
      <c r="E215" s="4"/>
      <c r="F215" s="4"/>
      <c r="G215" s="3"/>
      <c r="H215" s="4"/>
      <c r="I215" s="3"/>
      <c r="J215" s="4"/>
      <c r="K215" s="3"/>
      <c r="L215" s="4"/>
      <c r="M215" s="75"/>
      <c r="N215" s="70"/>
      <c r="O215" s="3"/>
      <c r="P215" s="4"/>
      <c r="Q215" s="75"/>
      <c r="R215" s="70"/>
      <c r="S215" s="2"/>
      <c r="T215" s="2"/>
      <c r="U215" s="2"/>
      <c r="V215" s="2"/>
      <c r="W215" s="2"/>
    </row>
    <row r="216" spans="1:23" s="73" customFormat="1" ht="12.75" customHeight="1">
      <c r="A216" s="2"/>
      <c r="B216" s="2"/>
      <c r="C216" s="2"/>
      <c r="D216" s="4"/>
      <c r="E216" s="4"/>
      <c r="F216" s="4"/>
      <c r="G216" s="3"/>
      <c r="H216" s="4"/>
      <c r="I216" s="3"/>
      <c r="J216" s="4"/>
      <c r="K216" s="3"/>
      <c r="L216" s="4"/>
      <c r="M216" s="75"/>
      <c r="N216" s="70"/>
      <c r="O216" s="3"/>
      <c r="P216" s="4"/>
      <c r="Q216" s="75"/>
      <c r="R216" s="70"/>
      <c r="S216" s="2"/>
      <c r="T216" s="2"/>
      <c r="U216" s="2"/>
      <c r="V216" s="2"/>
      <c r="W216" s="2"/>
    </row>
    <row r="217" spans="1:23" s="73" customFormat="1" ht="12.75" customHeight="1">
      <c r="A217" s="2"/>
      <c r="B217" s="2"/>
      <c r="C217" s="2"/>
      <c r="D217" s="4"/>
      <c r="E217" s="4"/>
      <c r="F217" s="4"/>
      <c r="G217" s="3"/>
      <c r="H217" s="4"/>
      <c r="I217" s="3"/>
      <c r="J217" s="4"/>
      <c r="K217" s="3"/>
      <c r="L217" s="4"/>
      <c r="M217" s="75"/>
      <c r="N217" s="70"/>
      <c r="O217" s="3"/>
      <c r="P217" s="4"/>
      <c r="Q217" s="75"/>
      <c r="R217" s="70"/>
      <c r="S217" s="2"/>
      <c r="T217" s="2"/>
      <c r="U217" s="2"/>
      <c r="V217" s="2"/>
      <c r="W217" s="2"/>
    </row>
    <row r="218" spans="1:23" s="73" customFormat="1" ht="12.75" customHeight="1">
      <c r="A218" s="2"/>
      <c r="B218" s="2"/>
      <c r="C218" s="2"/>
      <c r="D218" s="4"/>
      <c r="E218" s="4"/>
      <c r="F218" s="4"/>
      <c r="G218" s="3"/>
      <c r="H218" s="4"/>
      <c r="I218" s="3"/>
      <c r="J218" s="4"/>
      <c r="K218" s="3"/>
      <c r="L218" s="4"/>
      <c r="M218" s="75"/>
      <c r="N218" s="70"/>
      <c r="O218" s="3"/>
      <c r="P218" s="4"/>
      <c r="Q218" s="75"/>
      <c r="R218" s="70"/>
      <c r="S218" s="2"/>
      <c r="T218" s="2"/>
      <c r="U218" s="2"/>
      <c r="V218" s="2"/>
      <c r="W218" s="2"/>
    </row>
    <row r="219" spans="1:23" s="73" customFormat="1" ht="12.75" customHeight="1">
      <c r="A219" s="2"/>
      <c r="B219" s="2"/>
      <c r="C219" s="2"/>
      <c r="D219" s="4"/>
      <c r="E219" s="4"/>
      <c r="F219" s="4"/>
      <c r="G219" s="3"/>
      <c r="H219" s="4"/>
      <c r="I219" s="3"/>
      <c r="J219" s="4"/>
      <c r="K219" s="3"/>
      <c r="L219" s="4"/>
      <c r="M219" s="75"/>
      <c r="N219" s="70"/>
      <c r="O219" s="3"/>
      <c r="P219" s="4"/>
      <c r="Q219" s="75"/>
      <c r="R219" s="70"/>
      <c r="S219" s="2"/>
      <c r="T219" s="2"/>
      <c r="U219" s="2"/>
      <c r="V219" s="2"/>
      <c r="W219" s="2"/>
    </row>
    <row r="220" spans="1:23" s="73" customFormat="1" ht="12.75" customHeight="1">
      <c r="A220" s="2"/>
      <c r="B220" s="2"/>
      <c r="C220" s="2"/>
      <c r="D220" s="4"/>
      <c r="E220" s="4"/>
      <c r="F220" s="4"/>
      <c r="G220" s="3"/>
      <c r="H220" s="4"/>
      <c r="I220" s="3"/>
      <c r="J220" s="4"/>
      <c r="K220" s="3"/>
      <c r="L220" s="4"/>
      <c r="M220" s="75"/>
      <c r="N220" s="70"/>
      <c r="O220" s="3"/>
      <c r="P220" s="4"/>
      <c r="Q220" s="75"/>
      <c r="R220" s="70"/>
      <c r="S220" s="2"/>
      <c r="T220" s="2"/>
      <c r="U220" s="2"/>
      <c r="V220" s="2"/>
      <c r="W220" s="2"/>
    </row>
    <row r="221" spans="1:23" s="73" customFormat="1" ht="12.75" customHeight="1">
      <c r="A221" s="2"/>
      <c r="B221" s="2"/>
      <c r="C221" s="2"/>
      <c r="D221" s="4"/>
      <c r="E221" s="4"/>
      <c r="F221" s="4"/>
      <c r="G221" s="3"/>
      <c r="H221" s="4"/>
      <c r="I221" s="3"/>
      <c r="J221" s="4"/>
      <c r="K221" s="3"/>
      <c r="L221" s="4"/>
      <c r="M221" s="75"/>
      <c r="N221" s="70"/>
      <c r="O221" s="3"/>
      <c r="P221" s="4"/>
      <c r="Q221" s="75"/>
      <c r="R221" s="70"/>
      <c r="S221" s="2"/>
      <c r="T221" s="2"/>
      <c r="U221" s="2"/>
      <c r="V221" s="2"/>
      <c r="W221" s="2"/>
    </row>
    <row r="222" spans="1:23" s="73" customFormat="1" ht="12.75" customHeight="1">
      <c r="A222" s="2"/>
      <c r="B222" s="2"/>
      <c r="C222" s="2"/>
      <c r="D222" s="4"/>
      <c r="E222" s="4"/>
      <c r="F222" s="4"/>
      <c r="G222" s="3"/>
      <c r="H222" s="4"/>
      <c r="I222" s="3"/>
      <c r="J222" s="4"/>
      <c r="K222" s="3"/>
      <c r="L222" s="4"/>
      <c r="M222" s="75"/>
      <c r="N222" s="70"/>
      <c r="O222" s="3"/>
      <c r="P222" s="4"/>
      <c r="Q222" s="75"/>
      <c r="R222" s="70"/>
      <c r="S222" s="2"/>
      <c r="T222" s="2"/>
      <c r="U222" s="2"/>
      <c r="V222" s="2"/>
      <c r="W222" s="2"/>
    </row>
    <row r="223" spans="1:23" s="73" customFormat="1" ht="12.75" customHeight="1">
      <c r="A223" s="2"/>
      <c r="B223" s="2"/>
      <c r="C223" s="2"/>
      <c r="D223" s="4"/>
      <c r="E223" s="4"/>
      <c r="F223" s="4"/>
      <c r="G223" s="3"/>
      <c r="H223" s="4"/>
      <c r="I223" s="3"/>
      <c r="J223" s="4"/>
      <c r="K223" s="3"/>
      <c r="L223" s="4"/>
      <c r="M223" s="75"/>
      <c r="N223" s="70"/>
      <c r="O223" s="3"/>
      <c r="P223" s="4"/>
      <c r="Q223" s="75"/>
      <c r="R223" s="70"/>
      <c r="S223" s="2"/>
      <c r="T223" s="2"/>
      <c r="U223" s="2"/>
      <c r="V223" s="2"/>
      <c r="W223" s="2"/>
    </row>
    <row r="224" spans="1:23" s="73" customFormat="1" ht="12.75" customHeight="1">
      <c r="A224" s="2"/>
      <c r="B224" s="2"/>
      <c r="C224" s="2"/>
      <c r="D224" s="4"/>
      <c r="E224" s="4"/>
      <c r="F224" s="4"/>
      <c r="G224" s="3"/>
      <c r="H224" s="4"/>
      <c r="I224" s="3"/>
      <c r="J224" s="4"/>
      <c r="K224" s="3"/>
      <c r="L224" s="4"/>
      <c r="M224" s="75"/>
      <c r="N224" s="70"/>
      <c r="O224" s="3"/>
      <c r="P224" s="4"/>
      <c r="Q224" s="75"/>
      <c r="R224" s="70"/>
      <c r="S224" s="2"/>
      <c r="T224" s="2"/>
      <c r="U224" s="2"/>
      <c r="V224" s="2"/>
      <c r="W224" s="2"/>
    </row>
    <row r="225" spans="1:23" s="73" customFormat="1" ht="12.75" customHeight="1">
      <c r="A225" s="2"/>
      <c r="B225" s="2"/>
      <c r="C225" s="2"/>
      <c r="D225" s="4"/>
      <c r="E225" s="4"/>
      <c r="F225" s="4"/>
      <c r="G225" s="3"/>
      <c r="H225" s="4"/>
      <c r="I225" s="3"/>
      <c r="J225" s="4"/>
      <c r="K225" s="3"/>
      <c r="L225" s="4"/>
      <c r="M225" s="75"/>
      <c r="N225" s="70"/>
      <c r="O225" s="3"/>
      <c r="P225" s="4"/>
      <c r="Q225" s="75"/>
      <c r="R225" s="70"/>
      <c r="S225" s="2"/>
      <c r="T225" s="2"/>
      <c r="U225" s="2"/>
      <c r="V225" s="2"/>
      <c r="W225" s="2"/>
    </row>
    <row r="226" spans="1:23" s="73" customFormat="1" ht="12.75" customHeight="1">
      <c r="A226" s="2"/>
      <c r="B226" s="2"/>
      <c r="C226" s="2"/>
      <c r="D226" s="4"/>
      <c r="E226" s="4"/>
      <c r="F226" s="4"/>
      <c r="G226" s="3"/>
      <c r="H226" s="4"/>
      <c r="I226" s="3"/>
      <c r="J226" s="4"/>
      <c r="K226" s="3"/>
      <c r="L226" s="4"/>
      <c r="M226" s="75"/>
      <c r="N226" s="70"/>
      <c r="O226" s="3"/>
      <c r="P226" s="4"/>
      <c r="Q226" s="75"/>
      <c r="R226" s="70"/>
      <c r="S226" s="2"/>
      <c r="T226" s="2"/>
      <c r="U226" s="2"/>
      <c r="V226" s="2"/>
      <c r="W226" s="2"/>
    </row>
    <row r="227" spans="1:23" s="73" customFormat="1" ht="12.75" customHeight="1">
      <c r="A227" s="2"/>
      <c r="B227" s="2"/>
      <c r="C227" s="2"/>
      <c r="D227" s="4"/>
      <c r="E227" s="4"/>
      <c r="F227" s="4"/>
      <c r="G227" s="3"/>
      <c r="H227" s="4"/>
      <c r="I227" s="3"/>
      <c r="J227" s="4"/>
      <c r="K227" s="3"/>
      <c r="L227" s="4"/>
      <c r="M227" s="75"/>
      <c r="N227" s="70"/>
      <c r="O227" s="3"/>
      <c r="P227" s="4"/>
      <c r="Q227" s="75"/>
      <c r="R227" s="70"/>
      <c r="S227" s="2"/>
      <c r="T227" s="2"/>
      <c r="U227" s="2"/>
      <c r="V227" s="2"/>
      <c r="W227" s="2"/>
    </row>
    <row r="228" spans="1:23" s="73" customFormat="1" ht="12.75" customHeight="1">
      <c r="A228" s="2"/>
      <c r="B228" s="2"/>
      <c r="C228" s="2"/>
      <c r="D228" s="4"/>
      <c r="E228" s="4"/>
      <c r="F228" s="4"/>
      <c r="G228" s="3"/>
      <c r="H228" s="4"/>
      <c r="I228" s="3"/>
      <c r="J228" s="4"/>
      <c r="K228" s="3"/>
      <c r="L228" s="4"/>
      <c r="M228" s="75"/>
      <c r="N228" s="70"/>
      <c r="O228" s="3"/>
      <c r="P228" s="4"/>
      <c r="Q228" s="75"/>
      <c r="R228" s="70"/>
      <c r="S228" s="2"/>
      <c r="T228" s="2"/>
      <c r="U228" s="2"/>
      <c r="V228" s="2"/>
      <c r="W228" s="2"/>
    </row>
    <row r="229" spans="1:23" s="73" customFormat="1" ht="12.75" customHeight="1">
      <c r="A229" s="2"/>
      <c r="B229" s="2"/>
      <c r="C229" s="2"/>
      <c r="D229" s="4"/>
      <c r="E229" s="4"/>
      <c r="F229" s="4"/>
      <c r="G229" s="3"/>
      <c r="H229" s="4"/>
      <c r="I229" s="3"/>
      <c r="J229" s="4"/>
      <c r="K229" s="3"/>
      <c r="L229" s="4"/>
      <c r="M229" s="75"/>
      <c r="N229" s="70"/>
      <c r="O229" s="3"/>
      <c r="P229" s="4"/>
      <c r="Q229" s="75"/>
      <c r="R229" s="70"/>
      <c r="S229" s="2"/>
      <c r="T229" s="2"/>
      <c r="U229" s="2"/>
      <c r="V229" s="2"/>
      <c r="W229" s="2"/>
    </row>
    <row r="230" spans="1:23" s="73" customFormat="1" ht="12.75" customHeight="1">
      <c r="A230" s="2"/>
      <c r="B230" s="2"/>
      <c r="C230" s="2"/>
      <c r="D230" s="4"/>
      <c r="E230" s="4"/>
      <c r="F230" s="4"/>
      <c r="G230" s="3"/>
      <c r="H230" s="4"/>
      <c r="I230" s="3"/>
      <c r="J230" s="4"/>
      <c r="K230" s="3"/>
      <c r="L230" s="4"/>
      <c r="M230" s="75"/>
      <c r="N230" s="70"/>
      <c r="O230" s="3"/>
      <c r="P230" s="4"/>
      <c r="Q230" s="75"/>
      <c r="R230" s="70"/>
      <c r="S230" s="2"/>
      <c r="T230" s="2"/>
      <c r="U230" s="2"/>
      <c r="V230" s="2"/>
      <c r="W230" s="2"/>
    </row>
    <row r="231" spans="1:23" s="73" customFormat="1" ht="12.75" customHeight="1">
      <c r="A231" s="2"/>
      <c r="B231" s="2"/>
      <c r="C231" s="2"/>
      <c r="D231" s="4"/>
      <c r="E231" s="4"/>
      <c r="F231" s="4"/>
      <c r="G231" s="3"/>
      <c r="H231" s="4"/>
      <c r="I231" s="3"/>
      <c r="J231" s="4"/>
      <c r="K231" s="3"/>
      <c r="L231" s="4"/>
      <c r="M231" s="75"/>
      <c r="N231" s="70"/>
      <c r="O231" s="3"/>
      <c r="P231" s="4"/>
      <c r="Q231" s="75"/>
      <c r="R231" s="70"/>
      <c r="S231" s="2"/>
      <c r="T231" s="2"/>
      <c r="U231" s="2"/>
      <c r="V231" s="2"/>
      <c r="W231" s="2"/>
    </row>
    <row r="232" spans="1:23" s="73" customFormat="1" ht="12.75" customHeight="1">
      <c r="A232" s="2"/>
      <c r="B232" s="2"/>
      <c r="C232" s="2"/>
      <c r="D232" s="4"/>
      <c r="E232" s="4"/>
      <c r="F232" s="4"/>
      <c r="G232" s="3"/>
      <c r="H232" s="4"/>
      <c r="I232" s="3"/>
      <c r="J232" s="4"/>
      <c r="K232" s="3"/>
      <c r="L232" s="4"/>
      <c r="M232" s="75"/>
      <c r="N232" s="70"/>
      <c r="O232" s="3"/>
      <c r="P232" s="4"/>
      <c r="Q232" s="75"/>
      <c r="R232" s="70"/>
      <c r="S232" s="2"/>
      <c r="T232" s="2"/>
      <c r="U232" s="2"/>
      <c r="V232" s="2"/>
      <c r="W232" s="2"/>
    </row>
    <row r="233" spans="1:23" s="73" customFormat="1" ht="12.75" customHeight="1">
      <c r="A233" s="2"/>
      <c r="B233" s="2"/>
      <c r="C233" s="2"/>
      <c r="D233" s="4"/>
      <c r="E233" s="4"/>
      <c r="F233" s="4"/>
      <c r="G233" s="3"/>
      <c r="H233" s="4"/>
      <c r="I233" s="3"/>
      <c r="J233" s="4"/>
      <c r="K233" s="3"/>
      <c r="L233" s="4"/>
      <c r="M233" s="75"/>
      <c r="N233" s="70"/>
      <c r="O233" s="3"/>
      <c r="P233" s="4"/>
      <c r="Q233" s="75"/>
      <c r="R233" s="70"/>
      <c r="S233" s="2"/>
      <c r="T233" s="2"/>
      <c r="U233" s="2"/>
      <c r="V233" s="2"/>
      <c r="W233" s="2"/>
    </row>
    <row r="234" spans="1:23" s="73" customFormat="1" ht="12.75" customHeight="1">
      <c r="A234" s="2"/>
      <c r="B234" s="2"/>
      <c r="C234" s="2"/>
      <c r="D234" s="4"/>
      <c r="E234" s="4"/>
      <c r="F234" s="4"/>
      <c r="G234" s="3"/>
      <c r="H234" s="4"/>
      <c r="I234" s="3"/>
      <c r="J234" s="4"/>
      <c r="K234" s="3"/>
      <c r="L234" s="4"/>
      <c r="M234" s="75"/>
      <c r="N234" s="70"/>
      <c r="O234" s="3"/>
      <c r="P234" s="4"/>
      <c r="Q234" s="75"/>
      <c r="R234" s="70"/>
      <c r="S234" s="2"/>
      <c r="T234" s="2"/>
      <c r="U234" s="2"/>
      <c r="V234" s="2"/>
      <c r="W234" s="2"/>
    </row>
    <row r="235" spans="1:23" s="73" customFormat="1" ht="12.75" customHeight="1">
      <c r="A235" s="2"/>
      <c r="B235" s="2"/>
      <c r="C235" s="2"/>
      <c r="D235" s="4"/>
      <c r="E235" s="4"/>
      <c r="F235" s="4"/>
      <c r="G235" s="3"/>
      <c r="H235" s="4"/>
      <c r="I235" s="3"/>
      <c r="J235" s="4"/>
      <c r="K235" s="3"/>
      <c r="L235" s="4"/>
      <c r="M235" s="75"/>
      <c r="N235" s="70"/>
      <c r="O235" s="3"/>
      <c r="P235" s="4"/>
      <c r="Q235" s="75"/>
      <c r="R235" s="70"/>
      <c r="S235" s="2"/>
      <c r="T235" s="2"/>
      <c r="U235" s="2"/>
      <c r="V235" s="2"/>
      <c r="W235" s="2"/>
    </row>
    <row r="236" spans="1:23" s="73" customFormat="1" ht="12.75" customHeight="1">
      <c r="A236" s="2"/>
      <c r="B236" s="2"/>
      <c r="C236" s="2"/>
      <c r="D236" s="4"/>
      <c r="E236" s="4"/>
      <c r="F236" s="4"/>
      <c r="G236" s="3"/>
      <c r="H236" s="4"/>
      <c r="I236" s="3"/>
      <c r="J236" s="4"/>
      <c r="K236" s="3"/>
      <c r="L236" s="4"/>
      <c r="M236" s="75"/>
      <c r="N236" s="70"/>
      <c r="O236" s="3"/>
      <c r="P236" s="4"/>
      <c r="Q236" s="75"/>
      <c r="R236" s="70"/>
      <c r="S236" s="2"/>
      <c r="T236" s="2"/>
      <c r="U236" s="2"/>
      <c r="V236" s="2"/>
      <c r="W236" s="2"/>
    </row>
    <row r="237" spans="1:23" s="73" customFormat="1" ht="12.75" customHeight="1">
      <c r="A237" s="2"/>
      <c r="B237" s="2"/>
      <c r="C237" s="2"/>
      <c r="D237" s="4"/>
      <c r="E237" s="4"/>
      <c r="F237" s="4"/>
      <c r="G237" s="3"/>
      <c r="H237" s="4"/>
      <c r="I237" s="3"/>
      <c r="J237" s="4"/>
      <c r="K237" s="3"/>
      <c r="L237" s="4"/>
      <c r="M237" s="75"/>
      <c r="N237" s="70"/>
      <c r="O237" s="3"/>
      <c r="P237" s="4"/>
      <c r="Q237" s="75"/>
      <c r="R237" s="70"/>
      <c r="S237" s="2"/>
      <c r="T237" s="2"/>
      <c r="U237" s="2"/>
      <c r="V237" s="2"/>
      <c r="W237" s="2"/>
    </row>
    <row r="238" spans="1:23" s="73" customFormat="1" ht="12.75" customHeight="1">
      <c r="A238" s="2"/>
      <c r="B238" s="2"/>
      <c r="C238" s="2"/>
      <c r="D238" s="4"/>
      <c r="E238" s="4"/>
      <c r="F238" s="4"/>
      <c r="G238" s="3"/>
      <c r="H238" s="4"/>
      <c r="I238" s="3"/>
      <c r="J238" s="4"/>
      <c r="K238" s="3"/>
      <c r="L238" s="4"/>
      <c r="M238" s="75"/>
      <c r="N238" s="70"/>
      <c r="O238" s="3"/>
      <c r="P238" s="4"/>
      <c r="Q238" s="75"/>
      <c r="R238" s="70"/>
      <c r="S238" s="2"/>
      <c r="T238" s="2"/>
      <c r="U238" s="2"/>
      <c r="V238" s="2"/>
      <c r="W238" s="2"/>
    </row>
    <row r="239" spans="1:23" s="73" customFormat="1" ht="12.75" customHeight="1">
      <c r="A239" s="2"/>
      <c r="B239" s="2"/>
      <c r="C239" s="2"/>
      <c r="D239" s="4"/>
      <c r="E239" s="4"/>
      <c r="F239" s="4"/>
      <c r="G239" s="3"/>
      <c r="H239" s="4"/>
      <c r="I239" s="3"/>
      <c r="J239" s="4"/>
      <c r="K239" s="3"/>
      <c r="L239" s="4"/>
      <c r="M239" s="75"/>
      <c r="N239" s="70"/>
      <c r="O239" s="3"/>
      <c r="P239" s="4"/>
      <c r="Q239" s="75"/>
      <c r="R239" s="70"/>
      <c r="S239" s="2"/>
      <c r="T239" s="2"/>
      <c r="U239" s="2"/>
      <c r="V239" s="2"/>
      <c r="W239" s="2"/>
    </row>
    <row r="240" spans="1:23" s="73" customFormat="1" ht="12.75" customHeight="1">
      <c r="A240" s="2"/>
      <c r="B240" s="2"/>
      <c r="C240" s="2"/>
      <c r="D240" s="4"/>
      <c r="E240" s="4"/>
      <c r="F240" s="4"/>
      <c r="G240" s="3"/>
      <c r="H240" s="4"/>
      <c r="I240" s="3"/>
      <c r="J240" s="4"/>
      <c r="K240" s="3"/>
      <c r="L240" s="4"/>
      <c r="M240" s="75"/>
      <c r="N240" s="70"/>
      <c r="O240" s="3"/>
      <c r="P240" s="4"/>
      <c r="Q240" s="75"/>
      <c r="R240" s="70"/>
      <c r="S240" s="2"/>
      <c r="T240" s="2"/>
      <c r="U240" s="2"/>
      <c r="V240" s="2"/>
      <c r="W240" s="2"/>
    </row>
    <row r="241" spans="1:23" s="73" customFormat="1" ht="12.75" customHeight="1">
      <c r="A241" s="2"/>
      <c r="B241" s="2"/>
      <c r="C241" s="2"/>
      <c r="D241" s="4"/>
      <c r="E241" s="4"/>
      <c r="F241" s="4"/>
      <c r="G241" s="3"/>
      <c r="H241" s="4"/>
      <c r="I241" s="3"/>
      <c r="J241" s="4"/>
      <c r="K241" s="3"/>
      <c r="L241" s="4"/>
      <c r="M241" s="75"/>
      <c r="N241" s="70"/>
      <c r="O241" s="3"/>
      <c r="P241" s="4"/>
      <c r="Q241" s="75"/>
      <c r="R241" s="70"/>
      <c r="S241" s="2"/>
      <c r="T241" s="2"/>
      <c r="U241" s="2"/>
      <c r="V241" s="2"/>
      <c r="W241" s="2"/>
    </row>
    <row r="242" spans="1:23" s="73" customFormat="1" ht="12.75" customHeight="1">
      <c r="A242" s="2"/>
      <c r="B242" s="2"/>
      <c r="C242" s="2"/>
      <c r="D242" s="4"/>
      <c r="E242" s="4"/>
      <c r="F242" s="4"/>
      <c r="G242" s="3"/>
      <c r="H242" s="4"/>
      <c r="I242" s="3"/>
      <c r="J242" s="4"/>
      <c r="K242" s="3"/>
      <c r="L242" s="4"/>
      <c r="M242" s="75"/>
      <c r="N242" s="70"/>
      <c r="O242" s="3"/>
      <c r="P242" s="4"/>
      <c r="Q242" s="75"/>
      <c r="R242" s="70"/>
      <c r="S242" s="2"/>
      <c r="T242" s="2"/>
      <c r="U242" s="2"/>
      <c r="V242" s="2"/>
      <c r="W242" s="2"/>
    </row>
    <row r="243" spans="1:23" s="73" customFormat="1" ht="12.75" customHeight="1">
      <c r="A243" s="2"/>
      <c r="B243" s="2"/>
      <c r="C243" s="2"/>
      <c r="D243" s="4"/>
      <c r="E243" s="4"/>
      <c r="F243" s="4"/>
      <c r="G243" s="3"/>
      <c r="H243" s="4"/>
      <c r="I243" s="3"/>
      <c r="J243" s="4"/>
      <c r="K243" s="3"/>
      <c r="L243" s="4"/>
      <c r="M243" s="75"/>
      <c r="N243" s="70"/>
      <c r="O243" s="3"/>
      <c r="P243" s="4"/>
      <c r="Q243" s="75"/>
      <c r="R243" s="70"/>
      <c r="S243" s="2"/>
      <c r="T243" s="2"/>
      <c r="U243" s="2"/>
      <c r="V243" s="2"/>
      <c r="W243" s="2"/>
    </row>
    <row r="244" spans="1:23" s="73" customFormat="1" ht="12.75" customHeight="1">
      <c r="A244" s="2"/>
      <c r="B244" s="2"/>
      <c r="C244" s="2"/>
      <c r="D244" s="4"/>
      <c r="E244" s="4"/>
      <c r="F244" s="4"/>
      <c r="G244" s="3"/>
      <c r="H244" s="4"/>
      <c r="I244" s="3"/>
      <c r="J244" s="4"/>
      <c r="K244" s="3"/>
      <c r="L244" s="4"/>
      <c r="M244" s="75"/>
      <c r="N244" s="70"/>
      <c r="O244" s="3"/>
      <c r="P244" s="4"/>
      <c r="Q244" s="75"/>
      <c r="R244" s="70"/>
      <c r="S244" s="2"/>
      <c r="T244" s="2"/>
      <c r="U244" s="2"/>
      <c r="V244" s="2"/>
      <c r="W244" s="2"/>
    </row>
    <row r="245" spans="1:23" s="73" customFormat="1" ht="12.75" customHeight="1">
      <c r="A245" s="2"/>
      <c r="B245" s="2"/>
      <c r="C245" s="2"/>
      <c r="D245" s="4"/>
      <c r="E245" s="4"/>
      <c r="F245" s="4"/>
      <c r="G245" s="3"/>
      <c r="H245" s="4"/>
      <c r="I245" s="3"/>
      <c r="J245" s="4"/>
      <c r="K245" s="3"/>
      <c r="L245" s="4"/>
      <c r="M245" s="75"/>
      <c r="N245" s="70"/>
      <c r="O245" s="3"/>
      <c r="P245" s="4"/>
      <c r="Q245" s="75"/>
      <c r="R245" s="70"/>
      <c r="S245" s="2"/>
      <c r="T245" s="2"/>
      <c r="U245" s="2"/>
      <c r="V245" s="2"/>
      <c r="W245" s="2"/>
    </row>
    <row r="246" spans="1:23" s="73" customFormat="1" ht="12.75" customHeight="1">
      <c r="A246" s="2"/>
      <c r="B246" s="2"/>
      <c r="C246" s="2"/>
      <c r="D246" s="4"/>
      <c r="E246" s="4"/>
      <c r="F246" s="4"/>
      <c r="G246" s="3"/>
      <c r="H246" s="4"/>
      <c r="I246" s="3"/>
      <c r="J246" s="4"/>
      <c r="K246" s="3"/>
      <c r="L246" s="4"/>
      <c r="M246" s="75"/>
      <c r="N246" s="70"/>
      <c r="O246" s="3"/>
      <c r="P246" s="4"/>
      <c r="Q246" s="75"/>
      <c r="R246" s="70"/>
      <c r="S246" s="2"/>
      <c r="T246" s="2"/>
      <c r="U246" s="2"/>
      <c r="V246" s="2"/>
      <c r="W246" s="2"/>
    </row>
    <row r="247" spans="1:23" s="73" customFormat="1" ht="12.75" customHeight="1">
      <c r="A247" s="2"/>
      <c r="B247" s="2"/>
      <c r="C247" s="2"/>
      <c r="D247" s="4"/>
      <c r="E247" s="4"/>
      <c r="F247" s="4"/>
      <c r="G247" s="3"/>
      <c r="H247" s="4"/>
      <c r="I247" s="3"/>
      <c r="J247" s="4"/>
      <c r="K247" s="3"/>
      <c r="L247" s="4"/>
      <c r="M247" s="75"/>
      <c r="N247" s="70"/>
      <c r="O247" s="3"/>
      <c r="P247" s="4"/>
      <c r="Q247" s="75"/>
      <c r="R247" s="70"/>
      <c r="S247" s="2"/>
      <c r="T247" s="2"/>
      <c r="U247" s="2"/>
      <c r="V247" s="2"/>
      <c r="W247" s="2"/>
    </row>
    <row r="248" spans="1:23" s="73" customFormat="1" ht="12.75" customHeight="1">
      <c r="A248" s="2"/>
      <c r="B248" s="2"/>
      <c r="C248" s="2"/>
      <c r="D248" s="4"/>
      <c r="E248" s="4"/>
      <c r="F248" s="4"/>
      <c r="G248" s="3"/>
      <c r="H248" s="4"/>
      <c r="I248" s="3"/>
      <c r="J248" s="4"/>
      <c r="K248" s="3"/>
      <c r="L248" s="4"/>
      <c r="M248" s="75"/>
      <c r="N248" s="70"/>
      <c r="O248" s="3"/>
      <c r="P248" s="4"/>
      <c r="Q248" s="75"/>
      <c r="R248" s="70"/>
      <c r="S248" s="2"/>
      <c r="T248" s="2"/>
      <c r="U248" s="2"/>
      <c r="V248" s="2"/>
      <c r="W248" s="2"/>
    </row>
    <row r="249" spans="1:23" s="73" customFormat="1" ht="12.75" customHeight="1">
      <c r="A249" s="2"/>
      <c r="B249" s="2"/>
      <c r="C249" s="2"/>
      <c r="D249" s="4"/>
      <c r="E249" s="4"/>
      <c r="F249" s="4"/>
      <c r="G249" s="3"/>
      <c r="H249" s="4"/>
      <c r="I249" s="3"/>
      <c r="J249" s="4"/>
      <c r="K249" s="3"/>
      <c r="L249" s="4"/>
      <c r="M249" s="75"/>
      <c r="N249" s="70"/>
      <c r="O249" s="3"/>
      <c r="P249" s="4"/>
      <c r="Q249" s="75"/>
      <c r="R249" s="70"/>
      <c r="S249" s="2"/>
      <c r="T249" s="2"/>
      <c r="U249" s="2"/>
      <c r="V249" s="2"/>
      <c r="W249" s="2"/>
    </row>
    <row r="250" spans="1:23" s="73" customFormat="1" ht="12.75" customHeight="1">
      <c r="A250" s="2"/>
      <c r="B250" s="2"/>
      <c r="C250" s="2"/>
      <c r="D250" s="4"/>
      <c r="E250" s="4"/>
      <c r="F250" s="4"/>
      <c r="G250" s="3"/>
      <c r="H250" s="4"/>
      <c r="I250" s="3"/>
      <c r="J250" s="4"/>
      <c r="K250" s="3"/>
      <c r="L250" s="4"/>
      <c r="M250" s="75"/>
      <c r="N250" s="70"/>
      <c r="O250" s="3"/>
      <c r="P250" s="4"/>
      <c r="Q250" s="75"/>
      <c r="R250" s="70"/>
      <c r="S250" s="2"/>
      <c r="T250" s="2"/>
      <c r="U250" s="2"/>
      <c r="V250" s="2"/>
      <c r="W250" s="2"/>
    </row>
    <row r="251" spans="1:23" s="73" customFormat="1" ht="12.75" customHeight="1">
      <c r="A251" s="2"/>
      <c r="B251" s="2"/>
      <c r="C251" s="2"/>
      <c r="D251" s="4"/>
      <c r="E251" s="4"/>
      <c r="F251" s="4"/>
      <c r="G251" s="3"/>
      <c r="H251" s="4"/>
      <c r="I251" s="3"/>
      <c r="J251" s="4"/>
      <c r="K251" s="3"/>
      <c r="L251" s="4"/>
      <c r="M251" s="75"/>
      <c r="N251" s="70"/>
      <c r="O251" s="3"/>
      <c r="P251" s="4"/>
      <c r="Q251" s="75"/>
      <c r="R251" s="70"/>
      <c r="S251" s="2"/>
      <c r="T251" s="2"/>
      <c r="U251" s="2"/>
      <c r="V251" s="2"/>
      <c r="W251" s="2"/>
    </row>
    <row r="252" spans="1:23" s="73" customFormat="1" ht="12.75" customHeight="1">
      <c r="A252" s="2"/>
      <c r="B252" s="2"/>
      <c r="C252" s="2"/>
      <c r="D252" s="4"/>
      <c r="E252" s="4"/>
      <c r="F252" s="4"/>
      <c r="G252" s="3"/>
      <c r="H252" s="4"/>
      <c r="I252" s="3"/>
      <c r="J252" s="4"/>
      <c r="K252" s="3"/>
      <c r="L252" s="4"/>
      <c r="M252" s="75"/>
      <c r="N252" s="70"/>
      <c r="O252" s="3"/>
      <c r="P252" s="4"/>
      <c r="Q252" s="75"/>
      <c r="R252" s="70"/>
      <c r="S252" s="2"/>
      <c r="T252" s="2"/>
      <c r="U252" s="2"/>
      <c r="V252" s="2"/>
      <c r="W252" s="2"/>
    </row>
    <row r="253" spans="1:23" s="73" customFormat="1" ht="12.75" customHeight="1">
      <c r="A253" s="2"/>
      <c r="B253" s="2"/>
      <c r="C253" s="2"/>
      <c r="D253" s="4"/>
      <c r="E253" s="4"/>
      <c r="F253" s="4"/>
      <c r="G253" s="3"/>
      <c r="H253" s="4"/>
      <c r="I253" s="3"/>
      <c r="J253" s="4"/>
      <c r="K253" s="3"/>
      <c r="L253" s="4"/>
      <c r="M253" s="75"/>
      <c r="N253" s="70"/>
      <c r="O253" s="3"/>
      <c r="P253" s="4"/>
      <c r="Q253" s="75"/>
      <c r="R253" s="70"/>
      <c r="S253" s="2"/>
      <c r="T253" s="2"/>
      <c r="U253" s="2"/>
      <c r="V253" s="2"/>
      <c r="W253" s="2"/>
    </row>
    <row r="254" spans="1:23" s="73" customFormat="1" ht="12.75" customHeight="1">
      <c r="A254" s="2"/>
      <c r="B254" s="2"/>
      <c r="C254" s="2"/>
      <c r="D254" s="4"/>
      <c r="E254" s="4"/>
      <c r="F254" s="4"/>
      <c r="G254" s="3"/>
      <c r="H254" s="4"/>
      <c r="I254" s="3"/>
      <c r="J254" s="4"/>
      <c r="K254" s="3"/>
      <c r="L254" s="4"/>
      <c r="M254" s="75"/>
      <c r="N254" s="70"/>
      <c r="O254" s="3"/>
      <c r="P254" s="4"/>
      <c r="Q254" s="75"/>
      <c r="R254" s="70"/>
      <c r="S254" s="2"/>
      <c r="T254" s="2"/>
      <c r="U254" s="2"/>
      <c r="V254" s="2"/>
      <c r="W254" s="2"/>
    </row>
    <row r="255" spans="1:23" s="73" customFormat="1" ht="12.75" customHeight="1">
      <c r="A255" s="2"/>
      <c r="B255" s="2"/>
      <c r="C255" s="2"/>
      <c r="D255" s="4"/>
      <c r="E255" s="4"/>
      <c r="F255" s="4"/>
      <c r="G255" s="3"/>
      <c r="H255" s="4"/>
      <c r="I255" s="3"/>
      <c r="J255" s="4"/>
      <c r="K255" s="3"/>
      <c r="L255" s="4"/>
      <c r="M255" s="75"/>
      <c r="N255" s="70"/>
      <c r="O255" s="3"/>
      <c r="P255" s="4"/>
      <c r="Q255" s="75"/>
      <c r="R255" s="70"/>
      <c r="S255" s="2"/>
      <c r="T255" s="2"/>
      <c r="U255" s="2"/>
      <c r="V255" s="2"/>
      <c r="W255" s="2"/>
    </row>
    <row r="256" spans="1:23" s="73" customFormat="1" ht="12.75" customHeight="1">
      <c r="A256" s="2"/>
      <c r="B256" s="2"/>
      <c r="C256" s="2"/>
      <c r="D256" s="4"/>
      <c r="E256" s="4"/>
      <c r="F256" s="4"/>
      <c r="G256" s="3"/>
      <c r="H256" s="4"/>
      <c r="I256" s="3"/>
      <c r="J256" s="4"/>
      <c r="K256" s="3"/>
      <c r="L256" s="4"/>
      <c r="M256" s="75"/>
      <c r="N256" s="70"/>
      <c r="O256" s="3"/>
      <c r="P256" s="4"/>
      <c r="Q256" s="75"/>
      <c r="R256" s="70"/>
      <c r="S256" s="2"/>
      <c r="T256" s="2"/>
      <c r="U256" s="2"/>
      <c r="V256" s="2"/>
      <c r="W256" s="2"/>
    </row>
    <row r="257" spans="1:23" s="73" customFormat="1" ht="12.75" customHeight="1">
      <c r="A257" s="2"/>
      <c r="B257" s="2"/>
      <c r="C257" s="2"/>
      <c r="D257" s="4"/>
      <c r="E257" s="4"/>
      <c r="F257" s="4"/>
      <c r="G257" s="3"/>
      <c r="H257" s="4"/>
      <c r="I257" s="3"/>
      <c r="J257" s="4"/>
      <c r="K257" s="3"/>
      <c r="L257" s="4"/>
      <c r="M257" s="75"/>
      <c r="N257" s="70"/>
      <c r="O257" s="3"/>
      <c r="P257" s="4"/>
      <c r="Q257" s="75"/>
      <c r="R257" s="70"/>
      <c r="S257" s="2"/>
      <c r="T257" s="2"/>
      <c r="U257" s="2"/>
      <c r="V257" s="2"/>
      <c r="W257" s="2"/>
    </row>
    <row r="258" spans="1:23" s="73" customFormat="1" ht="12.75" customHeight="1">
      <c r="A258" s="2"/>
      <c r="B258" s="2"/>
      <c r="C258" s="2"/>
      <c r="D258" s="4"/>
      <c r="E258" s="4"/>
      <c r="F258" s="4"/>
      <c r="G258" s="3"/>
      <c r="H258" s="4"/>
      <c r="I258" s="3"/>
      <c r="J258" s="4"/>
      <c r="K258" s="3"/>
      <c r="L258" s="4"/>
      <c r="M258" s="75"/>
      <c r="N258" s="70"/>
      <c r="O258" s="3"/>
      <c r="P258" s="4"/>
      <c r="Q258" s="75"/>
      <c r="R258" s="70"/>
      <c r="S258" s="2"/>
      <c r="T258" s="2"/>
      <c r="U258" s="2"/>
      <c r="V258" s="2"/>
      <c r="W258" s="2"/>
    </row>
    <row r="259" spans="1:23" s="73" customFormat="1" ht="12.75" customHeight="1">
      <c r="A259" s="2"/>
      <c r="B259" s="2"/>
      <c r="C259" s="2"/>
      <c r="D259" s="4"/>
      <c r="E259" s="4"/>
      <c r="F259" s="4"/>
      <c r="G259" s="3"/>
      <c r="H259" s="4"/>
      <c r="I259" s="3"/>
      <c r="J259" s="4"/>
      <c r="K259" s="3"/>
      <c r="L259" s="4"/>
      <c r="M259" s="75"/>
      <c r="N259" s="70"/>
      <c r="O259" s="3"/>
      <c r="P259" s="4"/>
      <c r="Q259" s="75"/>
      <c r="R259" s="70"/>
      <c r="S259" s="2"/>
      <c r="T259" s="2"/>
      <c r="U259" s="2"/>
      <c r="V259" s="2"/>
      <c r="W259" s="2"/>
    </row>
    <row r="260" spans="1:23" s="73" customFormat="1" ht="12.75" customHeight="1">
      <c r="A260" s="2"/>
      <c r="B260" s="2"/>
      <c r="C260" s="2"/>
      <c r="D260" s="4"/>
      <c r="E260" s="4"/>
      <c r="F260" s="4"/>
      <c r="G260" s="3"/>
      <c r="H260" s="4"/>
      <c r="I260" s="3"/>
      <c r="J260" s="4"/>
      <c r="K260" s="3"/>
      <c r="L260" s="4"/>
      <c r="M260" s="75"/>
      <c r="N260" s="70"/>
      <c r="O260" s="3"/>
      <c r="P260" s="4"/>
      <c r="Q260" s="75"/>
      <c r="R260" s="70"/>
      <c r="S260" s="2"/>
      <c r="T260" s="2"/>
      <c r="U260" s="2"/>
      <c r="V260" s="2"/>
      <c r="W260" s="2"/>
    </row>
    <row r="261" spans="1:23" s="73" customFormat="1" ht="12.75" customHeight="1">
      <c r="A261" s="2"/>
      <c r="B261" s="2"/>
      <c r="C261" s="2"/>
      <c r="D261" s="4"/>
      <c r="E261" s="4"/>
      <c r="F261" s="4"/>
      <c r="G261" s="3"/>
      <c r="H261" s="4"/>
      <c r="I261" s="3"/>
      <c r="J261" s="4"/>
      <c r="K261" s="3"/>
      <c r="L261" s="4"/>
      <c r="M261" s="75"/>
      <c r="N261" s="70"/>
      <c r="O261" s="3"/>
      <c r="P261" s="4"/>
      <c r="Q261" s="75"/>
      <c r="R261" s="70"/>
      <c r="S261" s="2"/>
      <c r="T261" s="2"/>
      <c r="U261" s="2"/>
      <c r="V261" s="2"/>
      <c r="W261" s="2"/>
    </row>
    <row r="262" spans="1:23" s="73" customFormat="1" ht="12.75" customHeight="1">
      <c r="A262" s="2"/>
      <c r="B262" s="2"/>
      <c r="C262" s="2"/>
      <c r="D262" s="4"/>
      <c r="E262" s="4"/>
      <c r="F262" s="4"/>
      <c r="G262" s="3"/>
      <c r="H262" s="4"/>
      <c r="I262" s="3"/>
      <c r="J262" s="4"/>
      <c r="K262" s="3"/>
      <c r="L262" s="4"/>
      <c r="M262" s="75"/>
      <c r="N262" s="70"/>
      <c r="O262" s="3"/>
      <c r="P262" s="4"/>
      <c r="Q262" s="75"/>
      <c r="R262" s="70"/>
      <c r="S262" s="2"/>
      <c r="T262" s="2"/>
      <c r="U262" s="2"/>
      <c r="V262" s="2"/>
      <c r="W262" s="2"/>
    </row>
    <row r="263" spans="1:23" s="73" customFormat="1" ht="12.75" customHeight="1">
      <c r="A263" s="2"/>
      <c r="B263" s="2"/>
      <c r="C263" s="2"/>
      <c r="D263" s="4"/>
      <c r="E263" s="4"/>
      <c r="F263" s="4"/>
      <c r="G263" s="3"/>
      <c r="H263" s="4"/>
      <c r="I263" s="3"/>
      <c r="J263" s="4"/>
      <c r="K263" s="3"/>
      <c r="L263" s="4"/>
      <c r="M263" s="75"/>
      <c r="N263" s="70"/>
      <c r="O263" s="3"/>
      <c r="P263" s="4"/>
      <c r="Q263" s="75"/>
      <c r="R263" s="70"/>
      <c r="S263" s="2"/>
      <c r="T263" s="2"/>
      <c r="U263" s="2"/>
      <c r="V263" s="2"/>
      <c r="W263" s="2"/>
    </row>
    <row r="264" spans="1:23" s="73" customFormat="1" ht="12.75" customHeight="1">
      <c r="A264" s="2"/>
      <c r="B264" s="2"/>
      <c r="C264" s="2"/>
      <c r="D264" s="4"/>
      <c r="E264" s="4"/>
      <c r="F264" s="4"/>
      <c r="G264" s="3"/>
      <c r="H264" s="4"/>
      <c r="I264" s="3"/>
      <c r="J264" s="4"/>
      <c r="K264" s="3"/>
      <c r="L264" s="4"/>
      <c r="M264" s="75"/>
      <c r="N264" s="70"/>
      <c r="O264" s="3"/>
      <c r="P264" s="4"/>
      <c r="Q264" s="75"/>
      <c r="R264" s="70"/>
      <c r="S264" s="2"/>
      <c r="T264" s="2"/>
      <c r="U264" s="2"/>
      <c r="V264" s="2"/>
      <c r="W264" s="2"/>
    </row>
    <row r="265" spans="1:23" s="73" customFormat="1" ht="12.75" customHeight="1">
      <c r="A265" s="2"/>
      <c r="B265" s="2"/>
      <c r="C265" s="2"/>
      <c r="D265" s="4"/>
      <c r="E265" s="4"/>
      <c r="F265" s="4"/>
      <c r="G265" s="3"/>
      <c r="H265" s="4"/>
      <c r="I265" s="3"/>
      <c r="J265" s="4"/>
      <c r="K265" s="3"/>
      <c r="L265" s="4"/>
      <c r="M265" s="75"/>
      <c r="N265" s="70"/>
      <c r="O265" s="3"/>
      <c r="P265" s="4"/>
      <c r="Q265" s="75"/>
      <c r="R265" s="70"/>
      <c r="S265" s="2"/>
      <c r="T265" s="2"/>
      <c r="U265" s="2"/>
      <c r="V265" s="2"/>
      <c r="W265" s="2"/>
    </row>
    <row r="266" spans="1:23" s="73" customFormat="1" ht="12.75" customHeight="1">
      <c r="A266" s="2"/>
      <c r="B266" s="2"/>
      <c r="C266" s="2"/>
      <c r="D266" s="4"/>
      <c r="E266" s="4"/>
      <c r="F266" s="4"/>
      <c r="G266" s="3"/>
      <c r="H266" s="4"/>
      <c r="I266" s="3"/>
      <c r="J266" s="4"/>
      <c r="K266" s="3"/>
      <c r="L266" s="4"/>
      <c r="M266" s="75"/>
      <c r="N266" s="70"/>
      <c r="O266" s="3"/>
      <c r="P266" s="4"/>
      <c r="Q266" s="75"/>
      <c r="R266" s="70"/>
      <c r="S266" s="2"/>
      <c r="T266" s="2"/>
      <c r="U266" s="2"/>
      <c r="V266" s="2"/>
      <c r="W266" s="2"/>
    </row>
    <row r="267" spans="1:23" s="73" customFormat="1" ht="12.75" customHeight="1">
      <c r="A267" s="2"/>
      <c r="B267" s="2"/>
      <c r="C267" s="2"/>
      <c r="D267" s="4"/>
      <c r="E267" s="4"/>
      <c r="F267" s="4"/>
      <c r="G267" s="3"/>
      <c r="H267" s="4"/>
      <c r="I267" s="3"/>
      <c r="J267" s="4"/>
      <c r="K267" s="3"/>
      <c r="L267" s="4"/>
      <c r="M267" s="75"/>
      <c r="N267" s="70"/>
      <c r="O267" s="3"/>
      <c r="P267" s="4"/>
      <c r="Q267" s="75"/>
      <c r="R267" s="70"/>
      <c r="S267" s="2"/>
      <c r="T267" s="2"/>
      <c r="U267" s="2"/>
      <c r="V267" s="2"/>
      <c r="W267" s="2"/>
    </row>
    <row r="268" spans="1:23" s="73" customFormat="1" ht="12.75" customHeight="1">
      <c r="A268" s="2"/>
      <c r="B268" s="2"/>
      <c r="C268" s="2"/>
      <c r="D268" s="4"/>
      <c r="E268" s="4"/>
      <c r="F268" s="4"/>
      <c r="G268" s="3"/>
      <c r="H268" s="4"/>
      <c r="I268" s="3"/>
      <c r="J268" s="4"/>
      <c r="K268" s="3"/>
      <c r="L268" s="4"/>
      <c r="M268" s="75"/>
      <c r="N268" s="70"/>
      <c r="O268" s="3"/>
      <c r="P268" s="4"/>
      <c r="Q268" s="75"/>
      <c r="R268" s="70"/>
      <c r="S268" s="2"/>
      <c r="T268" s="2"/>
      <c r="U268" s="2"/>
      <c r="V268" s="2"/>
      <c r="W268" s="2"/>
    </row>
    <row r="269" spans="1:23" s="73" customFormat="1" ht="12.75" customHeight="1">
      <c r="A269" s="2"/>
      <c r="B269" s="2"/>
      <c r="C269" s="2"/>
      <c r="D269" s="4"/>
      <c r="E269" s="4"/>
      <c r="F269" s="4"/>
      <c r="G269" s="3"/>
      <c r="H269" s="4"/>
      <c r="I269" s="3"/>
      <c r="J269" s="4"/>
      <c r="K269" s="3"/>
      <c r="L269" s="4"/>
      <c r="M269" s="75"/>
      <c r="N269" s="70"/>
      <c r="O269" s="3"/>
      <c r="P269" s="4"/>
      <c r="Q269" s="75"/>
      <c r="R269" s="70"/>
      <c r="S269" s="2"/>
      <c r="T269" s="2"/>
      <c r="U269" s="2"/>
      <c r="V269" s="2"/>
      <c r="W269" s="2"/>
    </row>
    <row r="270" spans="1:23" s="73" customFormat="1" ht="12.75" customHeight="1">
      <c r="A270" s="2"/>
      <c r="B270" s="2"/>
      <c r="C270" s="2"/>
      <c r="D270" s="4"/>
      <c r="E270" s="4"/>
      <c r="F270" s="4"/>
      <c r="G270" s="3"/>
      <c r="H270" s="4"/>
      <c r="I270" s="3"/>
      <c r="J270" s="4"/>
      <c r="K270" s="3"/>
      <c r="L270" s="4"/>
      <c r="M270" s="75"/>
      <c r="N270" s="70"/>
      <c r="O270" s="3"/>
      <c r="P270" s="4"/>
      <c r="Q270" s="75"/>
      <c r="R270" s="70"/>
      <c r="S270" s="2"/>
      <c r="T270" s="2"/>
      <c r="U270" s="2"/>
      <c r="V270" s="2"/>
      <c r="W270" s="2"/>
    </row>
    <row r="271" spans="1:23" s="73" customFormat="1" ht="12.75" customHeight="1">
      <c r="A271" s="2"/>
      <c r="B271" s="2"/>
      <c r="C271" s="2"/>
      <c r="D271" s="4"/>
      <c r="E271" s="4"/>
      <c r="F271" s="4"/>
      <c r="G271" s="3"/>
      <c r="H271" s="4"/>
      <c r="I271" s="3"/>
      <c r="J271" s="4"/>
      <c r="K271" s="3"/>
      <c r="L271" s="4"/>
      <c r="M271" s="75"/>
      <c r="N271" s="70"/>
      <c r="O271" s="3"/>
      <c r="P271" s="4"/>
      <c r="Q271" s="75"/>
      <c r="R271" s="70"/>
      <c r="S271" s="2"/>
      <c r="T271" s="2"/>
      <c r="U271" s="2"/>
      <c r="V271" s="2"/>
      <c r="W271" s="2"/>
    </row>
    <row r="272" spans="1:23" s="73" customFormat="1" ht="12.75" customHeight="1">
      <c r="A272" s="2"/>
      <c r="B272" s="2"/>
      <c r="C272" s="2"/>
      <c r="D272" s="4"/>
      <c r="E272" s="4"/>
      <c r="F272" s="4"/>
      <c r="G272" s="3"/>
      <c r="H272" s="4"/>
      <c r="I272" s="3"/>
      <c r="J272" s="4"/>
      <c r="K272" s="3"/>
      <c r="L272" s="4"/>
      <c r="M272" s="75"/>
      <c r="N272" s="70"/>
      <c r="O272" s="3"/>
      <c r="P272" s="4"/>
      <c r="Q272" s="75"/>
      <c r="R272" s="70"/>
      <c r="S272" s="2"/>
      <c r="T272" s="2"/>
      <c r="U272" s="2"/>
      <c r="V272" s="2"/>
      <c r="W272" s="2"/>
    </row>
    <row r="273" spans="1:23" s="73" customFormat="1" ht="12.75" customHeight="1">
      <c r="A273" s="2"/>
      <c r="B273" s="2"/>
      <c r="C273" s="2"/>
      <c r="D273" s="4"/>
      <c r="E273" s="4"/>
      <c r="F273" s="4"/>
      <c r="G273" s="3"/>
      <c r="H273" s="4"/>
      <c r="I273" s="3"/>
      <c r="J273" s="4"/>
      <c r="K273" s="3"/>
      <c r="L273" s="4"/>
      <c r="M273" s="75"/>
      <c r="N273" s="70"/>
      <c r="O273" s="3"/>
      <c r="P273" s="4"/>
      <c r="Q273" s="75"/>
      <c r="R273" s="70"/>
      <c r="S273" s="2"/>
      <c r="T273" s="2"/>
      <c r="U273" s="2"/>
      <c r="V273" s="2"/>
      <c r="W273" s="2"/>
    </row>
    <row r="274" spans="1:23" s="73" customFormat="1" ht="12.75" customHeight="1">
      <c r="A274" s="2"/>
      <c r="B274" s="2"/>
      <c r="C274" s="2"/>
      <c r="D274" s="4"/>
      <c r="E274" s="4"/>
      <c r="F274" s="4"/>
      <c r="G274" s="3"/>
      <c r="H274" s="4"/>
      <c r="I274" s="3"/>
      <c r="J274" s="4"/>
      <c r="K274" s="3"/>
      <c r="L274" s="4"/>
      <c r="M274" s="75"/>
      <c r="N274" s="70"/>
      <c r="O274" s="3"/>
      <c r="P274" s="4"/>
      <c r="Q274" s="75"/>
      <c r="R274" s="70"/>
      <c r="S274" s="2"/>
      <c r="T274" s="2"/>
      <c r="U274" s="2"/>
      <c r="V274" s="2"/>
      <c r="W274" s="2"/>
    </row>
    <row r="275" spans="1:23" s="73" customFormat="1" ht="12.75" customHeight="1">
      <c r="A275" s="2"/>
      <c r="B275" s="2"/>
      <c r="C275" s="2"/>
      <c r="D275" s="4"/>
      <c r="E275" s="4"/>
      <c r="F275" s="4"/>
      <c r="G275" s="3"/>
      <c r="H275" s="4"/>
      <c r="I275" s="3"/>
      <c r="J275" s="4"/>
      <c r="K275" s="3"/>
      <c r="L275" s="4"/>
      <c r="M275" s="75"/>
      <c r="N275" s="70"/>
      <c r="O275" s="3"/>
      <c r="P275" s="4"/>
      <c r="Q275" s="75"/>
      <c r="R275" s="70"/>
      <c r="S275" s="2"/>
      <c r="T275" s="2"/>
      <c r="U275" s="2"/>
      <c r="V275" s="2"/>
      <c r="W275" s="2"/>
    </row>
    <row r="276" spans="1:23" s="73" customFormat="1" ht="12.75" customHeight="1">
      <c r="A276" s="2"/>
      <c r="B276" s="2"/>
      <c r="C276" s="2"/>
      <c r="D276" s="4"/>
      <c r="E276" s="4"/>
      <c r="F276" s="4"/>
      <c r="G276" s="3"/>
      <c r="H276" s="4"/>
      <c r="I276" s="3"/>
      <c r="J276" s="4"/>
      <c r="K276" s="3"/>
      <c r="L276" s="4"/>
      <c r="M276" s="75"/>
      <c r="N276" s="70"/>
      <c r="O276" s="3"/>
      <c r="P276" s="4"/>
      <c r="Q276" s="75"/>
      <c r="R276" s="70"/>
      <c r="S276" s="2"/>
      <c r="T276" s="2"/>
      <c r="U276" s="2"/>
      <c r="V276" s="2"/>
      <c r="W276" s="2"/>
    </row>
    <row r="277" spans="1:23" s="73" customFormat="1" ht="12.75" customHeight="1">
      <c r="A277" s="2"/>
      <c r="B277" s="2"/>
      <c r="C277" s="2"/>
      <c r="D277" s="4"/>
      <c r="E277" s="4"/>
      <c r="F277" s="4"/>
      <c r="G277" s="3"/>
      <c r="H277" s="4"/>
      <c r="I277" s="3"/>
      <c r="J277" s="4"/>
      <c r="K277" s="3"/>
      <c r="L277" s="4"/>
      <c r="M277" s="75"/>
      <c r="N277" s="70"/>
      <c r="O277" s="3"/>
      <c r="P277" s="4"/>
      <c r="Q277" s="75"/>
      <c r="R277" s="70"/>
      <c r="S277" s="2"/>
      <c r="T277" s="2"/>
      <c r="U277" s="2"/>
      <c r="V277" s="2"/>
      <c r="W277" s="2"/>
    </row>
    <row r="278" spans="1:23" s="73" customFormat="1" ht="12.75" customHeight="1">
      <c r="A278" s="2"/>
      <c r="B278" s="2"/>
      <c r="C278" s="2"/>
      <c r="D278" s="4"/>
      <c r="E278" s="4"/>
      <c r="F278" s="4"/>
      <c r="G278" s="3"/>
      <c r="H278" s="4"/>
      <c r="I278" s="3"/>
      <c r="J278" s="4"/>
      <c r="K278" s="3"/>
      <c r="L278" s="4"/>
      <c r="M278" s="75"/>
      <c r="N278" s="70"/>
      <c r="O278" s="3"/>
      <c r="P278" s="4"/>
      <c r="Q278" s="75"/>
      <c r="R278" s="70"/>
      <c r="S278" s="2"/>
      <c r="T278" s="2"/>
      <c r="U278" s="2"/>
      <c r="V278" s="2"/>
      <c r="W278" s="2"/>
    </row>
    <row r="279" spans="1:23" s="73" customFormat="1" ht="12.75" customHeight="1">
      <c r="A279" s="2"/>
      <c r="B279" s="2"/>
      <c r="C279" s="2"/>
      <c r="D279" s="4"/>
      <c r="E279" s="4"/>
      <c r="F279" s="4"/>
      <c r="G279" s="3"/>
      <c r="H279" s="4"/>
      <c r="I279" s="3"/>
      <c r="J279" s="4"/>
      <c r="K279" s="3"/>
      <c r="L279" s="4"/>
      <c r="M279" s="75"/>
      <c r="N279" s="70"/>
      <c r="O279" s="3"/>
      <c r="P279" s="4"/>
      <c r="Q279" s="75"/>
      <c r="R279" s="70"/>
      <c r="S279" s="2"/>
      <c r="T279" s="2"/>
      <c r="U279" s="2"/>
      <c r="V279" s="2"/>
      <c r="W279" s="2"/>
    </row>
    <row r="280" spans="1:23" s="73" customFormat="1" ht="12.75" customHeight="1">
      <c r="A280" s="2"/>
      <c r="B280" s="2"/>
      <c r="C280" s="2"/>
      <c r="D280" s="4"/>
      <c r="E280" s="4"/>
      <c r="F280" s="4"/>
      <c r="G280" s="3"/>
      <c r="H280" s="4"/>
      <c r="I280" s="3"/>
      <c r="J280" s="4"/>
      <c r="K280" s="3"/>
      <c r="L280" s="4"/>
      <c r="M280" s="75"/>
      <c r="N280" s="70"/>
      <c r="O280" s="3"/>
      <c r="P280" s="4"/>
      <c r="Q280" s="75"/>
      <c r="R280" s="70"/>
      <c r="S280" s="2"/>
      <c r="T280" s="2"/>
      <c r="U280" s="2"/>
      <c r="V280" s="2"/>
      <c r="W280" s="2"/>
    </row>
    <row r="281" spans="1:23" s="73" customFormat="1" ht="12.75" customHeight="1">
      <c r="A281" s="2"/>
      <c r="B281" s="2"/>
      <c r="C281" s="2"/>
      <c r="D281" s="4"/>
      <c r="E281" s="4"/>
      <c r="F281" s="4"/>
      <c r="G281" s="3"/>
      <c r="H281" s="4"/>
      <c r="I281" s="3"/>
      <c r="J281" s="4"/>
      <c r="K281" s="3"/>
      <c r="L281" s="4"/>
      <c r="M281" s="75"/>
      <c r="N281" s="70"/>
      <c r="O281" s="3"/>
      <c r="P281" s="4"/>
      <c r="Q281" s="75"/>
      <c r="R281" s="70"/>
      <c r="S281" s="2"/>
      <c r="T281" s="2"/>
      <c r="U281" s="2"/>
      <c r="V281" s="2"/>
      <c r="W281" s="2"/>
    </row>
    <row r="282" spans="1:23" s="73" customFormat="1" ht="12.75" customHeight="1">
      <c r="A282" s="2"/>
      <c r="B282" s="2"/>
      <c r="C282" s="2"/>
      <c r="D282" s="4"/>
      <c r="E282" s="4"/>
      <c r="F282" s="4"/>
      <c r="G282" s="3"/>
      <c r="H282" s="4"/>
      <c r="I282" s="3"/>
      <c r="J282" s="4"/>
      <c r="K282" s="3"/>
      <c r="L282" s="4"/>
      <c r="M282" s="75"/>
      <c r="N282" s="70"/>
      <c r="O282" s="3"/>
      <c r="P282" s="4"/>
      <c r="Q282" s="75"/>
      <c r="R282" s="70"/>
      <c r="S282" s="2"/>
      <c r="T282" s="2"/>
      <c r="U282" s="2"/>
      <c r="V282" s="2"/>
      <c r="W282" s="2"/>
    </row>
    <row r="283" spans="1:23" s="73" customFormat="1" ht="12.75" customHeight="1">
      <c r="A283" s="2"/>
      <c r="B283" s="2"/>
      <c r="C283" s="2"/>
      <c r="D283" s="4"/>
      <c r="E283" s="4"/>
      <c r="F283" s="4"/>
      <c r="G283" s="3"/>
      <c r="H283" s="4"/>
      <c r="I283" s="3"/>
      <c r="J283" s="4"/>
      <c r="K283" s="3"/>
      <c r="L283" s="4"/>
      <c r="M283" s="75"/>
      <c r="N283" s="70"/>
      <c r="O283" s="3"/>
      <c r="P283" s="4"/>
      <c r="Q283" s="75"/>
      <c r="R283" s="70"/>
      <c r="S283" s="2"/>
      <c r="T283" s="2"/>
      <c r="U283" s="2"/>
      <c r="V283" s="2"/>
      <c r="W283" s="2"/>
    </row>
    <row r="284" spans="1:23" s="73" customFormat="1" ht="12.75" customHeight="1">
      <c r="A284" s="2"/>
      <c r="B284" s="2"/>
      <c r="C284" s="2"/>
      <c r="D284" s="4"/>
      <c r="E284" s="4"/>
      <c r="F284" s="4"/>
      <c r="G284" s="3"/>
      <c r="H284" s="4"/>
      <c r="I284" s="3"/>
      <c r="J284" s="4"/>
      <c r="K284" s="3"/>
      <c r="L284" s="4"/>
      <c r="M284" s="75"/>
      <c r="N284" s="70"/>
      <c r="O284" s="3"/>
      <c r="P284" s="4"/>
      <c r="Q284" s="75"/>
      <c r="R284" s="70"/>
      <c r="S284" s="2"/>
      <c r="T284" s="2"/>
      <c r="U284" s="2"/>
      <c r="V284" s="2"/>
      <c r="W284" s="2"/>
    </row>
    <row r="285" spans="1:23" s="73" customFormat="1" ht="12.75" customHeight="1">
      <c r="A285" s="2"/>
      <c r="B285" s="2"/>
      <c r="C285" s="2"/>
      <c r="D285" s="4"/>
      <c r="E285" s="4"/>
      <c r="F285" s="4"/>
      <c r="G285" s="3"/>
      <c r="H285" s="4"/>
      <c r="I285" s="3"/>
      <c r="J285" s="4"/>
      <c r="K285" s="3"/>
      <c r="L285" s="4"/>
      <c r="M285" s="75"/>
      <c r="N285" s="70"/>
      <c r="O285" s="3"/>
      <c r="P285" s="4"/>
      <c r="Q285" s="75"/>
      <c r="R285" s="70"/>
      <c r="S285" s="2"/>
      <c r="T285" s="2"/>
      <c r="U285" s="2"/>
      <c r="V285" s="2"/>
      <c r="W285" s="2"/>
    </row>
    <row r="286" spans="1:23" s="73" customFormat="1" ht="12.75" customHeight="1">
      <c r="A286" s="2"/>
      <c r="B286" s="2"/>
      <c r="C286" s="2"/>
      <c r="D286" s="4"/>
      <c r="E286" s="4"/>
      <c r="F286" s="4"/>
      <c r="G286" s="3"/>
      <c r="H286" s="4"/>
      <c r="I286" s="3"/>
      <c r="J286" s="4"/>
      <c r="K286" s="3"/>
      <c r="L286" s="4"/>
      <c r="M286" s="75"/>
      <c r="N286" s="70"/>
      <c r="O286" s="3"/>
      <c r="P286" s="4"/>
      <c r="Q286" s="75"/>
      <c r="R286" s="70"/>
      <c r="S286" s="2"/>
      <c r="T286" s="2"/>
      <c r="U286" s="2"/>
      <c r="V286" s="2"/>
      <c r="W286" s="2"/>
    </row>
    <row r="287" spans="1:23" s="73" customFormat="1" ht="12.75" customHeight="1">
      <c r="A287" s="2"/>
      <c r="B287" s="2"/>
      <c r="C287" s="2"/>
      <c r="D287" s="4"/>
      <c r="E287" s="4"/>
      <c r="F287" s="4"/>
      <c r="G287" s="3"/>
      <c r="H287" s="4"/>
      <c r="I287" s="3"/>
      <c r="J287" s="4"/>
      <c r="K287" s="3"/>
      <c r="L287" s="4"/>
      <c r="M287" s="75"/>
      <c r="N287" s="70"/>
      <c r="O287" s="3"/>
      <c r="P287" s="4"/>
      <c r="Q287" s="75"/>
      <c r="R287" s="70"/>
      <c r="S287" s="2"/>
      <c r="T287" s="2"/>
      <c r="U287" s="2"/>
      <c r="V287" s="2"/>
      <c r="W287" s="2"/>
    </row>
    <row r="288" spans="1:23" s="73" customFormat="1" ht="12.75" customHeight="1">
      <c r="A288" s="2"/>
      <c r="B288" s="2"/>
      <c r="C288" s="2"/>
      <c r="D288" s="4"/>
      <c r="E288" s="4"/>
      <c r="F288" s="4"/>
      <c r="G288" s="3"/>
      <c r="H288" s="4"/>
      <c r="I288" s="3"/>
      <c r="J288" s="4"/>
      <c r="K288" s="3"/>
      <c r="L288" s="4"/>
      <c r="M288" s="75"/>
      <c r="N288" s="70"/>
      <c r="O288" s="3"/>
      <c r="P288" s="4"/>
      <c r="Q288" s="75"/>
      <c r="R288" s="70"/>
      <c r="S288" s="2"/>
      <c r="T288" s="2"/>
      <c r="U288" s="2"/>
      <c r="V288" s="2"/>
      <c r="W288" s="2"/>
    </row>
    <row r="289" spans="1:23" s="73" customFormat="1" ht="12.75" customHeight="1">
      <c r="A289" s="2"/>
      <c r="B289" s="2"/>
      <c r="C289" s="2"/>
      <c r="D289" s="4"/>
      <c r="E289" s="4"/>
      <c r="F289" s="4"/>
      <c r="G289" s="3"/>
      <c r="H289" s="4"/>
      <c r="I289" s="3"/>
      <c r="J289" s="4"/>
      <c r="K289" s="3"/>
      <c r="L289" s="4"/>
      <c r="M289" s="75"/>
      <c r="N289" s="70"/>
      <c r="O289" s="3"/>
      <c r="P289" s="4"/>
      <c r="Q289" s="75"/>
      <c r="R289" s="70"/>
      <c r="S289" s="2"/>
      <c r="T289" s="2"/>
      <c r="U289" s="2"/>
      <c r="V289" s="2"/>
      <c r="W289" s="2"/>
    </row>
    <row r="290" spans="1:23" s="73" customFormat="1" ht="12.75" customHeight="1">
      <c r="A290" s="2"/>
      <c r="B290" s="2"/>
      <c r="C290" s="2"/>
      <c r="D290" s="4"/>
      <c r="E290" s="4"/>
      <c r="F290" s="4"/>
      <c r="G290" s="3"/>
      <c r="H290" s="4"/>
      <c r="I290" s="3"/>
      <c r="J290" s="4"/>
      <c r="K290" s="3"/>
      <c r="L290" s="4"/>
      <c r="M290" s="75"/>
      <c r="N290" s="70"/>
      <c r="O290" s="3"/>
      <c r="P290" s="4"/>
      <c r="Q290" s="75"/>
      <c r="R290" s="70"/>
      <c r="S290" s="2"/>
      <c r="T290" s="2"/>
      <c r="U290" s="2"/>
      <c r="V290" s="2"/>
      <c r="W290" s="2"/>
    </row>
    <row r="291" spans="1:23" s="73" customFormat="1" ht="12.75" customHeight="1">
      <c r="A291" s="2"/>
      <c r="B291" s="2"/>
      <c r="C291" s="2"/>
      <c r="D291" s="4"/>
      <c r="E291" s="4"/>
      <c r="F291" s="4"/>
      <c r="G291" s="3"/>
      <c r="H291" s="4"/>
      <c r="I291" s="3"/>
      <c r="J291" s="4"/>
      <c r="K291" s="3"/>
      <c r="L291" s="4"/>
      <c r="M291" s="75"/>
      <c r="N291" s="70"/>
      <c r="O291" s="3"/>
      <c r="P291" s="4"/>
      <c r="Q291" s="75"/>
      <c r="R291" s="70"/>
      <c r="S291" s="2"/>
      <c r="T291" s="2"/>
      <c r="U291" s="2"/>
      <c r="V291" s="2"/>
      <c r="W291" s="2"/>
    </row>
    <row r="292" spans="1:23" s="73" customFormat="1" ht="12.75" customHeight="1">
      <c r="A292" s="2"/>
      <c r="B292" s="2"/>
      <c r="C292" s="2"/>
      <c r="D292" s="4"/>
      <c r="E292" s="4"/>
      <c r="F292" s="4"/>
      <c r="G292" s="3"/>
      <c r="H292" s="4"/>
      <c r="I292" s="3"/>
      <c r="J292" s="4"/>
      <c r="K292" s="3"/>
      <c r="L292" s="4"/>
      <c r="M292" s="75"/>
      <c r="N292" s="70"/>
      <c r="O292" s="3"/>
      <c r="P292" s="4"/>
      <c r="Q292" s="75"/>
      <c r="R292" s="70"/>
      <c r="S292" s="2"/>
      <c r="T292" s="2"/>
      <c r="U292" s="2"/>
      <c r="V292" s="2"/>
      <c r="W292" s="2"/>
    </row>
    <row r="293" spans="1:23" s="73" customFormat="1" ht="12.75" customHeight="1">
      <c r="A293" s="2"/>
      <c r="B293" s="2"/>
      <c r="C293" s="2"/>
      <c r="D293" s="4"/>
      <c r="E293" s="4"/>
      <c r="F293" s="4"/>
      <c r="G293" s="3"/>
      <c r="H293" s="4"/>
      <c r="I293" s="3"/>
      <c r="J293" s="4"/>
      <c r="K293" s="3"/>
      <c r="L293" s="4"/>
      <c r="M293" s="75"/>
      <c r="N293" s="70"/>
      <c r="O293" s="3"/>
      <c r="P293" s="4"/>
      <c r="Q293" s="75"/>
      <c r="R293" s="70"/>
      <c r="S293" s="2"/>
      <c r="T293" s="2"/>
      <c r="U293" s="2"/>
      <c r="V293" s="2"/>
      <c r="W293" s="2"/>
    </row>
    <row r="294" spans="1:23" s="73" customFormat="1" ht="12.75" customHeight="1">
      <c r="A294" s="2"/>
      <c r="B294" s="2"/>
      <c r="C294" s="2"/>
      <c r="D294" s="4"/>
      <c r="E294" s="4"/>
      <c r="F294" s="4"/>
      <c r="G294" s="3"/>
      <c r="H294" s="4"/>
      <c r="I294" s="3"/>
      <c r="J294" s="4"/>
      <c r="K294" s="3"/>
      <c r="L294" s="4"/>
      <c r="M294" s="75"/>
      <c r="N294" s="70"/>
      <c r="O294" s="3"/>
      <c r="P294" s="4"/>
      <c r="Q294" s="75"/>
      <c r="R294" s="70"/>
      <c r="S294" s="2"/>
      <c r="T294" s="2"/>
      <c r="U294" s="2"/>
      <c r="V294" s="2"/>
      <c r="W294" s="2"/>
    </row>
    <row r="295" spans="1:23" s="73" customFormat="1" ht="12.75" customHeight="1">
      <c r="A295" s="2"/>
      <c r="B295" s="2"/>
      <c r="C295" s="2"/>
      <c r="D295" s="4"/>
      <c r="E295" s="4"/>
      <c r="F295" s="4"/>
      <c r="G295" s="3"/>
      <c r="H295" s="4"/>
      <c r="I295" s="3"/>
      <c r="J295" s="4"/>
      <c r="K295" s="3"/>
      <c r="L295" s="4"/>
      <c r="M295" s="75"/>
      <c r="N295" s="70"/>
      <c r="O295" s="3"/>
      <c r="P295" s="4"/>
      <c r="Q295" s="75"/>
      <c r="R295" s="70"/>
      <c r="S295" s="2"/>
      <c r="T295" s="2"/>
      <c r="U295" s="2"/>
      <c r="V295" s="2"/>
      <c r="W295" s="2"/>
    </row>
    <row r="296" spans="1:23" s="73" customFormat="1" ht="12.75" customHeight="1">
      <c r="A296" s="2"/>
      <c r="B296" s="2"/>
      <c r="C296" s="2"/>
      <c r="D296" s="4"/>
      <c r="E296" s="4"/>
      <c r="F296" s="4"/>
      <c r="G296" s="3"/>
      <c r="H296" s="4"/>
      <c r="I296" s="3"/>
      <c r="J296" s="4"/>
      <c r="K296" s="3"/>
      <c r="L296" s="4"/>
      <c r="M296" s="75"/>
      <c r="N296" s="70"/>
      <c r="O296" s="3"/>
      <c r="P296" s="4"/>
      <c r="Q296" s="75"/>
      <c r="R296" s="70"/>
      <c r="S296" s="2"/>
      <c r="T296" s="2"/>
      <c r="U296" s="2"/>
      <c r="V296" s="2"/>
      <c r="W296" s="2"/>
    </row>
    <row r="297" spans="1:23" s="73" customFormat="1" ht="12.75" customHeight="1">
      <c r="A297" s="2"/>
      <c r="B297" s="2"/>
      <c r="C297" s="2"/>
      <c r="D297" s="4"/>
      <c r="E297" s="4"/>
      <c r="F297" s="4"/>
      <c r="G297" s="3"/>
      <c r="H297" s="4"/>
      <c r="I297" s="3"/>
      <c r="J297" s="4"/>
      <c r="K297" s="3"/>
      <c r="L297" s="4"/>
      <c r="M297" s="75"/>
      <c r="N297" s="70"/>
      <c r="O297" s="3"/>
      <c r="P297" s="4"/>
      <c r="Q297" s="75"/>
      <c r="R297" s="70"/>
      <c r="S297" s="2"/>
      <c r="T297" s="2"/>
      <c r="U297" s="2"/>
      <c r="V297" s="2"/>
      <c r="W297" s="2"/>
    </row>
    <row r="298" spans="1:23" s="73" customFormat="1" ht="12.75" customHeight="1">
      <c r="A298" s="2"/>
      <c r="B298" s="2"/>
      <c r="C298" s="2"/>
      <c r="D298" s="4"/>
      <c r="E298" s="4"/>
      <c r="F298" s="4"/>
      <c r="G298" s="3"/>
      <c r="H298" s="4"/>
      <c r="I298" s="3"/>
      <c r="J298" s="4"/>
      <c r="K298" s="3"/>
      <c r="L298" s="4"/>
      <c r="M298" s="75"/>
      <c r="N298" s="70"/>
      <c r="O298" s="3"/>
      <c r="P298" s="4"/>
      <c r="Q298" s="75"/>
      <c r="R298" s="70"/>
      <c r="S298" s="2"/>
      <c r="T298" s="2"/>
      <c r="U298" s="2"/>
      <c r="V298" s="2"/>
      <c r="W298" s="2"/>
    </row>
    <row r="299" spans="1:23" s="73" customFormat="1" ht="12.75" customHeight="1">
      <c r="A299" s="2"/>
      <c r="B299" s="2"/>
      <c r="C299" s="2"/>
      <c r="D299" s="4"/>
      <c r="E299" s="4"/>
      <c r="F299" s="4"/>
      <c r="G299" s="3"/>
      <c r="H299" s="4"/>
      <c r="I299" s="3"/>
      <c r="J299" s="4"/>
      <c r="K299" s="3"/>
      <c r="L299" s="4"/>
      <c r="M299" s="75"/>
      <c r="N299" s="70"/>
      <c r="O299" s="3"/>
      <c r="P299" s="4"/>
      <c r="Q299" s="75"/>
      <c r="R299" s="70"/>
      <c r="S299" s="2"/>
      <c r="T299" s="2"/>
      <c r="U299" s="2"/>
      <c r="V299" s="2"/>
      <c r="W299" s="2"/>
    </row>
    <row r="300" spans="1:23" s="73" customFormat="1" ht="12.75" customHeight="1">
      <c r="A300" s="2"/>
      <c r="B300" s="2"/>
      <c r="C300" s="2"/>
      <c r="D300" s="4"/>
      <c r="E300" s="4"/>
      <c r="F300" s="4"/>
      <c r="G300" s="3"/>
      <c r="H300" s="4"/>
      <c r="I300" s="3"/>
      <c r="J300" s="4"/>
      <c r="K300" s="3"/>
      <c r="L300" s="4"/>
      <c r="M300" s="75"/>
      <c r="N300" s="70"/>
      <c r="O300" s="3"/>
      <c r="P300" s="4"/>
      <c r="Q300" s="75"/>
      <c r="R300" s="70"/>
      <c r="S300" s="2"/>
      <c r="T300" s="2"/>
      <c r="U300" s="2"/>
      <c r="V300" s="2"/>
      <c r="W300" s="2"/>
    </row>
    <row r="301" spans="1:23" s="73" customFormat="1" ht="12.75" customHeight="1">
      <c r="A301" s="2"/>
      <c r="B301" s="2"/>
      <c r="C301" s="2"/>
      <c r="D301" s="4"/>
      <c r="E301" s="4"/>
      <c r="F301" s="4"/>
      <c r="G301" s="3"/>
      <c r="H301" s="4"/>
      <c r="I301" s="3"/>
      <c r="J301" s="4"/>
      <c r="K301" s="3"/>
      <c r="L301" s="4"/>
      <c r="M301" s="75"/>
      <c r="N301" s="70"/>
      <c r="O301" s="3"/>
      <c r="P301" s="4"/>
      <c r="Q301" s="75"/>
      <c r="R301" s="70"/>
      <c r="S301" s="2"/>
      <c r="T301" s="2"/>
      <c r="U301" s="2"/>
      <c r="V301" s="2"/>
      <c r="W301" s="2"/>
    </row>
    <row r="302" spans="1:23" s="73" customFormat="1" ht="12.75" customHeight="1">
      <c r="A302" s="2"/>
      <c r="B302" s="2"/>
      <c r="C302" s="2"/>
      <c r="D302" s="4"/>
      <c r="E302" s="4"/>
      <c r="F302" s="4"/>
      <c r="G302" s="3"/>
      <c r="H302" s="4"/>
      <c r="I302" s="3"/>
      <c r="J302" s="4"/>
      <c r="K302" s="3"/>
      <c r="L302" s="4"/>
      <c r="M302" s="75"/>
      <c r="N302" s="70"/>
      <c r="O302" s="3"/>
      <c r="P302" s="4"/>
      <c r="Q302" s="75"/>
      <c r="R302" s="70"/>
      <c r="S302" s="2"/>
      <c r="T302" s="2"/>
      <c r="U302" s="2"/>
      <c r="V302" s="2"/>
      <c r="W302" s="2"/>
    </row>
    <row r="303" spans="1:23" s="73" customFormat="1" ht="12.75" customHeight="1">
      <c r="A303" s="2"/>
      <c r="B303" s="2"/>
      <c r="C303" s="2"/>
      <c r="D303" s="4"/>
      <c r="E303" s="4"/>
      <c r="F303" s="4"/>
      <c r="G303" s="3"/>
      <c r="H303" s="4"/>
      <c r="I303" s="3"/>
      <c r="J303" s="4"/>
      <c r="K303" s="3"/>
      <c r="L303" s="4"/>
      <c r="M303" s="75"/>
      <c r="N303" s="70"/>
      <c r="O303" s="3"/>
      <c r="P303" s="4"/>
      <c r="Q303" s="75"/>
      <c r="R303" s="70"/>
      <c r="S303" s="2"/>
      <c r="T303" s="2"/>
      <c r="U303" s="2"/>
      <c r="V303" s="2"/>
      <c r="W303" s="2"/>
    </row>
    <row r="304" spans="1:23" s="73" customFormat="1" ht="12.75" customHeight="1">
      <c r="A304" s="2"/>
      <c r="B304" s="2"/>
      <c r="C304" s="2"/>
      <c r="D304" s="4"/>
      <c r="E304" s="4"/>
      <c r="F304" s="4"/>
      <c r="G304" s="3"/>
      <c r="H304" s="4"/>
      <c r="I304" s="3"/>
      <c r="J304" s="4"/>
      <c r="K304" s="3"/>
      <c r="L304" s="4"/>
      <c r="M304" s="75"/>
      <c r="N304" s="70"/>
      <c r="O304" s="3"/>
      <c r="P304" s="4"/>
      <c r="Q304" s="75"/>
      <c r="R304" s="70"/>
      <c r="S304" s="2"/>
      <c r="T304" s="2"/>
      <c r="U304" s="2"/>
      <c r="V304" s="2"/>
      <c r="W304" s="2"/>
    </row>
    <row r="305" spans="1:23" s="73" customFormat="1" ht="12.75" customHeight="1">
      <c r="A305" s="2"/>
      <c r="B305" s="2"/>
      <c r="C305" s="2"/>
      <c r="D305" s="4"/>
      <c r="E305" s="4"/>
      <c r="F305" s="4"/>
      <c r="G305" s="3"/>
      <c r="H305" s="4"/>
      <c r="I305" s="3"/>
      <c r="J305" s="4"/>
      <c r="K305" s="3"/>
      <c r="L305" s="4"/>
      <c r="M305" s="75"/>
      <c r="N305" s="70"/>
      <c r="O305" s="3"/>
      <c r="P305" s="4"/>
      <c r="Q305" s="75"/>
      <c r="R305" s="70"/>
      <c r="S305" s="2"/>
      <c r="T305" s="2"/>
      <c r="U305" s="2"/>
      <c r="V305" s="2"/>
      <c r="W305" s="2"/>
    </row>
    <row r="306" spans="1:23" s="73" customFormat="1" ht="12.75" customHeight="1">
      <c r="A306" s="2"/>
      <c r="B306" s="2"/>
      <c r="C306" s="2"/>
      <c r="D306" s="4"/>
      <c r="E306" s="4"/>
      <c r="F306" s="4"/>
      <c r="G306" s="3"/>
      <c r="H306" s="4"/>
      <c r="I306" s="3"/>
      <c r="J306" s="4"/>
      <c r="K306" s="3"/>
      <c r="L306" s="4"/>
      <c r="M306" s="75"/>
      <c r="N306" s="70"/>
      <c r="O306" s="3"/>
      <c r="P306" s="4"/>
      <c r="Q306" s="75"/>
      <c r="R306" s="70"/>
      <c r="S306" s="2"/>
      <c r="T306" s="2"/>
      <c r="U306" s="2"/>
      <c r="V306" s="2"/>
      <c r="W306" s="2"/>
    </row>
    <row r="307" spans="1:23" s="73" customFormat="1" ht="12.75" customHeight="1">
      <c r="A307" s="2"/>
      <c r="B307" s="2"/>
      <c r="C307" s="2"/>
      <c r="D307" s="4"/>
      <c r="E307" s="4"/>
      <c r="F307" s="4"/>
      <c r="G307" s="3"/>
      <c r="H307" s="4"/>
      <c r="I307" s="3"/>
      <c r="J307" s="4"/>
      <c r="K307" s="3"/>
      <c r="L307" s="4"/>
      <c r="M307" s="75"/>
      <c r="N307" s="70"/>
      <c r="O307" s="3"/>
      <c r="P307" s="4"/>
      <c r="Q307" s="75"/>
      <c r="R307" s="70"/>
      <c r="S307" s="2"/>
      <c r="T307" s="2"/>
      <c r="U307" s="2"/>
      <c r="V307" s="2"/>
      <c r="W307" s="2"/>
    </row>
    <row r="308" spans="1:23" s="73" customFormat="1" ht="12.75" customHeight="1">
      <c r="A308" s="2"/>
      <c r="B308" s="2"/>
      <c r="C308" s="2"/>
      <c r="D308" s="4"/>
      <c r="E308" s="4"/>
      <c r="F308" s="4"/>
      <c r="G308" s="3"/>
      <c r="H308" s="4"/>
      <c r="I308" s="3"/>
      <c r="J308" s="4"/>
      <c r="K308" s="3"/>
      <c r="L308" s="4"/>
      <c r="M308" s="75"/>
      <c r="N308" s="70"/>
      <c r="O308" s="3"/>
      <c r="P308" s="4"/>
      <c r="Q308" s="75"/>
      <c r="R308" s="70"/>
      <c r="S308" s="2"/>
      <c r="T308" s="2"/>
      <c r="U308" s="2"/>
      <c r="V308" s="2"/>
      <c r="W308" s="2"/>
    </row>
    <row r="309" spans="1:23" s="73" customFormat="1" ht="12.75" customHeight="1">
      <c r="A309" s="2"/>
      <c r="B309" s="2"/>
      <c r="C309" s="2"/>
      <c r="D309" s="4"/>
      <c r="E309" s="4"/>
      <c r="F309" s="4"/>
      <c r="G309" s="3"/>
      <c r="H309" s="4"/>
      <c r="I309" s="3"/>
      <c r="J309" s="4"/>
      <c r="K309" s="3"/>
      <c r="L309" s="4"/>
      <c r="M309" s="75"/>
      <c r="N309" s="70"/>
      <c r="O309" s="3"/>
      <c r="P309" s="4"/>
      <c r="Q309" s="75"/>
      <c r="R309" s="70"/>
      <c r="S309" s="2"/>
      <c r="T309" s="2"/>
      <c r="U309" s="2"/>
      <c r="V309" s="2"/>
      <c r="W309" s="2"/>
    </row>
    <row r="310" spans="1:23" s="73" customFormat="1" ht="12.75" customHeight="1">
      <c r="A310" s="2"/>
      <c r="B310" s="2"/>
      <c r="C310" s="2"/>
      <c r="D310" s="4"/>
      <c r="E310" s="4"/>
      <c r="F310" s="4"/>
      <c r="G310" s="3"/>
      <c r="H310" s="4"/>
      <c r="I310" s="3"/>
      <c r="J310" s="4"/>
      <c r="K310" s="3"/>
      <c r="L310" s="4"/>
      <c r="M310" s="75"/>
      <c r="N310" s="70"/>
      <c r="O310" s="3"/>
      <c r="P310" s="4"/>
      <c r="Q310" s="75"/>
      <c r="R310" s="70"/>
      <c r="S310" s="2"/>
      <c r="T310" s="2"/>
      <c r="U310" s="2"/>
      <c r="V310" s="2"/>
      <c r="W310" s="2"/>
    </row>
    <row r="311" spans="1:23" s="73" customFormat="1" ht="12.75" customHeight="1">
      <c r="A311" s="2"/>
      <c r="B311" s="2"/>
      <c r="C311" s="2"/>
      <c r="D311" s="4"/>
      <c r="E311" s="4"/>
      <c r="F311" s="4"/>
      <c r="G311" s="3"/>
      <c r="H311" s="4"/>
      <c r="I311" s="3"/>
      <c r="J311" s="4"/>
      <c r="K311" s="3"/>
      <c r="L311" s="4"/>
      <c r="M311" s="75"/>
      <c r="N311" s="70"/>
      <c r="O311" s="3"/>
      <c r="P311" s="4"/>
      <c r="Q311" s="75"/>
      <c r="R311" s="70"/>
      <c r="S311" s="2"/>
      <c r="T311" s="2"/>
      <c r="U311" s="2"/>
      <c r="V311" s="2"/>
      <c r="W311" s="2"/>
    </row>
    <row r="312" spans="1:23" s="73" customFormat="1" ht="12.75" customHeight="1">
      <c r="A312" s="2"/>
      <c r="B312" s="2"/>
      <c r="C312" s="2"/>
      <c r="D312" s="4"/>
      <c r="E312" s="4"/>
      <c r="F312" s="4"/>
      <c r="G312" s="3"/>
      <c r="H312" s="4"/>
      <c r="I312" s="3"/>
      <c r="J312" s="4"/>
      <c r="K312" s="3"/>
      <c r="L312" s="4"/>
      <c r="M312" s="75"/>
      <c r="N312" s="70"/>
      <c r="O312" s="3"/>
      <c r="P312" s="4"/>
      <c r="Q312" s="75"/>
      <c r="R312" s="70"/>
      <c r="S312" s="2"/>
      <c r="T312" s="2"/>
      <c r="U312" s="2"/>
      <c r="V312" s="2"/>
      <c r="W312" s="2"/>
    </row>
    <row r="313" spans="1:23" s="73" customFormat="1" ht="12.75" customHeight="1">
      <c r="A313" s="2"/>
      <c r="B313" s="2"/>
      <c r="C313" s="2"/>
      <c r="D313" s="4"/>
      <c r="E313" s="4"/>
      <c r="F313" s="4"/>
      <c r="G313" s="3"/>
      <c r="H313" s="4"/>
      <c r="I313" s="3"/>
      <c r="J313" s="4"/>
      <c r="K313" s="3"/>
      <c r="L313" s="4"/>
      <c r="M313" s="75"/>
      <c r="N313" s="70"/>
      <c r="O313" s="3"/>
      <c r="P313" s="4"/>
      <c r="Q313" s="75"/>
      <c r="R313" s="70"/>
      <c r="S313" s="2"/>
      <c r="T313" s="2"/>
      <c r="U313" s="2"/>
      <c r="V313" s="2"/>
      <c r="W313" s="2"/>
    </row>
    <row r="314" spans="1:23" s="73" customFormat="1" ht="12.75" customHeight="1">
      <c r="A314" s="2"/>
      <c r="B314" s="2"/>
      <c r="C314" s="2"/>
      <c r="D314" s="4"/>
      <c r="E314" s="4"/>
      <c r="F314" s="4"/>
      <c r="G314" s="3"/>
      <c r="H314" s="4"/>
      <c r="I314" s="3"/>
      <c r="J314" s="4"/>
      <c r="K314" s="3"/>
      <c r="L314" s="4"/>
      <c r="M314" s="75"/>
      <c r="N314" s="70"/>
      <c r="O314" s="3"/>
      <c r="P314" s="4"/>
      <c r="Q314" s="75"/>
      <c r="R314" s="70"/>
      <c r="S314" s="2"/>
      <c r="T314" s="2"/>
      <c r="U314" s="2"/>
      <c r="V314" s="2"/>
      <c r="W314" s="2"/>
    </row>
    <row r="315" spans="1:23" s="73" customFormat="1" ht="12.75" customHeight="1">
      <c r="A315" s="2"/>
      <c r="B315" s="2"/>
      <c r="C315" s="2"/>
      <c r="D315" s="4"/>
      <c r="E315" s="4"/>
      <c r="F315" s="4"/>
      <c r="G315" s="3"/>
      <c r="H315" s="4"/>
      <c r="I315" s="3"/>
      <c r="J315" s="4"/>
      <c r="K315" s="3"/>
      <c r="L315" s="4"/>
      <c r="M315" s="75"/>
      <c r="N315" s="70"/>
      <c r="O315" s="3"/>
      <c r="P315" s="4"/>
      <c r="Q315" s="75"/>
      <c r="R315" s="70"/>
      <c r="S315" s="2"/>
      <c r="T315" s="2"/>
      <c r="U315" s="2"/>
      <c r="V315" s="2"/>
      <c r="W315" s="2"/>
    </row>
    <row r="316" spans="1:23" s="73" customFormat="1" ht="12.75" customHeight="1">
      <c r="A316" s="2"/>
      <c r="B316" s="2"/>
      <c r="C316" s="2"/>
      <c r="D316" s="4"/>
      <c r="E316" s="4"/>
      <c r="F316" s="4"/>
      <c r="G316" s="3"/>
      <c r="H316" s="4"/>
      <c r="I316" s="3"/>
      <c r="J316" s="4"/>
      <c r="K316" s="3"/>
      <c r="L316" s="4"/>
      <c r="M316" s="75"/>
      <c r="N316" s="70"/>
      <c r="O316" s="3"/>
      <c r="P316" s="4"/>
      <c r="Q316" s="75"/>
      <c r="R316" s="70"/>
      <c r="S316" s="2"/>
      <c r="T316" s="2"/>
      <c r="U316" s="2"/>
      <c r="V316" s="2"/>
      <c r="W316" s="2"/>
    </row>
    <row r="317" spans="1:23" s="73" customFormat="1" ht="12.75" customHeight="1">
      <c r="A317" s="2"/>
      <c r="B317" s="2"/>
      <c r="C317" s="2"/>
      <c r="D317" s="4"/>
      <c r="E317" s="4"/>
      <c r="F317" s="4"/>
      <c r="G317" s="3"/>
      <c r="H317" s="4"/>
      <c r="I317" s="3"/>
      <c r="J317" s="4"/>
      <c r="K317" s="3"/>
      <c r="L317" s="4"/>
      <c r="M317" s="75"/>
      <c r="N317" s="70"/>
      <c r="O317" s="3"/>
      <c r="P317" s="4"/>
      <c r="Q317" s="75"/>
      <c r="R317" s="70"/>
      <c r="S317" s="2"/>
      <c r="T317" s="2"/>
      <c r="U317" s="2"/>
      <c r="V317" s="2"/>
      <c r="W317" s="2"/>
    </row>
    <row r="318" spans="1:23" s="73" customFormat="1" ht="12.75" customHeight="1">
      <c r="A318" s="2"/>
      <c r="B318" s="2"/>
      <c r="C318" s="2"/>
      <c r="D318" s="4"/>
      <c r="E318" s="4"/>
      <c r="F318" s="4"/>
      <c r="G318" s="3"/>
      <c r="H318" s="4"/>
      <c r="I318" s="3"/>
      <c r="J318" s="4"/>
      <c r="K318" s="3"/>
      <c r="L318" s="4"/>
      <c r="M318" s="75"/>
      <c r="N318" s="70"/>
      <c r="O318" s="3"/>
      <c r="P318" s="4"/>
      <c r="Q318" s="75"/>
      <c r="R318" s="70"/>
      <c r="S318" s="2"/>
      <c r="T318" s="2"/>
      <c r="U318" s="2"/>
      <c r="V318" s="2"/>
      <c r="W318" s="2"/>
    </row>
    <row r="319" spans="1:23" s="73" customFormat="1" ht="12.75" customHeight="1">
      <c r="A319" s="2"/>
      <c r="B319" s="2"/>
      <c r="C319" s="2"/>
      <c r="D319" s="4"/>
      <c r="E319" s="4"/>
      <c r="F319" s="4"/>
      <c r="G319" s="3"/>
      <c r="H319" s="4"/>
      <c r="I319" s="3"/>
      <c r="J319" s="4"/>
      <c r="K319" s="3"/>
      <c r="L319" s="4"/>
      <c r="M319" s="75"/>
      <c r="N319" s="70"/>
      <c r="O319" s="3"/>
      <c r="P319" s="4"/>
      <c r="Q319" s="75"/>
      <c r="R319" s="70"/>
      <c r="S319" s="2"/>
      <c r="T319" s="2"/>
      <c r="U319" s="2"/>
      <c r="V319" s="2"/>
      <c r="W319" s="2"/>
    </row>
    <row r="320" spans="1:23" s="73" customFormat="1" ht="12.75" customHeight="1">
      <c r="A320" s="2"/>
      <c r="B320" s="2"/>
      <c r="C320" s="2"/>
      <c r="D320" s="4"/>
      <c r="E320" s="4"/>
      <c r="F320" s="4"/>
      <c r="G320" s="3"/>
      <c r="H320" s="4"/>
      <c r="I320" s="3"/>
      <c r="J320" s="4"/>
      <c r="K320" s="3"/>
      <c r="L320" s="4"/>
      <c r="M320" s="75"/>
      <c r="N320" s="70"/>
      <c r="O320" s="3"/>
      <c r="P320" s="4"/>
      <c r="Q320" s="75"/>
      <c r="R320" s="70"/>
      <c r="S320" s="2"/>
      <c r="T320" s="2"/>
      <c r="U320" s="2"/>
      <c r="V320" s="2"/>
      <c r="W320" s="2"/>
    </row>
    <row r="321" spans="1:23" ht="12.75" customHeight="1">
      <c r="A321" s="2"/>
      <c r="B321" s="2"/>
      <c r="C321" s="2"/>
      <c r="D321" s="4"/>
      <c r="E321" s="4"/>
      <c r="F321" s="4"/>
      <c r="G321" s="3"/>
      <c r="H321" s="4"/>
      <c r="I321" s="3"/>
      <c r="J321" s="4"/>
      <c r="K321" s="3"/>
      <c r="L321" s="4"/>
      <c r="M321" s="5"/>
      <c r="N321" s="6"/>
      <c r="O321" s="3"/>
      <c r="P321" s="4"/>
      <c r="Q321" s="5"/>
      <c r="R321" s="6"/>
      <c r="S321" s="2"/>
      <c r="T321" s="2"/>
      <c r="U321" s="2"/>
      <c r="V321" s="2"/>
      <c r="W321" s="2"/>
    </row>
    <row r="322" spans="1:23" ht="12.75" customHeight="1">
      <c r="A322" s="2"/>
      <c r="B322" s="2"/>
      <c r="C322" s="2"/>
      <c r="D322" s="4"/>
      <c r="E322" s="4"/>
      <c r="F322" s="4"/>
      <c r="G322" s="3"/>
      <c r="H322" s="4"/>
      <c r="I322" s="3"/>
      <c r="J322" s="4"/>
      <c r="K322" s="3"/>
      <c r="L322" s="4"/>
      <c r="M322" s="5"/>
      <c r="N322" s="6"/>
      <c r="O322" s="3"/>
      <c r="P322" s="4"/>
      <c r="Q322" s="5"/>
      <c r="R322" s="6"/>
      <c r="S322" s="2"/>
      <c r="T322" s="2"/>
      <c r="U322" s="2"/>
      <c r="V322" s="2"/>
      <c r="W322" s="2"/>
    </row>
    <row r="323" spans="1:23" ht="12.75" customHeight="1">
      <c r="A323" s="2"/>
      <c r="B323" s="2"/>
      <c r="C323" s="2"/>
      <c r="D323" s="4"/>
      <c r="E323" s="4"/>
      <c r="F323" s="4"/>
      <c r="G323" s="3"/>
      <c r="H323" s="4"/>
      <c r="I323" s="3"/>
      <c r="J323" s="4"/>
      <c r="K323" s="3"/>
      <c r="L323" s="4"/>
      <c r="M323" s="5"/>
      <c r="N323" s="6"/>
      <c r="O323" s="3"/>
      <c r="P323" s="4"/>
      <c r="Q323" s="5"/>
      <c r="R323" s="6"/>
      <c r="S323" s="2"/>
      <c r="T323" s="2"/>
      <c r="U323" s="2"/>
      <c r="V323" s="2"/>
      <c r="W323" s="2"/>
    </row>
    <row r="324" spans="1:23" ht="12.75" customHeight="1">
      <c r="A324" s="2"/>
      <c r="B324" s="2"/>
      <c r="C324" s="2"/>
      <c r="D324" s="4"/>
      <c r="E324" s="4"/>
      <c r="F324" s="4"/>
      <c r="G324" s="3"/>
      <c r="H324" s="4"/>
      <c r="I324" s="3"/>
      <c r="J324" s="4"/>
      <c r="K324" s="3"/>
      <c r="L324" s="4"/>
      <c r="M324" s="5"/>
      <c r="N324" s="6"/>
      <c r="O324" s="3"/>
      <c r="P324" s="4"/>
      <c r="Q324" s="5"/>
      <c r="R324" s="6"/>
      <c r="S324" s="2"/>
      <c r="T324" s="2"/>
      <c r="U324" s="2"/>
      <c r="V324" s="2"/>
      <c r="W324" s="2"/>
    </row>
    <row r="325" spans="1:23" ht="12.75" customHeight="1">
      <c r="A325" s="2"/>
      <c r="B325" s="2"/>
      <c r="C325" s="2"/>
      <c r="D325" s="4"/>
      <c r="E325" s="4"/>
      <c r="F325" s="4"/>
      <c r="G325" s="3"/>
      <c r="H325" s="4"/>
      <c r="I325" s="3"/>
      <c r="J325" s="4"/>
      <c r="K325" s="3"/>
      <c r="L325" s="4"/>
      <c r="M325" s="5"/>
      <c r="N325" s="6"/>
      <c r="O325" s="3"/>
      <c r="P325" s="4"/>
      <c r="Q325" s="5"/>
      <c r="R325" s="6"/>
      <c r="S325" s="2"/>
      <c r="T325" s="2"/>
      <c r="U325" s="2"/>
      <c r="V325" s="2"/>
      <c r="W325" s="2"/>
    </row>
    <row r="326" spans="1:23" ht="12.75" customHeight="1">
      <c r="A326" s="2"/>
      <c r="B326" s="2"/>
      <c r="C326" s="2"/>
      <c r="D326" s="4"/>
      <c r="E326" s="4"/>
      <c r="F326" s="4"/>
      <c r="G326" s="3"/>
      <c r="H326" s="4"/>
      <c r="I326" s="3"/>
      <c r="J326" s="4"/>
      <c r="K326" s="3"/>
      <c r="L326" s="4"/>
      <c r="M326" s="5"/>
      <c r="N326" s="6"/>
      <c r="O326" s="3"/>
      <c r="P326" s="4"/>
      <c r="Q326" s="5"/>
      <c r="R326" s="6"/>
      <c r="S326" s="2"/>
      <c r="T326" s="2"/>
      <c r="U326" s="2"/>
      <c r="V326" s="2"/>
      <c r="W326" s="2"/>
    </row>
    <row r="327" spans="1:23" ht="12.75" customHeight="1">
      <c r="A327" s="2"/>
      <c r="B327" s="2"/>
      <c r="C327" s="2"/>
      <c r="D327" s="4"/>
      <c r="E327" s="4"/>
      <c r="F327" s="4"/>
      <c r="G327" s="3"/>
      <c r="H327" s="4"/>
      <c r="I327" s="3"/>
      <c r="J327" s="4"/>
      <c r="K327" s="3"/>
      <c r="L327" s="4"/>
      <c r="M327" s="5"/>
      <c r="N327" s="6"/>
      <c r="O327" s="3"/>
      <c r="P327" s="4"/>
      <c r="Q327" s="5"/>
      <c r="R327" s="6"/>
      <c r="S327" s="2"/>
      <c r="T327" s="2"/>
      <c r="U327" s="2"/>
      <c r="V327" s="2"/>
      <c r="W327" s="2"/>
    </row>
    <row r="328" spans="1:23" ht="12.75" customHeight="1">
      <c r="A328" s="2"/>
      <c r="B328" s="2"/>
      <c r="C328" s="2"/>
      <c r="D328" s="4"/>
      <c r="E328" s="4"/>
      <c r="F328" s="4"/>
      <c r="G328" s="3"/>
      <c r="H328" s="4"/>
      <c r="I328" s="3"/>
      <c r="J328" s="4"/>
      <c r="K328" s="3"/>
      <c r="L328" s="4"/>
      <c r="M328" s="5"/>
      <c r="N328" s="6"/>
      <c r="O328" s="3"/>
      <c r="P328" s="4"/>
      <c r="Q328" s="5"/>
      <c r="R328" s="6"/>
      <c r="S328" s="2"/>
      <c r="T328" s="2"/>
      <c r="U328" s="2"/>
      <c r="V328" s="2"/>
      <c r="W328" s="2"/>
    </row>
    <row r="329" spans="1:23" ht="12.75" customHeight="1">
      <c r="A329" s="2"/>
      <c r="B329" s="2"/>
      <c r="C329" s="2"/>
      <c r="D329" s="4"/>
      <c r="E329" s="4"/>
      <c r="F329" s="4"/>
      <c r="G329" s="3"/>
      <c r="H329" s="4"/>
      <c r="I329" s="3"/>
      <c r="J329" s="4"/>
      <c r="K329" s="3"/>
      <c r="L329" s="4"/>
      <c r="M329" s="5"/>
      <c r="N329" s="6"/>
      <c r="O329" s="3"/>
      <c r="P329" s="4"/>
      <c r="Q329" s="5"/>
      <c r="R329" s="6"/>
      <c r="S329" s="2"/>
      <c r="T329" s="2"/>
      <c r="U329" s="2"/>
      <c r="V329" s="2"/>
      <c r="W329" s="2"/>
    </row>
    <row r="330" spans="1:23" ht="12.75" customHeight="1">
      <c r="A330" s="2"/>
      <c r="B330" s="2"/>
      <c r="C330" s="2"/>
      <c r="D330" s="4"/>
      <c r="E330" s="4"/>
      <c r="F330" s="4"/>
      <c r="G330" s="3"/>
      <c r="H330" s="4"/>
      <c r="I330" s="3"/>
      <c r="J330" s="4"/>
      <c r="K330" s="3"/>
      <c r="L330" s="4"/>
      <c r="M330" s="5"/>
      <c r="N330" s="6"/>
      <c r="O330" s="3"/>
      <c r="P330" s="4"/>
      <c r="Q330" s="5"/>
      <c r="R330" s="6"/>
      <c r="S330" s="2"/>
      <c r="T330" s="2"/>
      <c r="U330" s="2"/>
      <c r="V330" s="2"/>
      <c r="W330" s="2"/>
    </row>
    <row r="331" spans="1:23" ht="12.75" customHeight="1">
      <c r="A331" s="2"/>
      <c r="B331" s="2"/>
      <c r="C331" s="2"/>
      <c r="D331" s="4"/>
      <c r="E331" s="4"/>
      <c r="F331" s="4"/>
      <c r="G331" s="3"/>
      <c r="H331" s="4"/>
      <c r="I331" s="3"/>
      <c r="J331" s="4"/>
      <c r="K331" s="3"/>
      <c r="L331" s="4"/>
      <c r="M331" s="5"/>
      <c r="N331" s="6"/>
      <c r="O331" s="3"/>
      <c r="P331" s="4"/>
      <c r="Q331" s="5"/>
      <c r="R331" s="6"/>
      <c r="S331" s="2"/>
      <c r="T331" s="2"/>
      <c r="U331" s="2"/>
      <c r="V331" s="2"/>
      <c r="W331" s="2"/>
    </row>
    <row r="332" spans="1:23" ht="12.75" customHeight="1">
      <c r="A332" s="2"/>
      <c r="B332" s="2"/>
      <c r="C332" s="2"/>
      <c r="D332" s="4"/>
      <c r="E332" s="4"/>
      <c r="F332" s="4"/>
      <c r="G332" s="3"/>
      <c r="H332" s="4"/>
      <c r="I332" s="3"/>
      <c r="J332" s="4"/>
      <c r="K332" s="3"/>
      <c r="L332" s="4"/>
      <c r="M332" s="5"/>
      <c r="N332" s="6"/>
      <c r="O332" s="3"/>
      <c r="P332" s="4"/>
      <c r="Q332" s="5"/>
      <c r="R332" s="6"/>
      <c r="S332" s="2"/>
      <c r="T332" s="2"/>
      <c r="U332" s="2"/>
      <c r="V332" s="2"/>
      <c r="W332" s="2"/>
    </row>
    <row r="333" spans="1:23" ht="12.75" customHeight="1">
      <c r="A333" s="2"/>
      <c r="B333" s="2"/>
      <c r="C333" s="2"/>
      <c r="D333" s="4"/>
      <c r="E333" s="4"/>
      <c r="F333" s="4"/>
      <c r="G333" s="3"/>
      <c r="H333" s="4"/>
      <c r="I333" s="3"/>
      <c r="J333" s="4"/>
      <c r="K333" s="3"/>
      <c r="L333" s="4"/>
      <c r="M333" s="5"/>
      <c r="N333" s="6"/>
      <c r="O333" s="3"/>
      <c r="P333" s="4"/>
      <c r="Q333" s="5"/>
      <c r="R333" s="6"/>
      <c r="S333" s="2"/>
      <c r="T333" s="2"/>
      <c r="U333" s="2"/>
      <c r="V333" s="2"/>
      <c r="W333" s="2"/>
    </row>
    <row r="334" spans="1:23" ht="12.75" customHeight="1">
      <c r="A334" s="2"/>
      <c r="B334" s="2"/>
      <c r="C334" s="2"/>
      <c r="D334" s="4"/>
      <c r="E334" s="4"/>
      <c r="F334" s="4"/>
      <c r="G334" s="3"/>
      <c r="H334" s="4"/>
      <c r="I334" s="3"/>
      <c r="J334" s="4"/>
      <c r="K334" s="3"/>
      <c r="L334" s="4"/>
      <c r="M334" s="5"/>
      <c r="N334" s="6"/>
      <c r="O334" s="3"/>
      <c r="P334" s="4"/>
      <c r="Q334" s="5"/>
      <c r="R334" s="6"/>
      <c r="S334" s="2"/>
      <c r="T334" s="2"/>
      <c r="U334" s="2"/>
      <c r="V334" s="2"/>
      <c r="W334" s="2"/>
    </row>
    <row r="335" spans="1:23" ht="12.75" customHeight="1">
      <c r="A335" s="2"/>
      <c r="B335" s="2"/>
      <c r="C335" s="2"/>
      <c r="D335" s="4"/>
      <c r="E335" s="4"/>
      <c r="F335" s="4"/>
      <c r="G335" s="3"/>
      <c r="H335" s="4"/>
      <c r="I335" s="3"/>
      <c r="J335" s="4"/>
      <c r="K335" s="3"/>
      <c r="L335" s="4"/>
      <c r="M335" s="5"/>
      <c r="N335" s="6"/>
      <c r="O335" s="3"/>
      <c r="P335" s="4"/>
      <c r="Q335" s="5"/>
      <c r="R335" s="6"/>
      <c r="S335" s="2"/>
      <c r="T335" s="2"/>
      <c r="U335" s="2"/>
      <c r="V335" s="2"/>
      <c r="W335" s="2"/>
    </row>
    <row r="336" spans="1:23" ht="12.75" customHeight="1">
      <c r="A336" s="2"/>
      <c r="B336" s="2"/>
      <c r="C336" s="2"/>
      <c r="D336" s="4"/>
      <c r="E336" s="4"/>
      <c r="F336" s="4"/>
      <c r="G336" s="3"/>
      <c r="H336" s="4"/>
      <c r="I336" s="3"/>
      <c r="J336" s="4"/>
      <c r="K336" s="3"/>
      <c r="L336" s="4"/>
      <c r="M336" s="5"/>
      <c r="N336" s="6"/>
      <c r="O336" s="3"/>
      <c r="P336" s="4"/>
      <c r="Q336" s="5"/>
      <c r="R336" s="6"/>
      <c r="S336" s="2"/>
      <c r="T336" s="2"/>
      <c r="U336" s="2"/>
      <c r="V336" s="2"/>
      <c r="W336" s="2"/>
    </row>
    <row r="337" spans="1:23" ht="12.75" customHeight="1">
      <c r="A337" s="2"/>
      <c r="B337" s="2"/>
      <c r="C337" s="2"/>
      <c r="D337" s="4"/>
      <c r="E337" s="4"/>
      <c r="F337" s="4"/>
      <c r="G337" s="3"/>
      <c r="H337" s="4"/>
      <c r="I337" s="3"/>
      <c r="J337" s="4"/>
      <c r="K337" s="3"/>
      <c r="L337" s="4"/>
      <c r="M337" s="5"/>
      <c r="N337" s="6"/>
      <c r="O337" s="3"/>
      <c r="P337" s="4"/>
      <c r="Q337" s="5"/>
      <c r="R337" s="6"/>
      <c r="S337" s="2"/>
      <c r="T337" s="2"/>
      <c r="U337" s="2"/>
      <c r="V337" s="2"/>
      <c r="W337" s="2"/>
    </row>
    <row r="338" spans="1:23" ht="12.75" customHeight="1">
      <c r="A338" s="2"/>
      <c r="B338" s="2"/>
      <c r="C338" s="2"/>
      <c r="D338" s="4"/>
      <c r="E338" s="4"/>
      <c r="F338" s="4"/>
      <c r="G338" s="3"/>
      <c r="H338" s="4"/>
      <c r="I338" s="3"/>
      <c r="J338" s="4"/>
      <c r="K338" s="3"/>
      <c r="L338" s="4"/>
      <c r="M338" s="5"/>
      <c r="N338" s="6"/>
      <c r="O338" s="3"/>
      <c r="P338" s="4"/>
      <c r="Q338" s="5"/>
      <c r="R338" s="6"/>
      <c r="S338" s="2"/>
      <c r="T338" s="2"/>
      <c r="U338" s="2"/>
      <c r="V338" s="2"/>
      <c r="W338" s="2"/>
    </row>
    <row r="339" spans="1:23" ht="12.75" customHeight="1">
      <c r="A339" s="2"/>
      <c r="B339" s="2"/>
      <c r="C339" s="2"/>
      <c r="D339" s="4"/>
      <c r="E339" s="4"/>
      <c r="F339" s="4"/>
      <c r="G339" s="3"/>
      <c r="H339" s="4"/>
      <c r="I339" s="3"/>
      <c r="J339" s="4"/>
      <c r="K339" s="3"/>
      <c r="L339" s="4"/>
      <c r="M339" s="5"/>
      <c r="N339" s="6"/>
      <c r="O339" s="3"/>
      <c r="P339" s="4"/>
      <c r="Q339" s="5"/>
      <c r="R339" s="6"/>
      <c r="S339" s="2"/>
      <c r="T339" s="2"/>
      <c r="U339" s="2"/>
      <c r="V339" s="2"/>
      <c r="W339" s="2"/>
    </row>
    <row r="340" spans="1:23" ht="12.75" customHeight="1">
      <c r="A340" s="2"/>
      <c r="B340" s="2"/>
      <c r="C340" s="2"/>
      <c r="D340" s="4"/>
      <c r="E340" s="4"/>
      <c r="F340" s="4"/>
      <c r="G340" s="3"/>
      <c r="H340" s="4"/>
      <c r="I340" s="3"/>
      <c r="J340" s="4"/>
      <c r="K340" s="3"/>
      <c r="L340" s="4"/>
      <c r="M340" s="5"/>
      <c r="N340" s="6"/>
      <c r="O340" s="3"/>
      <c r="P340" s="4"/>
      <c r="Q340" s="5"/>
      <c r="R340" s="6"/>
      <c r="S340" s="2"/>
      <c r="T340" s="2"/>
      <c r="U340" s="2"/>
      <c r="V340" s="2"/>
      <c r="W340" s="2"/>
    </row>
    <row r="341" spans="1:23" ht="12.75" customHeight="1">
      <c r="A341" s="2"/>
      <c r="B341" s="2"/>
      <c r="C341" s="2"/>
      <c r="D341" s="4"/>
      <c r="E341" s="4"/>
      <c r="F341" s="4"/>
      <c r="G341" s="3"/>
      <c r="H341" s="4"/>
      <c r="I341" s="3"/>
      <c r="J341" s="4"/>
      <c r="K341" s="3"/>
      <c r="L341" s="4"/>
      <c r="M341" s="5"/>
      <c r="N341" s="6"/>
      <c r="O341" s="3"/>
      <c r="P341" s="4"/>
      <c r="Q341" s="5"/>
      <c r="R341" s="6"/>
      <c r="S341" s="2"/>
      <c r="T341" s="2"/>
      <c r="U341" s="2"/>
      <c r="V341" s="2"/>
      <c r="W341" s="2"/>
    </row>
    <row r="342" spans="1:23" ht="12.75" customHeight="1">
      <c r="A342" s="2"/>
      <c r="B342" s="2"/>
      <c r="C342" s="2"/>
      <c r="D342" s="4"/>
      <c r="E342" s="4"/>
      <c r="F342" s="4"/>
      <c r="G342" s="3"/>
      <c r="H342" s="4"/>
      <c r="I342" s="3"/>
      <c r="J342" s="4"/>
      <c r="K342" s="3"/>
      <c r="L342" s="4"/>
      <c r="M342" s="5"/>
      <c r="N342" s="6"/>
      <c r="O342" s="3"/>
      <c r="P342" s="4"/>
      <c r="Q342" s="5"/>
      <c r="R342" s="6"/>
      <c r="S342" s="2"/>
      <c r="T342" s="2"/>
      <c r="U342" s="2"/>
      <c r="V342" s="2"/>
      <c r="W342" s="2"/>
    </row>
    <row r="343" spans="1:23" ht="12.75" customHeight="1">
      <c r="A343" s="2"/>
      <c r="B343" s="2"/>
      <c r="C343" s="2"/>
      <c r="D343" s="4"/>
      <c r="E343" s="4"/>
      <c r="F343" s="4"/>
      <c r="G343" s="3"/>
      <c r="H343" s="4"/>
      <c r="I343" s="3"/>
      <c r="J343" s="4"/>
      <c r="K343" s="3"/>
      <c r="L343" s="4"/>
      <c r="M343" s="5"/>
      <c r="N343" s="6"/>
      <c r="O343" s="3"/>
      <c r="P343" s="4"/>
      <c r="Q343" s="5"/>
      <c r="R343" s="6"/>
      <c r="S343" s="2"/>
      <c r="T343" s="2"/>
      <c r="U343" s="2"/>
      <c r="V343" s="2"/>
      <c r="W343" s="2"/>
    </row>
    <row r="344" spans="1:23" ht="12.75" customHeight="1">
      <c r="A344" s="2"/>
      <c r="B344" s="2"/>
      <c r="C344" s="2"/>
      <c r="D344" s="4"/>
      <c r="E344" s="4"/>
      <c r="F344" s="4"/>
      <c r="G344" s="3"/>
      <c r="H344" s="4"/>
      <c r="I344" s="3"/>
      <c r="J344" s="4"/>
      <c r="K344" s="3"/>
      <c r="L344" s="4"/>
      <c r="M344" s="5"/>
      <c r="N344" s="6"/>
      <c r="O344" s="3"/>
      <c r="P344" s="4"/>
      <c r="Q344" s="5"/>
      <c r="R344" s="6"/>
      <c r="S344" s="2"/>
      <c r="T344" s="2"/>
      <c r="U344" s="2"/>
      <c r="V344" s="2"/>
      <c r="W344" s="2"/>
    </row>
    <row r="345" spans="1:23" ht="12.75" customHeight="1">
      <c r="A345" s="2"/>
      <c r="B345" s="2"/>
      <c r="C345" s="2"/>
      <c r="D345" s="4"/>
      <c r="E345" s="4"/>
      <c r="F345" s="4"/>
      <c r="G345" s="3"/>
      <c r="H345" s="4"/>
      <c r="I345" s="3"/>
      <c r="J345" s="4"/>
      <c r="K345" s="3"/>
      <c r="L345" s="4"/>
      <c r="M345" s="5"/>
      <c r="N345" s="6"/>
      <c r="O345" s="3"/>
      <c r="P345" s="4"/>
      <c r="Q345" s="5"/>
      <c r="R345" s="6"/>
      <c r="S345" s="2"/>
      <c r="T345" s="2"/>
      <c r="U345" s="2"/>
      <c r="V345" s="2"/>
      <c r="W345" s="2"/>
    </row>
    <row r="346" spans="1:23" ht="12.75" customHeight="1">
      <c r="A346" s="2"/>
      <c r="B346" s="2"/>
      <c r="C346" s="2"/>
      <c r="D346" s="4"/>
      <c r="E346" s="4"/>
      <c r="F346" s="4"/>
      <c r="G346" s="3"/>
      <c r="H346" s="4"/>
      <c r="I346" s="3"/>
      <c r="J346" s="4"/>
      <c r="K346" s="3"/>
      <c r="L346" s="4"/>
      <c r="M346" s="5"/>
      <c r="N346" s="6"/>
      <c r="O346" s="3"/>
      <c r="P346" s="4"/>
      <c r="Q346" s="5"/>
      <c r="R346" s="6"/>
      <c r="S346" s="2"/>
      <c r="T346" s="2"/>
      <c r="U346" s="2"/>
      <c r="V346" s="2"/>
      <c r="W346" s="2"/>
    </row>
    <row r="347" spans="1:23" ht="12.75" customHeight="1">
      <c r="A347" s="2"/>
      <c r="B347" s="2"/>
      <c r="C347" s="2"/>
      <c r="D347" s="4"/>
      <c r="E347" s="4"/>
      <c r="F347" s="4"/>
      <c r="G347" s="3"/>
      <c r="H347" s="4"/>
      <c r="I347" s="3"/>
      <c r="J347" s="4"/>
      <c r="K347" s="3"/>
      <c r="L347" s="4"/>
      <c r="M347" s="5"/>
      <c r="N347" s="6"/>
      <c r="O347" s="3"/>
      <c r="P347" s="4"/>
      <c r="Q347" s="5"/>
      <c r="R347" s="6"/>
      <c r="S347" s="2"/>
      <c r="T347" s="2"/>
      <c r="U347" s="2"/>
      <c r="V347" s="2"/>
      <c r="W347" s="2"/>
    </row>
    <row r="348" spans="1:23" ht="12.75" customHeight="1">
      <c r="A348" s="2"/>
      <c r="B348" s="2"/>
      <c r="C348" s="2"/>
      <c r="D348" s="4"/>
      <c r="E348" s="4"/>
      <c r="F348" s="4"/>
      <c r="G348" s="3"/>
      <c r="H348" s="4"/>
      <c r="I348" s="3"/>
      <c r="J348" s="4"/>
      <c r="K348" s="3"/>
      <c r="L348" s="4"/>
      <c r="M348" s="5"/>
      <c r="N348" s="6"/>
      <c r="O348" s="3"/>
      <c r="P348" s="4"/>
      <c r="Q348" s="5"/>
      <c r="R348" s="6"/>
      <c r="S348" s="2"/>
      <c r="T348" s="2"/>
      <c r="U348" s="2"/>
      <c r="V348" s="2"/>
      <c r="W348" s="2"/>
    </row>
    <row r="349" spans="1:23" ht="12.75" customHeight="1">
      <c r="A349" s="2"/>
      <c r="B349" s="2"/>
      <c r="C349" s="2"/>
      <c r="D349" s="4"/>
      <c r="E349" s="4"/>
      <c r="F349" s="4"/>
      <c r="G349" s="3"/>
      <c r="H349" s="4"/>
      <c r="I349" s="3"/>
      <c r="J349" s="4"/>
      <c r="K349" s="3"/>
      <c r="L349" s="4"/>
      <c r="M349" s="5"/>
      <c r="N349" s="6"/>
      <c r="O349" s="3"/>
      <c r="P349" s="4"/>
      <c r="Q349" s="5"/>
      <c r="R349" s="6"/>
      <c r="S349" s="2"/>
      <c r="T349" s="2"/>
      <c r="U349" s="2"/>
      <c r="V349" s="2"/>
      <c r="W349" s="2"/>
    </row>
    <row r="350" spans="1:23" ht="12.75" customHeight="1">
      <c r="A350" s="2"/>
      <c r="B350" s="2"/>
      <c r="C350" s="2"/>
      <c r="D350" s="4"/>
      <c r="E350" s="4"/>
      <c r="F350" s="4"/>
      <c r="G350" s="3"/>
      <c r="H350" s="4"/>
      <c r="I350" s="3"/>
      <c r="J350" s="4"/>
      <c r="K350" s="3"/>
      <c r="L350" s="4"/>
      <c r="M350" s="5"/>
      <c r="N350" s="6"/>
      <c r="O350" s="3"/>
      <c r="P350" s="4"/>
      <c r="Q350" s="5"/>
      <c r="R350" s="6"/>
      <c r="S350" s="2"/>
      <c r="T350" s="2"/>
      <c r="U350" s="2"/>
      <c r="V350" s="2"/>
      <c r="W350" s="2"/>
    </row>
    <row r="351" spans="1:23" ht="12.75" customHeight="1">
      <c r="A351" s="2"/>
      <c r="B351" s="2"/>
      <c r="C351" s="2"/>
      <c r="D351" s="4"/>
      <c r="E351" s="4"/>
      <c r="F351" s="4"/>
      <c r="G351" s="3"/>
      <c r="H351" s="4"/>
      <c r="I351" s="3"/>
      <c r="J351" s="4"/>
      <c r="K351" s="3"/>
      <c r="L351" s="4"/>
      <c r="M351" s="5"/>
      <c r="N351" s="6"/>
      <c r="O351" s="3"/>
      <c r="P351" s="4"/>
      <c r="Q351" s="5"/>
      <c r="R351" s="6"/>
      <c r="S351" s="2"/>
      <c r="T351" s="2"/>
      <c r="U351" s="2"/>
      <c r="V351" s="2"/>
      <c r="W351" s="2"/>
    </row>
    <row r="352" spans="1:23" ht="12.75" customHeight="1">
      <c r="A352" s="2"/>
      <c r="B352" s="2"/>
      <c r="C352" s="2"/>
      <c r="D352" s="4"/>
      <c r="E352" s="4"/>
      <c r="F352" s="4"/>
      <c r="G352" s="3"/>
      <c r="H352" s="4"/>
      <c r="I352" s="3"/>
      <c r="J352" s="4"/>
      <c r="K352" s="3"/>
      <c r="L352" s="4"/>
      <c r="M352" s="5"/>
      <c r="N352" s="6"/>
      <c r="O352" s="3"/>
      <c r="P352" s="4"/>
      <c r="Q352" s="5"/>
      <c r="R352" s="6"/>
      <c r="S352" s="2"/>
      <c r="T352" s="2"/>
      <c r="U352" s="2"/>
      <c r="V352" s="2"/>
      <c r="W352" s="2"/>
    </row>
    <row r="353" spans="1:23" ht="12.75" customHeight="1">
      <c r="A353" s="2"/>
      <c r="B353" s="2"/>
      <c r="C353" s="2"/>
      <c r="D353" s="4"/>
      <c r="E353" s="4"/>
      <c r="F353" s="4"/>
      <c r="G353" s="3"/>
      <c r="H353" s="4"/>
      <c r="I353" s="3"/>
      <c r="J353" s="4"/>
      <c r="K353" s="3"/>
      <c r="L353" s="4"/>
      <c r="M353" s="5"/>
      <c r="N353" s="6"/>
      <c r="O353" s="3"/>
      <c r="P353" s="4"/>
      <c r="Q353" s="5"/>
      <c r="R353" s="6"/>
      <c r="S353" s="2"/>
      <c r="T353" s="2"/>
      <c r="U353" s="2"/>
      <c r="V353" s="2"/>
      <c r="W353" s="2"/>
    </row>
    <row r="354" spans="1:23" ht="12.75" customHeight="1">
      <c r="A354" s="2"/>
      <c r="B354" s="2"/>
      <c r="C354" s="2"/>
      <c r="D354" s="4"/>
      <c r="E354" s="4"/>
      <c r="F354" s="4"/>
      <c r="G354" s="3"/>
      <c r="H354" s="4"/>
      <c r="I354" s="3"/>
      <c r="J354" s="4"/>
      <c r="K354" s="3"/>
      <c r="L354" s="4"/>
      <c r="M354" s="5"/>
      <c r="N354" s="6"/>
      <c r="O354" s="3"/>
      <c r="P354" s="4"/>
      <c r="Q354" s="5"/>
      <c r="R354" s="6"/>
      <c r="S354" s="2"/>
      <c r="T354" s="2"/>
      <c r="U354" s="2"/>
      <c r="V354" s="2"/>
      <c r="W354" s="2"/>
    </row>
    <row r="355" spans="1:23" ht="12.75" customHeight="1">
      <c r="A355" s="2"/>
      <c r="B355" s="2"/>
      <c r="C355" s="2"/>
      <c r="D355" s="4"/>
      <c r="E355" s="4"/>
      <c r="F355" s="4"/>
      <c r="G355" s="3"/>
      <c r="H355" s="4"/>
      <c r="I355" s="3"/>
      <c r="J355" s="4"/>
      <c r="K355" s="3"/>
      <c r="L355" s="4"/>
      <c r="M355" s="5"/>
      <c r="N355" s="6"/>
      <c r="O355" s="3"/>
      <c r="P355" s="4"/>
      <c r="Q355" s="5"/>
      <c r="R355" s="6"/>
      <c r="S355" s="2"/>
      <c r="T355" s="2"/>
      <c r="U355" s="2"/>
      <c r="V355" s="2"/>
      <c r="W355" s="2"/>
    </row>
    <row r="356" spans="1:23" ht="12.75" customHeight="1">
      <c r="A356" s="2"/>
      <c r="B356" s="2"/>
      <c r="C356" s="2"/>
      <c r="D356" s="4"/>
      <c r="E356" s="4"/>
      <c r="F356" s="4"/>
      <c r="G356" s="3"/>
      <c r="H356" s="4"/>
      <c r="I356" s="3"/>
      <c r="J356" s="4"/>
      <c r="K356" s="3"/>
      <c r="L356" s="4"/>
      <c r="M356" s="5"/>
      <c r="N356" s="6"/>
      <c r="O356" s="3"/>
      <c r="P356" s="4"/>
      <c r="Q356" s="5"/>
      <c r="R356" s="6"/>
      <c r="S356" s="2"/>
      <c r="T356" s="2"/>
      <c r="U356" s="2"/>
      <c r="V356" s="2"/>
      <c r="W356" s="2"/>
    </row>
    <row r="357" spans="1:23" ht="12.75" customHeight="1">
      <c r="A357" s="2"/>
      <c r="B357" s="2"/>
      <c r="C357" s="2"/>
      <c r="D357" s="4"/>
      <c r="E357" s="4"/>
      <c r="F357" s="4"/>
      <c r="G357" s="3"/>
      <c r="H357" s="4"/>
      <c r="I357" s="3"/>
      <c r="J357" s="4"/>
      <c r="K357" s="3"/>
      <c r="L357" s="4"/>
      <c r="M357" s="5"/>
      <c r="N357" s="6"/>
      <c r="O357" s="3"/>
      <c r="P357" s="4"/>
      <c r="Q357" s="5"/>
      <c r="R357" s="6"/>
      <c r="S357" s="2"/>
      <c r="T357" s="2"/>
      <c r="U357" s="2"/>
      <c r="V357" s="2"/>
      <c r="W357" s="2"/>
    </row>
    <row r="358" spans="1:23" ht="12.75" customHeight="1">
      <c r="A358" s="2"/>
      <c r="B358" s="2"/>
      <c r="C358" s="2"/>
      <c r="D358" s="4"/>
      <c r="E358" s="4"/>
      <c r="F358" s="4"/>
      <c r="G358" s="3"/>
      <c r="H358" s="4"/>
      <c r="I358" s="3"/>
      <c r="J358" s="4"/>
      <c r="K358" s="3"/>
      <c r="L358" s="4"/>
      <c r="M358" s="5"/>
      <c r="N358" s="6"/>
      <c r="O358" s="3"/>
      <c r="P358" s="4"/>
      <c r="Q358" s="5"/>
      <c r="R358" s="6"/>
      <c r="S358" s="2"/>
      <c r="T358" s="2"/>
      <c r="U358" s="2"/>
      <c r="V358" s="2"/>
      <c r="W358" s="2"/>
    </row>
    <row r="359" spans="1:23" ht="12.75" customHeight="1">
      <c r="A359" s="2"/>
      <c r="B359" s="2"/>
      <c r="C359" s="2"/>
      <c r="D359" s="4"/>
      <c r="E359" s="4"/>
      <c r="F359" s="4"/>
      <c r="G359" s="3"/>
      <c r="H359" s="4"/>
      <c r="I359" s="3"/>
      <c r="J359" s="4"/>
      <c r="K359" s="3"/>
      <c r="L359" s="4"/>
      <c r="M359" s="5"/>
      <c r="N359" s="6"/>
      <c r="O359" s="3"/>
      <c r="P359" s="4"/>
      <c r="Q359" s="5"/>
      <c r="R359" s="6"/>
      <c r="S359" s="2"/>
      <c r="T359" s="2"/>
      <c r="U359" s="2"/>
      <c r="V359" s="2"/>
      <c r="W359" s="2"/>
    </row>
    <row r="360" spans="1:23" ht="12.75" customHeight="1">
      <c r="A360" s="2"/>
      <c r="B360" s="2"/>
      <c r="C360" s="2"/>
      <c r="D360" s="4"/>
      <c r="E360" s="4"/>
      <c r="F360" s="4"/>
      <c r="G360" s="3"/>
      <c r="H360" s="4"/>
      <c r="I360" s="3"/>
      <c r="J360" s="4"/>
      <c r="K360" s="3"/>
      <c r="L360" s="4"/>
      <c r="M360" s="5"/>
      <c r="N360" s="6"/>
      <c r="O360" s="3"/>
      <c r="P360" s="4"/>
      <c r="Q360" s="5"/>
      <c r="R360" s="6"/>
      <c r="S360" s="2"/>
      <c r="T360" s="2"/>
      <c r="U360" s="2"/>
      <c r="V360" s="2"/>
      <c r="W360" s="2"/>
    </row>
    <row r="361" spans="1:23" ht="12.75" customHeight="1">
      <c r="A361" s="2"/>
      <c r="B361" s="2"/>
      <c r="C361" s="2"/>
      <c r="D361" s="4"/>
      <c r="E361" s="4"/>
      <c r="F361" s="4"/>
      <c r="G361" s="3"/>
      <c r="H361" s="4"/>
      <c r="I361" s="3"/>
      <c r="J361" s="4"/>
      <c r="K361" s="3"/>
      <c r="L361" s="4"/>
      <c r="M361" s="5"/>
      <c r="N361" s="6"/>
      <c r="O361" s="3"/>
      <c r="P361" s="4"/>
      <c r="Q361" s="5"/>
      <c r="R361" s="6"/>
      <c r="S361" s="2"/>
      <c r="T361" s="2"/>
      <c r="U361" s="2"/>
      <c r="V361" s="2"/>
      <c r="W361" s="2"/>
    </row>
    <row r="362" spans="1:23" ht="12.75" customHeight="1">
      <c r="A362" s="2"/>
      <c r="B362" s="2"/>
      <c r="C362" s="2"/>
      <c r="D362" s="4"/>
      <c r="E362" s="4"/>
      <c r="F362" s="4"/>
      <c r="G362" s="3"/>
      <c r="H362" s="4"/>
      <c r="I362" s="3"/>
      <c r="J362" s="4"/>
      <c r="K362" s="3"/>
      <c r="L362" s="4"/>
      <c r="M362" s="5"/>
      <c r="N362" s="6"/>
      <c r="O362" s="3"/>
      <c r="P362" s="4"/>
      <c r="Q362" s="5"/>
      <c r="R362" s="6"/>
      <c r="S362" s="2"/>
      <c r="T362" s="2"/>
      <c r="U362" s="2"/>
      <c r="V362" s="2"/>
      <c r="W362" s="2"/>
    </row>
    <row r="363" spans="1:23" ht="12.75" customHeight="1">
      <c r="A363" s="2"/>
      <c r="B363" s="2"/>
      <c r="C363" s="2"/>
      <c r="D363" s="4"/>
      <c r="E363" s="4"/>
      <c r="F363" s="4"/>
      <c r="G363" s="3"/>
      <c r="H363" s="4"/>
      <c r="I363" s="3"/>
      <c r="J363" s="4"/>
      <c r="K363" s="3"/>
      <c r="L363" s="4"/>
      <c r="M363" s="5"/>
      <c r="N363" s="6"/>
      <c r="O363" s="3"/>
      <c r="P363" s="4"/>
      <c r="Q363" s="5"/>
      <c r="R363" s="6"/>
      <c r="S363" s="2"/>
      <c r="T363" s="2"/>
      <c r="U363" s="2"/>
      <c r="V363" s="2"/>
      <c r="W363" s="2"/>
    </row>
    <row r="364" spans="1:23" ht="12.75" customHeight="1">
      <c r="A364" s="2"/>
      <c r="B364" s="2"/>
      <c r="C364" s="2"/>
      <c r="D364" s="4"/>
      <c r="E364" s="4"/>
      <c r="F364" s="4"/>
      <c r="G364" s="3"/>
      <c r="H364" s="4"/>
      <c r="I364" s="3"/>
      <c r="J364" s="4"/>
      <c r="K364" s="3"/>
      <c r="L364" s="4"/>
      <c r="M364" s="5"/>
      <c r="N364" s="6"/>
      <c r="O364" s="3"/>
      <c r="P364" s="4"/>
      <c r="Q364" s="5"/>
      <c r="R364" s="6"/>
      <c r="S364" s="2"/>
      <c r="T364" s="2"/>
      <c r="U364" s="2"/>
      <c r="V364" s="2"/>
      <c r="W364" s="2"/>
    </row>
    <row r="365" spans="1:23" ht="12.75" customHeight="1">
      <c r="A365" s="2"/>
      <c r="B365" s="2"/>
      <c r="C365" s="2"/>
      <c r="D365" s="4"/>
      <c r="E365" s="4"/>
      <c r="F365" s="4"/>
      <c r="G365" s="3"/>
      <c r="H365" s="4"/>
      <c r="I365" s="3"/>
      <c r="J365" s="4"/>
      <c r="K365" s="3"/>
      <c r="L365" s="4"/>
      <c r="M365" s="5"/>
      <c r="N365" s="6"/>
      <c r="O365" s="3"/>
      <c r="P365" s="4"/>
      <c r="Q365" s="5"/>
      <c r="R365" s="6"/>
      <c r="S365" s="2"/>
      <c r="T365" s="2"/>
      <c r="U365" s="2"/>
      <c r="V365" s="2"/>
      <c r="W365" s="2"/>
    </row>
    <row r="366" spans="1:23" ht="12.75" customHeight="1">
      <c r="A366" s="2"/>
      <c r="B366" s="2"/>
      <c r="C366" s="2"/>
      <c r="D366" s="4"/>
      <c r="E366" s="4"/>
      <c r="F366" s="4"/>
      <c r="G366" s="3"/>
      <c r="H366" s="4"/>
      <c r="I366" s="3"/>
      <c r="J366" s="4"/>
      <c r="K366" s="3"/>
      <c r="L366" s="4"/>
      <c r="M366" s="5"/>
      <c r="N366" s="6"/>
      <c r="O366" s="3"/>
      <c r="P366" s="4"/>
      <c r="Q366" s="5"/>
      <c r="R366" s="6"/>
      <c r="S366" s="2"/>
      <c r="T366" s="2"/>
      <c r="U366" s="2"/>
      <c r="V366" s="2"/>
      <c r="W366" s="2"/>
    </row>
    <row r="367" spans="1:23" ht="12.75" customHeight="1">
      <c r="A367" s="2"/>
      <c r="B367" s="2"/>
      <c r="C367" s="2"/>
      <c r="D367" s="4"/>
      <c r="E367" s="4"/>
      <c r="F367" s="4"/>
      <c r="G367" s="3"/>
      <c r="H367" s="4"/>
      <c r="I367" s="3"/>
      <c r="J367" s="4"/>
      <c r="K367" s="3"/>
      <c r="L367" s="4"/>
      <c r="M367" s="5"/>
      <c r="N367" s="6"/>
      <c r="O367" s="3"/>
      <c r="P367" s="4"/>
      <c r="Q367" s="5"/>
      <c r="R367" s="6"/>
      <c r="S367" s="2"/>
      <c r="T367" s="2"/>
      <c r="U367" s="2"/>
      <c r="V367" s="2"/>
      <c r="W367" s="2"/>
    </row>
    <row r="368" spans="1:23" ht="12.75" customHeight="1">
      <c r="A368" s="2"/>
      <c r="B368" s="2"/>
      <c r="C368" s="2"/>
      <c r="D368" s="4"/>
      <c r="E368" s="4"/>
      <c r="F368" s="4"/>
      <c r="G368" s="3"/>
      <c r="H368" s="4"/>
      <c r="I368" s="3"/>
      <c r="J368" s="4"/>
      <c r="K368" s="3"/>
      <c r="L368" s="4"/>
      <c r="M368" s="5"/>
      <c r="N368" s="6"/>
      <c r="O368" s="3"/>
      <c r="P368" s="4"/>
      <c r="Q368" s="5"/>
      <c r="R368" s="6"/>
      <c r="S368" s="2"/>
      <c r="T368" s="2"/>
      <c r="U368" s="2"/>
      <c r="V368" s="2"/>
      <c r="W368" s="2"/>
    </row>
    <row r="369" spans="1:23" ht="12.75" customHeight="1">
      <c r="A369" s="2"/>
      <c r="B369" s="2"/>
      <c r="C369" s="2"/>
      <c r="D369" s="4"/>
      <c r="E369" s="4"/>
      <c r="F369" s="4"/>
      <c r="G369" s="3"/>
      <c r="H369" s="4"/>
      <c r="I369" s="3"/>
      <c r="J369" s="4"/>
      <c r="K369" s="3"/>
      <c r="L369" s="4"/>
      <c r="M369" s="5"/>
      <c r="N369" s="6"/>
      <c r="O369" s="3"/>
      <c r="P369" s="4"/>
      <c r="Q369" s="5"/>
      <c r="R369" s="6"/>
      <c r="S369" s="2"/>
      <c r="T369" s="2"/>
      <c r="U369" s="2"/>
      <c r="V369" s="2"/>
      <c r="W369" s="2"/>
    </row>
    <row r="370" spans="1:23" ht="12.75" customHeight="1">
      <c r="A370" s="2"/>
      <c r="B370" s="2"/>
      <c r="C370" s="2"/>
      <c r="D370" s="4"/>
      <c r="E370" s="4"/>
      <c r="F370" s="4"/>
      <c r="G370" s="3"/>
      <c r="H370" s="4"/>
      <c r="I370" s="3"/>
      <c r="J370" s="4"/>
      <c r="K370" s="3"/>
      <c r="L370" s="4"/>
      <c r="M370" s="5"/>
      <c r="N370" s="6"/>
      <c r="O370" s="3"/>
      <c r="P370" s="4"/>
      <c r="Q370" s="5"/>
      <c r="R370" s="6"/>
      <c r="S370" s="2"/>
      <c r="T370" s="2"/>
      <c r="U370" s="2"/>
      <c r="V370" s="2"/>
      <c r="W370" s="2"/>
    </row>
    <row r="371" spans="1:23" ht="12.75" customHeight="1">
      <c r="A371" s="2"/>
      <c r="B371" s="2"/>
      <c r="C371" s="2"/>
      <c r="D371" s="4"/>
      <c r="E371" s="4"/>
      <c r="F371" s="4"/>
      <c r="G371" s="3"/>
      <c r="H371" s="4"/>
      <c r="I371" s="3"/>
      <c r="J371" s="4"/>
      <c r="K371" s="3"/>
      <c r="L371" s="4"/>
      <c r="M371" s="5"/>
      <c r="N371" s="6"/>
      <c r="O371" s="3"/>
      <c r="P371" s="4"/>
      <c r="Q371" s="5"/>
      <c r="R371" s="6"/>
      <c r="S371" s="2"/>
      <c r="T371" s="2"/>
      <c r="U371" s="2"/>
      <c r="V371" s="2"/>
      <c r="W371" s="2"/>
    </row>
    <row r="372" spans="1:23" ht="12.75" customHeight="1">
      <c r="A372" s="2"/>
      <c r="B372" s="2"/>
      <c r="C372" s="2"/>
      <c r="D372" s="4"/>
      <c r="E372" s="4"/>
      <c r="F372" s="4"/>
      <c r="G372" s="3"/>
      <c r="H372" s="4"/>
      <c r="I372" s="3"/>
      <c r="J372" s="4"/>
      <c r="K372" s="3"/>
      <c r="L372" s="4"/>
      <c r="M372" s="5"/>
      <c r="N372" s="6"/>
      <c r="O372" s="3"/>
      <c r="P372" s="4"/>
      <c r="Q372" s="5"/>
      <c r="R372" s="6"/>
      <c r="S372" s="2"/>
      <c r="T372" s="2"/>
      <c r="U372" s="2"/>
      <c r="V372" s="2"/>
      <c r="W372" s="2"/>
    </row>
    <row r="373" spans="1:23" ht="12.75" customHeight="1">
      <c r="A373" s="2"/>
      <c r="B373" s="2"/>
      <c r="C373" s="2"/>
      <c r="D373" s="4"/>
      <c r="E373" s="4"/>
      <c r="F373" s="4"/>
      <c r="G373" s="3"/>
      <c r="H373" s="4"/>
      <c r="I373" s="3"/>
      <c r="J373" s="4"/>
      <c r="K373" s="3"/>
      <c r="L373" s="4"/>
      <c r="M373" s="5"/>
      <c r="N373" s="6"/>
      <c r="O373" s="3"/>
      <c r="P373" s="4"/>
      <c r="Q373" s="5"/>
      <c r="R373" s="6"/>
      <c r="S373" s="2"/>
      <c r="T373" s="2"/>
      <c r="U373" s="2"/>
      <c r="V373" s="2"/>
      <c r="W373" s="2"/>
    </row>
    <row r="374" spans="1:23" ht="12.75" customHeight="1">
      <c r="A374" s="2"/>
      <c r="B374" s="2"/>
      <c r="C374" s="2"/>
      <c r="D374" s="4"/>
      <c r="E374" s="4"/>
      <c r="F374" s="4"/>
      <c r="G374" s="3"/>
      <c r="H374" s="4"/>
      <c r="I374" s="3"/>
      <c r="J374" s="4"/>
      <c r="K374" s="3"/>
      <c r="L374" s="4"/>
      <c r="M374" s="5"/>
      <c r="N374" s="6"/>
      <c r="O374" s="3"/>
      <c r="P374" s="4"/>
      <c r="Q374" s="5"/>
      <c r="R374" s="6"/>
      <c r="S374" s="2"/>
      <c r="T374" s="2"/>
      <c r="U374" s="2"/>
      <c r="V374" s="2"/>
      <c r="W374" s="2"/>
    </row>
    <row r="375" spans="1:23" ht="12.75" customHeight="1">
      <c r="A375" s="2"/>
      <c r="B375" s="2"/>
      <c r="C375" s="2"/>
      <c r="D375" s="4"/>
      <c r="E375" s="4"/>
      <c r="F375" s="4"/>
      <c r="G375" s="3"/>
      <c r="H375" s="4"/>
      <c r="I375" s="3"/>
      <c r="J375" s="4"/>
      <c r="K375" s="3"/>
      <c r="L375" s="4"/>
      <c r="M375" s="5"/>
      <c r="N375" s="6"/>
      <c r="O375" s="3"/>
      <c r="P375" s="4"/>
      <c r="Q375" s="5"/>
      <c r="R375" s="6"/>
      <c r="S375" s="2"/>
      <c r="T375" s="2"/>
      <c r="U375" s="2"/>
      <c r="V375" s="2"/>
      <c r="W375" s="2"/>
    </row>
    <row r="376" spans="1:23" ht="12.75" customHeight="1">
      <c r="A376" s="2"/>
      <c r="B376" s="2"/>
      <c r="C376" s="2"/>
      <c r="D376" s="4"/>
      <c r="E376" s="4"/>
      <c r="F376" s="4"/>
      <c r="G376" s="3"/>
      <c r="H376" s="4"/>
      <c r="I376" s="3"/>
      <c r="J376" s="4"/>
      <c r="K376" s="3"/>
      <c r="L376" s="4"/>
      <c r="M376" s="5"/>
      <c r="N376" s="6"/>
      <c r="O376" s="3"/>
      <c r="P376" s="4"/>
      <c r="Q376" s="5"/>
      <c r="R376" s="6"/>
      <c r="S376" s="2"/>
      <c r="T376" s="2"/>
      <c r="U376" s="2"/>
      <c r="V376" s="2"/>
      <c r="W376" s="2"/>
    </row>
    <row r="377" spans="1:23" ht="12.75" customHeight="1">
      <c r="A377" s="2"/>
      <c r="B377" s="2"/>
      <c r="C377" s="2"/>
      <c r="D377" s="4"/>
      <c r="E377" s="4"/>
      <c r="F377" s="4"/>
      <c r="G377" s="3"/>
      <c r="H377" s="4"/>
      <c r="I377" s="3"/>
      <c r="J377" s="4"/>
      <c r="K377" s="3"/>
      <c r="L377" s="4"/>
      <c r="M377" s="5"/>
      <c r="N377" s="6"/>
      <c r="O377" s="3"/>
      <c r="P377" s="4"/>
      <c r="Q377" s="5"/>
      <c r="R377" s="6"/>
      <c r="S377" s="2"/>
      <c r="T377" s="2"/>
      <c r="U377" s="2"/>
      <c r="V377" s="2"/>
      <c r="W377" s="2"/>
    </row>
    <row r="378" spans="1:23" ht="12.75" customHeight="1">
      <c r="A378" s="2"/>
      <c r="B378" s="2"/>
      <c r="C378" s="2"/>
      <c r="D378" s="4"/>
      <c r="E378" s="4"/>
      <c r="F378" s="4"/>
      <c r="G378" s="3"/>
      <c r="H378" s="4"/>
      <c r="I378" s="3"/>
      <c r="J378" s="4"/>
      <c r="K378" s="3"/>
      <c r="L378" s="4"/>
      <c r="M378" s="5"/>
      <c r="N378" s="6"/>
      <c r="O378" s="3"/>
      <c r="P378" s="4"/>
      <c r="Q378" s="5"/>
      <c r="R378" s="6"/>
      <c r="S378" s="2"/>
      <c r="T378" s="2"/>
      <c r="U378" s="2"/>
      <c r="V378" s="2"/>
      <c r="W378" s="2"/>
    </row>
    <row r="379" spans="1:23" ht="12.75" customHeight="1">
      <c r="A379" s="2"/>
      <c r="B379" s="2"/>
      <c r="C379" s="2"/>
      <c r="D379" s="4"/>
      <c r="E379" s="4"/>
      <c r="F379" s="4"/>
      <c r="G379" s="3"/>
      <c r="H379" s="4"/>
      <c r="I379" s="3"/>
      <c r="J379" s="4"/>
      <c r="K379" s="3"/>
      <c r="L379" s="4"/>
      <c r="M379" s="5"/>
      <c r="N379" s="6"/>
      <c r="O379" s="3"/>
      <c r="P379" s="4"/>
      <c r="Q379" s="5"/>
      <c r="R379" s="6"/>
      <c r="S379" s="2"/>
      <c r="T379" s="2"/>
      <c r="U379" s="2"/>
      <c r="V379" s="2"/>
      <c r="W379" s="2"/>
    </row>
    <row r="380" spans="1:23" ht="12.75" customHeight="1">
      <c r="A380" s="2"/>
      <c r="B380" s="2"/>
      <c r="C380" s="2"/>
      <c r="D380" s="4"/>
      <c r="E380" s="4"/>
      <c r="F380" s="4"/>
      <c r="G380" s="3"/>
      <c r="H380" s="4"/>
      <c r="I380" s="3"/>
      <c r="J380" s="4"/>
      <c r="K380" s="3"/>
      <c r="L380" s="4"/>
      <c r="M380" s="5"/>
      <c r="N380" s="6"/>
      <c r="O380" s="3"/>
      <c r="P380" s="4"/>
      <c r="Q380" s="5"/>
      <c r="R380" s="6"/>
      <c r="S380" s="2"/>
      <c r="T380" s="2"/>
      <c r="U380" s="2"/>
      <c r="V380" s="2"/>
      <c r="W380" s="2"/>
    </row>
    <row r="381" spans="1:23" ht="12.75" customHeight="1">
      <c r="A381" s="2"/>
      <c r="B381" s="2"/>
      <c r="C381" s="2"/>
      <c r="D381" s="4"/>
      <c r="E381" s="4"/>
      <c r="F381" s="4"/>
      <c r="G381" s="3"/>
      <c r="H381" s="4"/>
      <c r="I381" s="3"/>
      <c r="J381" s="4"/>
      <c r="K381" s="3"/>
      <c r="L381" s="4"/>
      <c r="M381" s="5"/>
      <c r="N381" s="6"/>
      <c r="O381" s="3"/>
      <c r="P381" s="4"/>
      <c r="Q381" s="5"/>
      <c r="R381" s="6"/>
      <c r="S381" s="2"/>
      <c r="T381" s="2"/>
      <c r="U381" s="2"/>
      <c r="V381" s="2"/>
      <c r="W381" s="2"/>
    </row>
    <row r="382" spans="1:23" ht="12.75" customHeight="1">
      <c r="A382" s="2"/>
      <c r="B382" s="2"/>
      <c r="C382" s="2"/>
      <c r="D382" s="4"/>
      <c r="E382" s="4"/>
      <c r="F382" s="4"/>
      <c r="G382" s="3"/>
      <c r="H382" s="4"/>
      <c r="I382" s="3"/>
      <c r="J382" s="4"/>
      <c r="K382" s="3"/>
      <c r="L382" s="4"/>
      <c r="M382" s="5"/>
      <c r="N382" s="6"/>
      <c r="O382" s="3"/>
      <c r="P382" s="4"/>
      <c r="Q382" s="5"/>
      <c r="R382" s="6"/>
      <c r="S382" s="2"/>
      <c r="T382" s="2"/>
      <c r="U382" s="2"/>
      <c r="V382" s="2"/>
      <c r="W382" s="2"/>
    </row>
    <row r="383" spans="1:23" ht="12.75" customHeight="1">
      <c r="A383" s="2"/>
      <c r="B383" s="2"/>
      <c r="C383" s="2"/>
      <c r="D383" s="4"/>
      <c r="E383" s="4"/>
      <c r="F383" s="4"/>
      <c r="G383" s="3"/>
      <c r="H383" s="4"/>
      <c r="I383" s="3"/>
      <c r="J383" s="4"/>
      <c r="K383" s="3"/>
      <c r="L383" s="4"/>
      <c r="M383" s="5"/>
      <c r="N383" s="6"/>
      <c r="O383" s="3"/>
      <c r="P383" s="4"/>
      <c r="Q383" s="5"/>
      <c r="R383" s="6"/>
      <c r="S383" s="2"/>
      <c r="T383" s="2"/>
      <c r="U383" s="2"/>
      <c r="V383" s="2"/>
      <c r="W383" s="2"/>
    </row>
    <row r="384" spans="1:23" ht="12.75" customHeight="1">
      <c r="A384" s="2"/>
      <c r="B384" s="2"/>
      <c r="C384" s="2"/>
      <c r="D384" s="4"/>
      <c r="E384" s="4"/>
      <c r="F384" s="4"/>
      <c r="G384" s="3"/>
      <c r="H384" s="4"/>
      <c r="I384" s="3"/>
      <c r="J384" s="4"/>
      <c r="K384" s="3"/>
      <c r="L384" s="4"/>
      <c r="M384" s="5"/>
      <c r="N384" s="6"/>
      <c r="O384" s="3"/>
      <c r="P384" s="4"/>
      <c r="Q384" s="5"/>
      <c r="R384" s="6"/>
      <c r="S384" s="2"/>
      <c r="T384" s="2"/>
      <c r="U384" s="2"/>
      <c r="V384" s="2"/>
      <c r="W384" s="2"/>
    </row>
    <row r="385" spans="1:23" ht="12.75" customHeight="1">
      <c r="A385" s="2"/>
      <c r="B385" s="2"/>
      <c r="C385" s="2"/>
      <c r="D385" s="4"/>
      <c r="E385" s="4"/>
      <c r="F385" s="4"/>
      <c r="G385" s="3"/>
      <c r="H385" s="4"/>
      <c r="I385" s="3"/>
      <c r="J385" s="4"/>
      <c r="K385" s="3"/>
      <c r="L385" s="4"/>
      <c r="M385" s="5"/>
      <c r="N385" s="6"/>
      <c r="O385" s="3"/>
      <c r="P385" s="4"/>
      <c r="Q385" s="5"/>
      <c r="R385" s="6"/>
      <c r="S385" s="2"/>
      <c r="T385" s="2"/>
      <c r="U385" s="2"/>
      <c r="V385" s="2"/>
      <c r="W385" s="2"/>
    </row>
    <row r="386" spans="1:23" ht="12.75" customHeight="1">
      <c r="A386" s="2"/>
      <c r="B386" s="2"/>
      <c r="C386" s="2"/>
      <c r="D386" s="4"/>
      <c r="E386" s="4"/>
      <c r="F386" s="4"/>
      <c r="G386" s="3"/>
      <c r="H386" s="4"/>
      <c r="I386" s="3"/>
      <c r="J386" s="4"/>
      <c r="K386" s="3"/>
      <c r="L386" s="4"/>
      <c r="M386" s="5"/>
      <c r="N386" s="6"/>
      <c r="O386" s="3"/>
      <c r="P386" s="4"/>
      <c r="Q386" s="5"/>
      <c r="R386" s="6"/>
      <c r="S386" s="2"/>
      <c r="T386" s="2"/>
      <c r="U386" s="2"/>
      <c r="V386" s="2"/>
      <c r="W386" s="2"/>
    </row>
    <row r="387" spans="1:23" ht="12.75" customHeight="1">
      <c r="A387" s="2"/>
      <c r="B387" s="2"/>
      <c r="C387" s="2"/>
      <c r="D387" s="4"/>
      <c r="E387" s="4"/>
      <c r="F387" s="4"/>
      <c r="G387" s="3"/>
      <c r="H387" s="4"/>
      <c r="I387" s="3"/>
      <c r="J387" s="4"/>
      <c r="K387" s="3"/>
      <c r="L387" s="4"/>
      <c r="M387" s="5"/>
      <c r="N387" s="6"/>
      <c r="O387" s="3"/>
      <c r="P387" s="4"/>
      <c r="Q387" s="5"/>
      <c r="R387" s="6"/>
      <c r="S387" s="2"/>
      <c r="T387" s="2"/>
      <c r="U387" s="2"/>
      <c r="V387" s="2"/>
      <c r="W387" s="2"/>
    </row>
    <row r="388" spans="1:23" ht="12.75" customHeight="1">
      <c r="A388" s="2"/>
      <c r="B388" s="2"/>
      <c r="C388" s="2"/>
      <c r="D388" s="4"/>
      <c r="E388" s="4"/>
      <c r="F388" s="4"/>
      <c r="G388" s="3"/>
      <c r="H388" s="4"/>
      <c r="I388" s="3"/>
      <c r="J388" s="4"/>
      <c r="K388" s="3"/>
      <c r="L388" s="4"/>
      <c r="M388" s="5"/>
      <c r="N388" s="6"/>
      <c r="O388" s="3"/>
      <c r="P388" s="4"/>
      <c r="Q388" s="5"/>
      <c r="R388" s="6"/>
      <c r="S388" s="2"/>
      <c r="T388" s="2"/>
      <c r="U388" s="2"/>
      <c r="V388" s="2"/>
      <c r="W388" s="2"/>
    </row>
    <row r="389" spans="1:23" ht="12.75" customHeight="1">
      <c r="A389" s="2"/>
      <c r="B389" s="2"/>
      <c r="C389" s="2"/>
      <c r="D389" s="4"/>
      <c r="E389" s="4"/>
      <c r="F389" s="4"/>
      <c r="G389" s="3"/>
      <c r="H389" s="4"/>
      <c r="I389" s="3"/>
      <c r="J389" s="4"/>
      <c r="K389" s="3"/>
      <c r="L389" s="4"/>
      <c r="M389" s="5"/>
      <c r="N389" s="6"/>
      <c r="O389" s="3"/>
      <c r="P389" s="4"/>
      <c r="Q389" s="5"/>
      <c r="R389" s="6"/>
      <c r="S389" s="2"/>
      <c r="T389" s="2"/>
      <c r="U389" s="2"/>
      <c r="V389" s="2"/>
      <c r="W389" s="2"/>
    </row>
    <row r="390" spans="1:23" ht="12.75" customHeight="1">
      <c r="A390" s="2"/>
      <c r="B390" s="2"/>
      <c r="C390" s="2"/>
      <c r="D390" s="4"/>
      <c r="E390" s="4"/>
      <c r="F390" s="4"/>
      <c r="G390" s="3"/>
      <c r="H390" s="4"/>
      <c r="I390" s="3"/>
      <c r="J390" s="4"/>
      <c r="K390" s="3"/>
      <c r="L390" s="4"/>
      <c r="M390" s="5"/>
      <c r="N390" s="6"/>
      <c r="O390" s="3"/>
      <c r="P390" s="4"/>
      <c r="Q390" s="5"/>
      <c r="R390" s="6"/>
      <c r="S390" s="2"/>
      <c r="T390" s="2"/>
      <c r="U390" s="2"/>
      <c r="V390" s="2"/>
      <c r="W390" s="2"/>
    </row>
    <row r="391" spans="1:23" ht="12.75" customHeight="1">
      <c r="A391" s="2"/>
      <c r="B391" s="2"/>
      <c r="C391" s="2"/>
      <c r="D391" s="4"/>
      <c r="E391" s="4"/>
      <c r="F391" s="4"/>
      <c r="G391" s="3"/>
      <c r="H391" s="4"/>
      <c r="I391" s="3"/>
      <c r="J391" s="4"/>
      <c r="K391" s="3"/>
      <c r="L391" s="4"/>
      <c r="M391" s="5"/>
      <c r="N391" s="6"/>
      <c r="O391" s="3"/>
      <c r="P391" s="4"/>
      <c r="Q391" s="5"/>
      <c r="R391" s="6"/>
      <c r="S391" s="2"/>
      <c r="T391" s="2"/>
      <c r="U391" s="2"/>
      <c r="V391" s="2"/>
      <c r="W391" s="2"/>
    </row>
    <row r="392" spans="1:23" ht="12.75" customHeight="1">
      <c r="A392" s="2"/>
      <c r="B392" s="2"/>
      <c r="C392" s="2"/>
      <c r="D392" s="4"/>
      <c r="E392" s="4"/>
      <c r="F392" s="4"/>
      <c r="G392" s="3"/>
      <c r="H392" s="4"/>
      <c r="I392" s="3"/>
      <c r="J392" s="4"/>
      <c r="K392" s="3"/>
      <c r="L392" s="4"/>
      <c r="M392" s="5"/>
      <c r="N392" s="6"/>
      <c r="O392" s="3"/>
      <c r="P392" s="4"/>
      <c r="Q392" s="5"/>
      <c r="R392" s="6"/>
      <c r="S392" s="2"/>
      <c r="T392" s="2"/>
      <c r="U392" s="2"/>
      <c r="V392" s="2"/>
      <c r="W392" s="2"/>
    </row>
    <row r="393" spans="1:23" ht="12.75" customHeight="1">
      <c r="A393" s="2"/>
      <c r="B393" s="2"/>
      <c r="C393" s="2"/>
      <c r="D393" s="4"/>
      <c r="E393" s="4"/>
      <c r="F393" s="4"/>
      <c r="G393" s="3"/>
      <c r="H393" s="4"/>
      <c r="I393" s="3"/>
      <c r="J393" s="4"/>
      <c r="K393" s="3"/>
      <c r="L393" s="4"/>
      <c r="M393" s="5"/>
      <c r="N393" s="6"/>
      <c r="O393" s="3"/>
      <c r="P393" s="4"/>
      <c r="Q393" s="5"/>
      <c r="R393" s="6"/>
      <c r="S393" s="2"/>
      <c r="T393" s="2"/>
      <c r="U393" s="2"/>
      <c r="V393" s="2"/>
      <c r="W393" s="2"/>
    </row>
    <row r="394" spans="1:23" ht="12.75" customHeight="1">
      <c r="A394" s="2"/>
      <c r="B394" s="2"/>
      <c r="C394" s="2"/>
      <c r="D394" s="4"/>
      <c r="E394" s="4"/>
      <c r="F394" s="4"/>
      <c r="G394" s="3"/>
      <c r="H394" s="4"/>
      <c r="I394" s="3"/>
      <c r="J394" s="4"/>
      <c r="K394" s="3"/>
      <c r="L394" s="4"/>
      <c r="M394" s="5"/>
      <c r="N394" s="6"/>
      <c r="O394" s="3"/>
      <c r="P394" s="4"/>
      <c r="Q394" s="5"/>
      <c r="R394" s="6"/>
      <c r="S394" s="2"/>
      <c r="T394" s="2"/>
      <c r="U394" s="2"/>
      <c r="V394" s="2"/>
      <c r="W394" s="2"/>
    </row>
    <row r="395" spans="1:23" ht="12.75" customHeight="1">
      <c r="A395" s="2"/>
      <c r="B395" s="2"/>
      <c r="C395" s="2"/>
      <c r="D395" s="4"/>
      <c r="E395" s="4"/>
      <c r="F395" s="4"/>
      <c r="G395" s="3"/>
      <c r="H395" s="4"/>
      <c r="I395" s="3"/>
      <c r="J395" s="4"/>
      <c r="K395" s="3"/>
      <c r="L395" s="4"/>
      <c r="M395" s="5"/>
      <c r="N395" s="6"/>
      <c r="O395" s="3"/>
      <c r="P395" s="4"/>
      <c r="Q395" s="5"/>
      <c r="R395" s="6"/>
      <c r="S395" s="2"/>
      <c r="T395" s="2"/>
      <c r="U395" s="2"/>
      <c r="V395" s="2"/>
      <c r="W395" s="2"/>
    </row>
    <row r="396" spans="1:23" ht="12.75" customHeight="1">
      <c r="A396" s="2"/>
      <c r="B396" s="2"/>
      <c r="C396" s="2"/>
      <c r="D396" s="4"/>
      <c r="E396" s="4"/>
      <c r="F396" s="4"/>
      <c r="G396" s="3"/>
      <c r="H396" s="4"/>
      <c r="I396" s="3"/>
      <c r="J396" s="4"/>
      <c r="K396" s="3"/>
      <c r="L396" s="4"/>
      <c r="M396" s="5"/>
      <c r="N396" s="6"/>
      <c r="O396" s="3"/>
      <c r="P396" s="4"/>
      <c r="Q396" s="5"/>
      <c r="R396" s="6"/>
      <c r="S396" s="2"/>
      <c r="T396" s="2"/>
      <c r="U396" s="2"/>
      <c r="V396" s="2"/>
      <c r="W396" s="2"/>
    </row>
    <row r="397" spans="1:23" ht="12.75" customHeight="1">
      <c r="A397" s="2"/>
      <c r="B397" s="2"/>
      <c r="C397" s="2"/>
      <c r="D397" s="4"/>
      <c r="E397" s="4"/>
      <c r="F397" s="4"/>
      <c r="G397" s="3"/>
      <c r="H397" s="4"/>
      <c r="I397" s="3"/>
      <c r="J397" s="4"/>
      <c r="K397" s="3"/>
      <c r="L397" s="4"/>
      <c r="M397" s="5"/>
      <c r="N397" s="6"/>
      <c r="O397" s="3"/>
      <c r="P397" s="4"/>
      <c r="Q397" s="5"/>
      <c r="R397" s="6"/>
      <c r="S397" s="2"/>
      <c r="T397" s="2"/>
      <c r="U397" s="2"/>
      <c r="V397" s="2"/>
      <c r="W397" s="2"/>
    </row>
    <row r="398" spans="1:23" ht="12.75" customHeight="1">
      <c r="A398" s="2"/>
      <c r="B398" s="2"/>
      <c r="C398" s="2"/>
      <c r="D398" s="4"/>
      <c r="E398" s="4"/>
      <c r="F398" s="4"/>
      <c r="G398" s="3"/>
      <c r="H398" s="4"/>
      <c r="I398" s="3"/>
      <c r="J398" s="4"/>
      <c r="K398" s="3"/>
      <c r="L398" s="4"/>
      <c r="M398" s="5"/>
      <c r="N398" s="6"/>
      <c r="O398" s="3"/>
      <c r="P398" s="4"/>
      <c r="Q398" s="5"/>
      <c r="R398" s="6"/>
      <c r="S398" s="2"/>
      <c r="T398" s="2"/>
      <c r="U398" s="2"/>
      <c r="V398" s="2"/>
      <c r="W398" s="2"/>
    </row>
    <row r="399" spans="1:23" ht="12.75" customHeight="1">
      <c r="A399" s="2"/>
      <c r="B399" s="2"/>
      <c r="C399" s="2"/>
      <c r="D399" s="4"/>
      <c r="E399" s="4"/>
      <c r="F399" s="4"/>
      <c r="G399" s="3"/>
      <c r="H399" s="4"/>
      <c r="I399" s="3"/>
      <c r="J399" s="4"/>
      <c r="K399" s="3"/>
      <c r="L399" s="4"/>
      <c r="M399" s="5"/>
      <c r="N399" s="6"/>
      <c r="O399" s="3"/>
      <c r="P399" s="4"/>
      <c r="Q399" s="5"/>
      <c r="R399" s="6"/>
      <c r="S399" s="2"/>
      <c r="T399" s="2"/>
      <c r="U399" s="2"/>
      <c r="V399" s="2"/>
      <c r="W399" s="2"/>
    </row>
    <row r="400" spans="1:23" ht="12.75" customHeight="1">
      <c r="A400" s="2"/>
      <c r="B400" s="2"/>
      <c r="C400" s="2"/>
      <c r="D400" s="4"/>
      <c r="E400" s="4"/>
      <c r="F400" s="4"/>
      <c r="G400" s="3"/>
      <c r="H400" s="4"/>
      <c r="I400" s="3"/>
      <c r="J400" s="4"/>
      <c r="K400" s="3"/>
      <c r="L400" s="4"/>
      <c r="M400" s="5"/>
      <c r="N400" s="6"/>
      <c r="O400" s="3"/>
      <c r="P400" s="4"/>
      <c r="Q400" s="5"/>
      <c r="R400" s="6"/>
      <c r="S400" s="2"/>
      <c r="T400" s="2"/>
      <c r="U400" s="2"/>
      <c r="V400" s="2"/>
      <c r="W400" s="2"/>
    </row>
    <row r="401" spans="1:23" ht="12.75" customHeight="1">
      <c r="A401" s="2"/>
      <c r="B401" s="2"/>
      <c r="C401" s="2"/>
      <c r="D401" s="4"/>
      <c r="E401" s="4"/>
      <c r="F401" s="4"/>
      <c r="G401" s="3"/>
      <c r="H401" s="4"/>
      <c r="I401" s="3"/>
      <c r="J401" s="4"/>
      <c r="K401" s="3"/>
      <c r="L401" s="4"/>
      <c r="M401" s="5"/>
      <c r="N401" s="6"/>
      <c r="O401" s="3"/>
      <c r="P401" s="4"/>
      <c r="Q401" s="5"/>
      <c r="R401" s="6"/>
      <c r="S401" s="2"/>
      <c r="T401" s="2"/>
      <c r="U401" s="2"/>
      <c r="V401" s="2"/>
      <c r="W401" s="2"/>
    </row>
    <row r="402" spans="1:23" ht="12.75" customHeight="1">
      <c r="A402" s="2"/>
      <c r="B402" s="2"/>
      <c r="C402" s="2"/>
      <c r="D402" s="4"/>
      <c r="E402" s="4"/>
      <c r="F402" s="4"/>
      <c r="G402" s="3"/>
      <c r="H402" s="4"/>
      <c r="I402" s="3"/>
      <c r="J402" s="4"/>
      <c r="K402" s="3"/>
      <c r="L402" s="4"/>
      <c r="M402" s="5"/>
      <c r="N402" s="6"/>
      <c r="O402" s="3"/>
      <c r="P402" s="4"/>
      <c r="Q402" s="5"/>
      <c r="R402" s="6"/>
      <c r="S402" s="2"/>
      <c r="T402" s="2"/>
      <c r="U402" s="2"/>
      <c r="V402" s="2"/>
      <c r="W402" s="2"/>
    </row>
    <row r="403" spans="1:23" ht="12.75" customHeight="1">
      <c r="A403" s="2"/>
      <c r="B403" s="2"/>
      <c r="C403" s="2"/>
      <c r="D403" s="4"/>
      <c r="E403" s="4"/>
      <c r="F403" s="4"/>
      <c r="G403" s="3"/>
      <c r="H403" s="4"/>
      <c r="I403" s="3"/>
      <c r="J403" s="4"/>
      <c r="K403" s="3"/>
      <c r="L403" s="4"/>
      <c r="M403" s="5"/>
      <c r="N403" s="6"/>
      <c r="O403" s="3"/>
      <c r="P403" s="4"/>
      <c r="Q403" s="5"/>
      <c r="R403" s="6"/>
      <c r="S403" s="2"/>
      <c r="T403" s="2"/>
      <c r="U403" s="2"/>
      <c r="V403" s="2"/>
      <c r="W403" s="2"/>
    </row>
    <row r="404" spans="1:23" ht="12.75" customHeight="1">
      <c r="A404" s="2"/>
      <c r="B404" s="2"/>
      <c r="C404" s="2"/>
      <c r="D404" s="4"/>
      <c r="E404" s="4"/>
      <c r="F404" s="4"/>
      <c r="G404" s="3"/>
      <c r="H404" s="4"/>
      <c r="I404" s="3"/>
      <c r="J404" s="4"/>
      <c r="K404" s="3"/>
      <c r="L404" s="4"/>
      <c r="M404" s="5"/>
      <c r="N404" s="6"/>
      <c r="O404" s="3"/>
      <c r="P404" s="4"/>
      <c r="Q404" s="5"/>
      <c r="R404" s="6"/>
      <c r="S404" s="2"/>
      <c r="T404" s="2"/>
      <c r="U404" s="2"/>
      <c r="V404" s="2"/>
      <c r="W404" s="2"/>
    </row>
    <row r="405" spans="1:23" ht="12.75" customHeight="1">
      <c r="A405" s="2"/>
      <c r="B405" s="2"/>
      <c r="C405" s="2"/>
      <c r="D405" s="4"/>
      <c r="E405" s="4"/>
      <c r="F405" s="4"/>
      <c r="G405" s="3"/>
      <c r="H405" s="4"/>
      <c r="I405" s="3"/>
      <c r="J405" s="4"/>
      <c r="K405" s="3"/>
      <c r="L405" s="4"/>
      <c r="M405" s="5"/>
      <c r="N405" s="6"/>
      <c r="O405" s="3"/>
      <c r="P405" s="4"/>
      <c r="Q405" s="5"/>
      <c r="R405" s="6"/>
      <c r="S405" s="2"/>
      <c r="T405" s="2"/>
      <c r="U405" s="2"/>
      <c r="V405" s="2"/>
      <c r="W405" s="2"/>
    </row>
    <row r="406" spans="1:23" ht="12.75" customHeight="1">
      <c r="A406" s="2"/>
      <c r="B406" s="2"/>
      <c r="C406" s="2"/>
      <c r="D406" s="4"/>
      <c r="E406" s="4"/>
      <c r="F406" s="4"/>
      <c r="G406" s="3"/>
      <c r="H406" s="4"/>
      <c r="I406" s="3"/>
      <c r="J406" s="4"/>
      <c r="K406" s="3"/>
      <c r="L406" s="4"/>
      <c r="M406" s="5"/>
      <c r="N406" s="6"/>
      <c r="O406" s="3"/>
      <c r="P406" s="4"/>
      <c r="Q406" s="5"/>
      <c r="R406" s="6"/>
      <c r="S406" s="2"/>
      <c r="T406" s="2"/>
      <c r="U406" s="2"/>
      <c r="V406" s="2"/>
      <c r="W406" s="2"/>
    </row>
    <row r="407" spans="1:23" ht="12.75" customHeight="1">
      <c r="A407" s="2"/>
      <c r="B407" s="2"/>
      <c r="C407" s="2"/>
      <c r="D407" s="4"/>
      <c r="E407" s="4"/>
      <c r="F407" s="4"/>
      <c r="G407" s="3"/>
      <c r="H407" s="4"/>
      <c r="I407" s="3"/>
      <c r="J407" s="4"/>
      <c r="K407" s="3"/>
      <c r="L407" s="4"/>
      <c r="M407" s="5"/>
      <c r="N407" s="6"/>
      <c r="O407" s="3"/>
      <c r="P407" s="4"/>
      <c r="Q407" s="5"/>
      <c r="R407" s="6"/>
      <c r="S407" s="2"/>
      <c r="T407" s="2"/>
      <c r="U407" s="2"/>
      <c r="V407" s="2"/>
      <c r="W407" s="2"/>
    </row>
    <row r="408" spans="1:23" ht="12.75" customHeight="1">
      <c r="A408" s="2"/>
      <c r="B408" s="2"/>
      <c r="C408" s="2"/>
      <c r="D408" s="4"/>
      <c r="E408" s="4"/>
      <c r="F408" s="4"/>
      <c r="G408" s="3"/>
      <c r="H408" s="4"/>
      <c r="I408" s="3"/>
      <c r="J408" s="4"/>
      <c r="K408" s="3"/>
      <c r="L408" s="4"/>
      <c r="M408" s="5"/>
      <c r="N408" s="6"/>
      <c r="O408" s="3"/>
      <c r="P408" s="4"/>
      <c r="Q408" s="5"/>
      <c r="R408" s="6"/>
      <c r="S408" s="2"/>
      <c r="T408" s="2"/>
      <c r="U408" s="2"/>
      <c r="V408" s="2"/>
      <c r="W408" s="2"/>
    </row>
    <row r="409" spans="1:23" ht="12.75" customHeight="1">
      <c r="A409" s="2"/>
      <c r="B409" s="2"/>
      <c r="C409" s="2"/>
      <c r="D409" s="4"/>
      <c r="E409" s="4"/>
      <c r="F409" s="4"/>
      <c r="G409" s="3"/>
      <c r="H409" s="4"/>
      <c r="I409" s="3"/>
      <c r="J409" s="4"/>
      <c r="K409" s="3"/>
      <c r="L409" s="4"/>
      <c r="M409" s="5"/>
      <c r="N409" s="6"/>
      <c r="O409" s="3"/>
      <c r="P409" s="4"/>
      <c r="Q409" s="5"/>
      <c r="R409" s="6"/>
      <c r="S409" s="2"/>
      <c r="T409" s="2"/>
      <c r="U409" s="2"/>
      <c r="V409" s="2"/>
      <c r="W409" s="2"/>
    </row>
    <row r="410" spans="1:23" ht="12.75" customHeight="1">
      <c r="A410" s="2"/>
      <c r="B410" s="2"/>
      <c r="C410" s="2"/>
      <c r="D410" s="4"/>
      <c r="E410" s="4"/>
      <c r="F410" s="4"/>
      <c r="G410" s="3"/>
      <c r="H410" s="4"/>
      <c r="I410" s="3"/>
      <c r="J410" s="4"/>
      <c r="K410" s="3"/>
      <c r="L410" s="4"/>
      <c r="M410" s="5"/>
      <c r="N410" s="6"/>
      <c r="O410" s="3"/>
      <c r="P410" s="4"/>
      <c r="Q410" s="5"/>
      <c r="R410" s="6"/>
      <c r="S410" s="2"/>
      <c r="T410" s="2"/>
      <c r="U410" s="2"/>
      <c r="V410" s="2"/>
      <c r="W410" s="2"/>
    </row>
    <row r="411" spans="1:23" ht="12.75" customHeight="1">
      <c r="A411" s="2"/>
      <c r="B411" s="2"/>
      <c r="C411" s="2"/>
      <c r="D411" s="4"/>
      <c r="E411" s="4"/>
      <c r="F411" s="4"/>
      <c r="G411" s="3"/>
      <c r="H411" s="4"/>
      <c r="I411" s="3"/>
      <c r="J411" s="4"/>
      <c r="K411" s="3"/>
      <c r="L411" s="4"/>
      <c r="M411" s="5"/>
      <c r="N411" s="6"/>
      <c r="O411" s="3"/>
      <c r="P411" s="4"/>
      <c r="Q411" s="5"/>
      <c r="R411" s="6"/>
      <c r="S411" s="2"/>
      <c r="T411" s="2"/>
      <c r="U411" s="2"/>
      <c r="V411" s="2"/>
      <c r="W411" s="2"/>
    </row>
    <row r="412" spans="1:23" ht="12.75" customHeight="1">
      <c r="A412" s="2"/>
      <c r="B412" s="2"/>
      <c r="C412" s="2"/>
      <c r="D412" s="4"/>
      <c r="E412" s="4"/>
      <c r="F412" s="4"/>
      <c r="G412" s="3"/>
      <c r="H412" s="4"/>
      <c r="I412" s="3"/>
      <c r="J412" s="4"/>
      <c r="K412" s="3"/>
      <c r="L412" s="4"/>
      <c r="M412" s="5"/>
      <c r="N412" s="6"/>
      <c r="O412" s="3"/>
      <c r="P412" s="4"/>
      <c r="Q412" s="5"/>
      <c r="R412" s="6"/>
      <c r="S412" s="2"/>
      <c r="T412" s="2"/>
      <c r="U412" s="2"/>
      <c r="V412" s="2"/>
      <c r="W412" s="2"/>
    </row>
    <row r="413" spans="1:23" ht="12.75" customHeight="1">
      <c r="A413" s="2"/>
      <c r="B413" s="2"/>
      <c r="C413" s="2"/>
      <c r="D413" s="4"/>
      <c r="E413" s="4"/>
      <c r="F413" s="4"/>
      <c r="G413" s="3"/>
      <c r="H413" s="4"/>
      <c r="I413" s="3"/>
      <c r="J413" s="4"/>
      <c r="K413" s="3"/>
      <c r="L413" s="4"/>
      <c r="M413" s="5"/>
      <c r="N413" s="6"/>
      <c r="O413" s="3"/>
      <c r="P413" s="4"/>
      <c r="Q413" s="5"/>
      <c r="R413" s="6"/>
      <c r="S413" s="2"/>
      <c r="T413" s="2"/>
      <c r="U413" s="2"/>
      <c r="V413" s="2"/>
      <c r="W413" s="2"/>
    </row>
    <row r="414" spans="1:23" ht="12.75" customHeight="1">
      <c r="A414" s="2"/>
      <c r="B414" s="2"/>
      <c r="C414" s="2"/>
      <c r="D414" s="4"/>
      <c r="E414" s="4"/>
      <c r="F414" s="4"/>
      <c r="G414" s="3"/>
      <c r="H414" s="4"/>
      <c r="I414" s="3"/>
      <c r="J414" s="4"/>
      <c r="K414" s="3"/>
      <c r="L414" s="4"/>
      <c r="M414" s="5"/>
      <c r="N414" s="6"/>
      <c r="O414" s="3"/>
      <c r="P414" s="4"/>
      <c r="Q414" s="5"/>
      <c r="R414" s="6"/>
      <c r="S414" s="2"/>
      <c r="T414" s="2"/>
      <c r="U414" s="2"/>
      <c r="V414" s="2"/>
      <c r="W414" s="2"/>
    </row>
    <row r="415" spans="1:23" ht="12.75" customHeight="1">
      <c r="A415" s="2"/>
      <c r="B415" s="2"/>
      <c r="C415" s="2"/>
      <c r="D415" s="4"/>
      <c r="E415" s="4"/>
      <c r="F415" s="4"/>
      <c r="G415" s="3"/>
      <c r="H415" s="4"/>
      <c r="I415" s="3"/>
      <c r="J415" s="4"/>
      <c r="K415" s="3"/>
      <c r="L415" s="4"/>
      <c r="M415" s="5"/>
      <c r="N415" s="6"/>
      <c r="O415" s="3"/>
      <c r="P415" s="4"/>
      <c r="Q415" s="5"/>
      <c r="R415" s="6"/>
      <c r="S415" s="2"/>
      <c r="T415" s="2"/>
      <c r="U415" s="2"/>
      <c r="V415" s="2"/>
      <c r="W415" s="2"/>
    </row>
    <row r="416" spans="1:23" ht="12.75" customHeight="1">
      <c r="A416" s="2"/>
      <c r="B416" s="2"/>
      <c r="C416" s="2"/>
      <c r="D416" s="4"/>
      <c r="E416" s="4"/>
      <c r="F416" s="4"/>
      <c r="G416" s="3"/>
      <c r="H416" s="4"/>
      <c r="I416" s="3"/>
      <c r="J416" s="4"/>
      <c r="K416" s="3"/>
      <c r="L416" s="4"/>
      <c r="M416" s="5"/>
      <c r="N416" s="6"/>
      <c r="O416" s="3"/>
      <c r="P416" s="4"/>
      <c r="Q416" s="5"/>
      <c r="R416" s="6"/>
      <c r="S416" s="2"/>
      <c r="T416" s="2"/>
      <c r="U416" s="2"/>
      <c r="V416" s="2"/>
      <c r="W416" s="2"/>
    </row>
    <row r="417" spans="1:23" ht="12.75" customHeight="1">
      <c r="A417" s="2"/>
      <c r="B417" s="2"/>
      <c r="C417" s="2"/>
      <c r="D417" s="4"/>
      <c r="E417" s="4"/>
      <c r="F417" s="4"/>
      <c r="G417" s="3"/>
      <c r="H417" s="4"/>
      <c r="I417" s="3"/>
      <c r="J417" s="4"/>
      <c r="K417" s="3"/>
      <c r="L417" s="4"/>
      <c r="M417" s="5"/>
      <c r="N417" s="6"/>
      <c r="O417" s="3"/>
      <c r="P417" s="4"/>
      <c r="Q417" s="5"/>
      <c r="R417" s="6"/>
      <c r="S417" s="2"/>
      <c r="T417" s="2"/>
      <c r="U417" s="2"/>
      <c r="V417" s="2"/>
      <c r="W417" s="2"/>
    </row>
    <row r="418" spans="1:23" ht="12.75" customHeight="1">
      <c r="A418" s="2"/>
      <c r="B418" s="2"/>
      <c r="C418" s="2"/>
      <c r="D418" s="4"/>
      <c r="E418" s="4"/>
      <c r="F418" s="4"/>
      <c r="G418" s="3"/>
      <c r="H418" s="4"/>
      <c r="I418" s="3"/>
      <c r="J418" s="4"/>
      <c r="K418" s="3"/>
      <c r="L418" s="4"/>
      <c r="M418" s="5"/>
      <c r="N418" s="6"/>
      <c r="O418" s="3"/>
      <c r="P418" s="4"/>
      <c r="Q418" s="5"/>
      <c r="R418" s="6"/>
      <c r="S418" s="2"/>
      <c r="T418" s="2"/>
      <c r="U418" s="2"/>
      <c r="V418" s="2"/>
      <c r="W418" s="2"/>
    </row>
    <row r="419" spans="1:23" ht="12.75" customHeight="1">
      <c r="A419" s="2"/>
      <c r="B419" s="2"/>
      <c r="C419" s="2"/>
      <c r="D419" s="4"/>
      <c r="E419" s="4"/>
      <c r="F419" s="4"/>
      <c r="G419" s="3"/>
      <c r="H419" s="4"/>
      <c r="I419" s="3"/>
      <c r="J419" s="4"/>
      <c r="K419" s="3"/>
      <c r="L419" s="4"/>
      <c r="M419" s="5"/>
      <c r="N419" s="6"/>
      <c r="O419" s="3"/>
      <c r="P419" s="4"/>
      <c r="Q419" s="5"/>
      <c r="R419" s="6"/>
      <c r="S419" s="2"/>
      <c r="T419" s="2"/>
      <c r="U419" s="2"/>
      <c r="V419" s="2"/>
      <c r="W419" s="2"/>
    </row>
    <row r="420" spans="1:23" ht="12.75" customHeight="1">
      <c r="A420" s="2"/>
      <c r="B420" s="2"/>
      <c r="C420" s="2"/>
      <c r="D420" s="4"/>
      <c r="E420" s="4"/>
      <c r="F420" s="4"/>
      <c r="G420" s="3"/>
      <c r="H420" s="4"/>
      <c r="I420" s="3"/>
      <c r="J420" s="4"/>
      <c r="K420" s="3"/>
      <c r="L420" s="4"/>
      <c r="M420" s="5"/>
      <c r="N420" s="6"/>
      <c r="O420" s="3"/>
      <c r="P420" s="4"/>
      <c r="Q420" s="5"/>
      <c r="R420" s="6"/>
      <c r="S420" s="2"/>
      <c r="T420" s="2"/>
      <c r="U420" s="2"/>
      <c r="V420" s="2"/>
      <c r="W420" s="2"/>
    </row>
    <row r="421" spans="1:23" ht="12.75" customHeight="1">
      <c r="A421" s="2"/>
      <c r="B421" s="2"/>
      <c r="C421" s="2"/>
      <c r="D421" s="4"/>
      <c r="E421" s="4"/>
      <c r="F421" s="4"/>
      <c r="G421" s="3"/>
      <c r="H421" s="4"/>
      <c r="I421" s="3"/>
      <c r="J421" s="4"/>
      <c r="K421" s="3"/>
      <c r="L421" s="4"/>
      <c r="M421" s="5"/>
      <c r="N421" s="6"/>
      <c r="O421" s="3"/>
      <c r="P421" s="4"/>
      <c r="Q421" s="5"/>
      <c r="R421" s="6"/>
      <c r="S421" s="2"/>
      <c r="T421" s="2"/>
      <c r="U421" s="2"/>
      <c r="V421" s="2"/>
      <c r="W421" s="2"/>
    </row>
    <row r="422" spans="1:23" ht="12.75" customHeight="1">
      <c r="A422" s="2"/>
      <c r="B422" s="2"/>
      <c r="C422" s="2"/>
      <c r="D422" s="4"/>
      <c r="E422" s="4"/>
      <c r="F422" s="4"/>
      <c r="G422" s="3"/>
      <c r="H422" s="4"/>
      <c r="I422" s="3"/>
      <c r="J422" s="4"/>
      <c r="K422" s="3"/>
      <c r="L422" s="4"/>
      <c r="M422" s="5"/>
      <c r="N422" s="6"/>
      <c r="O422" s="3"/>
      <c r="P422" s="4"/>
      <c r="Q422" s="5"/>
      <c r="R422" s="6"/>
      <c r="S422" s="2"/>
      <c r="T422" s="2"/>
      <c r="U422" s="2"/>
      <c r="V422" s="2"/>
      <c r="W422" s="2"/>
    </row>
    <row r="423" spans="1:23" ht="12.75" customHeight="1">
      <c r="A423" s="2"/>
      <c r="B423" s="2"/>
      <c r="C423" s="2"/>
      <c r="D423" s="4"/>
      <c r="E423" s="4"/>
      <c r="F423" s="4"/>
      <c r="G423" s="3"/>
      <c r="H423" s="4"/>
      <c r="I423" s="3"/>
      <c r="J423" s="4"/>
      <c r="K423" s="3"/>
      <c r="L423" s="4"/>
      <c r="M423" s="5"/>
      <c r="N423" s="6"/>
      <c r="O423" s="3"/>
      <c r="P423" s="4"/>
      <c r="Q423" s="5"/>
      <c r="R423" s="6"/>
      <c r="S423" s="2"/>
      <c r="T423" s="2"/>
      <c r="U423" s="2"/>
      <c r="V423" s="2"/>
      <c r="W423" s="2"/>
    </row>
    <row r="424" spans="1:23" ht="12.75" customHeight="1">
      <c r="A424" s="2"/>
      <c r="B424" s="2"/>
      <c r="C424" s="2"/>
      <c r="D424" s="4"/>
      <c r="E424" s="4"/>
      <c r="F424" s="4"/>
      <c r="G424" s="3"/>
      <c r="H424" s="4"/>
      <c r="I424" s="3"/>
      <c r="J424" s="4"/>
      <c r="K424" s="3"/>
      <c r="L424" s="4"/>
      <c r="M424" s="5"/>
      <c r="N424" s="6"/>
      <c r="O424" s="3"/>
      <c r="P424" s="4"/>
      <c r="Q424" s="5"/>
      <c r="R424" s="6"/>
      <c r="S424" s="2"/>
      <c r="T424" s="2"/>
      <c r="U424" s="2"/>
      <c r="V424" s="2"/>
      <c r="W424" s="2"/>
    </row>
    <row r="425" spans="1:23" ht="12.75" customHeight="1">
      <c r="A425" s="2"/>
      <c r="B425" s="2"/>
      <c r="C425" s="2"/>
      <c r="D425" s="4"/>
      <c r="E425" s="4"/>
      <c r="F425" s="4"/>
      <c r="G425" s="3"/>
      <c r="H425" s="4"/>
      <c r="I425" s="3"/>
      <c r="J425" s="4"/>
      <c r="K425" s="3"/>
      <c r="L425" s="4"/>
      <c r="M425" s="5"/>
      <c r="N425" s="6"/>
      <c r="O425" s="3"/>
      <c r="P425" s="4"/>
      <c r="Q425" s="5"/>
      <c r="R425" s="6"/>
      <c r="S425" s="2"/>
      <c r="T425" s="2"/>
      <c r="U425" s="2"/>
      <c r="V425" s="2"/>
      <c r="W425" s="2"/>
    </row>
    <row r="426" spans="1:23" ht="12.75" customHeight="1">
      <c r="A426" s="2"/>
      <c r="B426" s="2"/>
      <c r="C426" s="2"/>
      <c r="D426" s="4"/>
      <c r="E426" s="4"/>
      <c r="F426" s="4"/>
      <c r="G426" s="3"/>
      <c r="H426" s="4"/>
      <c r="I426" s="3"/>
      <c r="J426" s="4"/>
      <c r="K426" s="3"/>
      <c r="L426" s="4"/>
      <c r="M426" s="5"/>
      <c r="N426" s="6"/>
      <c r="O426" s="3"/>
      <c r="P426" s="4"/>
      <c r="Q426" s="5"/>
      <c r="R426" s="6"/>
      <c r="S426" s="2"/>
      <c r="T426" s="2"/>
      <c r="U426" s="2"/>
      <c r="V426" s="2"/>
      <c r="W426" s="2"/>
    </row>
    <row r="427" spans="1:23" ht="12.75" customHeight="1">
      <c r="A427" s="2"/>
      <c r="B427" s="2"/>
      <c r="C427" s="2"/>
      <c r="D427" s="4"/>
      <c r="E427" s="4"/>
      <c r="F427" s="4"/>
      <c r="G427" s="3"/>
      <c r="H427" s="4"/>
      <c r="I427" s="3"/>
      <c r="J427" s="4"/>
      <c r="K427" s="3"/>
      <c r="L427" s="4"/>
      <c r="M427" s="5"/>
      <c r="N427" s="6"/>
      <c r="O427" s="3"/>
      <c r="P427" s="4"/>
      <c r="Q427" s="5"/>
      <c r="R427" s="6"/>
      <c r="S427" s="2"/>
      <c r="T427" s="2"/>
      <c r="U427" s="2"/>
      <c r="V427" s="2"/>
      <c r="W427" s="2"/>
    </row>
    <row r="428" spans="1:23" ht="12.75" customHeight="1">
      <c r="A428" s="2"/>
      <c r="B428" s="2"/>
      <c r="C428" s="2"/>
      <c r="D428" s="4"/>
      <c r="E428" s="4"/>
      <c r="F428" s="4"/>
      <c r="G428" s="3"/>
      <c r="H428" s="4"/>
      <c r="I428" s="3"/>
      <c r="J428" s="4"/>
      <c r="K428" s="3"/>
      <c r="L428" s="4"/>
      <c r="M428" s="5"/>
      <c r="N428" s="6"/>
      <c r="O428" s="3"/>
      <c r="P428" s="4"/>
      <c r="Q428" s="5"/>
      <c r="R428" s="6"/>
      <c r="S428" s="2"/>
      <c r="T428" s="2"/>
      <c r="U428" s="2"/>
      <c r="V428" s="2"/>
      <c r="W428" s="2"/>
    </row>
    <row r="429" spans="1:23" ht="12.75" customHeight="1">
      <c r="A429" s="2"/>
      <c r="B429" s="2"/>
      <c r="C429" s="2"/>
      <c r="D429" s="4"/>
      <c r="E429" s="4"/>
      <c r="F429" s="4"/>
      <c r="G429" s="3"/>
      <c r="H429" s="4"/>
      <c r="I429" s="3"/>
      <c r="J429" s="4"/>
      <c r="K429" s="3"/>
      <c r="L429" s="4"/>
      <c r="M429" s="5"/>
      <c r="N429" s="6"/>
      <c r="O429" s="3"/>
      <c r="P429" s="4"/>
      <c r="Q429" s="5"/>
      <c r="R429" s="6"/>
      <c r="S429" s="2"/>
      <c r="T429" s="2"/>
      <c r="U429" s="2"/>
      <c r="V429" s="2"/>
      <c r="W429" s="2"/>
    </row>
    <row r="430" spans="1:23" ht="12.75" customHeight="1">
      <c r="A430" s="2"/>
      <c r="B430" s="2"/>
      <c r="C430" s="2"/>
      <c r="D430" s="4"/>
      <c r="E430" s="4"/>
      <c r="F430" s="4"/>
      <c r="G430" s="3"/>
      <c r="H430" s="4"/>
      <c r="I430" s="3"/>
      <c r="J430" s="4"/>
      <c r="K430" s="3"/>
      <c r="L430" s="4"/>
      <c r="M430" s="5"/>
      <c r="N430" s="6"/>
      <c r="O430" s="3"/>
      <c r="P430" s="4"/>
      <c r="Q430" s="5"/>
      <c r="R430" s="6"/>
      <c r="S430" s="2"/>
      <c r="T430" s="2"/>
      <c r="U430" s="2"/>
      <c r="V430" s="2"/>
      <c r="W430" s="2"/>
    </row>
    <row r="431" spans="1:23" ht="12.75" customHeight="1">
      <c r="A431" s="2"/>
      <c r="B431" s="2"/>
      <c r="C431" s="2"/>
      <c r="D431" s="4"/>
      <c r="E431" s="4"/>
      <c r="F431" s="4"/>
      <c r="G431" s="3"/>
      <c r="H431" s="4"/>
      <c r="I431" s="3"/>
      <c r="J431" s="4"/>
      <c r="K431" s="3"/>
      <c r="L431" s="4"/>
      <c r="M431" s="5"/>
      <c r="N431" s="6"/>
      <c r="O431" s="3"/>
      <c r="P431" s="4"/>
      <c r="Q431" s="5"/>
      <c r="R431" s="6"/>
      <c r="S431" s="2"/>
      <c r="T431" s="2"/>
      <c r="U431" s="2"/>
      <c r="V431" s="2"/>
      <c r="W431" s="2"/>
    </row>
    <row r="432" spans="1:23" ht="12.75" customHeight="1">
      <c r="A432" s="2"/>
      <c r="B432" s="2"/>
      <c r="C432" s="2"/>
      <c r="D432" s="4"/>
      <c r="E432" s="4"/>
      <c r="F432" s="4"/>
      <c r="G432" s="3"/>
      <c r="H432" s="4"/>
      <c r="I432" s="3"/>
      <c r="J432" s="4"/>
      <c r="K432" s="3"/>
      <c r="L432" s="4"/>
      <c r="M432" s="5"/>
      <c r="N432" s="6"/>
      <c r="O432" s="3"/>
      <c r="P432" s="4"/>
      <c r="Q432" s="5"/>
      <c r="R432" s="6"/>
      <c r="S432" s="2"/>
      <c r="T432" s="2"/>
      <c r="U432" s="2"/>
      <c r="V432" s="2"/>
      <c r="W432" s="2"/>
    </row>
    <row r="433" spans="1:23" ht="12.75" customHeight="1">
      <c r="A433" s="2"/>
      <c r="B433" s="2"/>
      <c r="C433" s="2"/>
      <c r="D433" s="4"/>
      <c r="E433" s="4"/>
      <c r="F433" s="4"/>
      <c r="G433" s="3"/>
      <c r="H433" s="4"/>
      <c r="I433" s="3"/>
      <c r="J433" s="4"/>
      <c r="K433" s="3"/>
      <c r="L433" s="4"/>
      <c r="M433" s="5"/>
      <c r="N433" s="6"/>
      <c r="O433" s="3"/>
      <c r="P433" s="4"/>
      <c r="Q433" s="5"/>
      <c r="R433" s="6"/>
      <c r="S433" s="2"/>
      <c r="T433" s="2"/>
      <c r="U433" s="2"/>
      <c r="V433" s="2"/>
      <c r="W433" s="2"/>
    </row>
    <row r="434" spans="1:23" ht="12.75" customHeight="1">
      <c r="A434" s="2"/>
      <c r="B434" s="2"/>
      <c r="C434" s="2"/>
      <c r="D434" s="4"/>
      <c r="E434" s="4"/>
      <c r="F434" s="4"/>
      <c r="G434" s="3"/>
      <c r="H434" s="4"/>
      <c r="I434" s="3"/>
      <c r="J434" s="4"/>
      <c r="K434" s="3"/>
      <c r="L434" s="4"/>
      <c r="M434" s="5"/>
      <c r="N434" s="6"/>
      <c r="O434" s="3"/>
      <c r="P434" s="4"/>
      <c r="Q434" s="5"/>
      <c r="R434" s="6"/>
      <c r="S434" s="2"/>
      <c r="T434" s="2"/>
      <c r="U434" s="2"/>
      <c r="V434" s="2"/>
      <c r="W434" s="2"/>
    </row>
    <row r="435" spans="1:23" ht="12.75" customHeight="1">
      <c r="A435" s="2"/>
      <c r="B435" s="2"/>
      <c r="C435" s="2"/>
      <c r="D435" s="4"/>
      <c r="E435" s="4"/>
      <c r="F435" s="4"/>
      <c r="G435" s="3"/>
      <c r="H435" s="4"/>
      <c r="I435" s="3"/>
      <c r="J435" s="4"/>
      <c r="K435" s="3"/>
      <c r="L435" s="4"/>
      <c r="M435" s="5"/>
      <c r="N435" s="6"/>
      <c r="O435" s="3"/>
      <c r="P435" s="4"/>
      <c r="Q435" s="5"/>
      <c r="R435" s="6"/>
      <c r="S435" s="2"/>
      <c r="T435" s="2"/>
      <c r="U435" s="2"/>
      <c r="V435" s="2"/>
      <c r="W435" s="2"/>
    </row>
    <row r="436" spans="1:23" ht="12.75" customHeight="1">
      <c r="A436" s="2"/>
      <c r="B436" s="2"/>
      <c r="C436" s="2"/>
      <c r="D436" s="4"/>
      <c r="E436" s="4"/>
      <c r="F436" s="4"/>
      <c r="G436" s="3"/>
      <c r="H436" s="4"/>
      <c r="I436" s="3"/>
      <c r="J436" s="4"/>
      <c r="K436" s="3"/>
      <c r="L436" s="4"/>
      <c r="M436" s="5"/>
      <c r="N436" s="6"/>
      <c r="O436" s="3"/>
      <c r="P436" s="4"/>
      <c r="Q436" s="5"/>
      <c r="R436" s="6"/>
      <c r="S436" s="2"/>
      <c r="T436" s="2"/>
      <c r="U436" s="2"/>
      <c r="V436" s="2"/>
      <c r="W436" s="2"/>
    </row>
    <row r="437" spans="1:23" ht="12.75" customHeight="1">
      <c r="A437" s="2"/>
      <c r="B437" s="2"/>
      <c r="C437" s="2"/>
      <c r="D437" s="4"/>
      <c r="E437" s="4"/>
      <c r="F437" s="4"/>
      <c r="G437" s="3"/>
      <c r="H437" s="4"/>
      <c r="I437" s="3"/>
      <c r="J437" s="4"/>
      <c r="K437" s="3"/>
      <c r="L437" s="4"/>
      <c r="M437" s="5"/>
      <c r="N437" s="6"/>
      <c r="O437" s="3"/>
      <c r="P437" s="4"/>
      <c r="Q437" s="5"/>
      <c r="R437" s="6"/>
      <c r="S437" s="2"/>
      <c r="T437" s="2"/>
      <c r="U437" s="2"/>
      <c r="V437" s="2"/>
      <c r="W437" s="2"/>
    </row>
    <row r="438" spans="1:23" ht="12.75" customHeight="1">
      <c r="A438" s="2"/>
      <c r="B438" s="2"/>
      <c r="C438" s="2"/>
      <c r="D438" s="4"/>
      <c r="E438" s="4"/>
      <c r="F438" s="4"/>
      <c r="G438" s="3"/>
      <c r="H438" s="4"/>
      <c r="I438" s="3"/>
      <c r="J438" s="4"/>
      <c r="K438" s="3"/>
      <c r="L438" s="4"/>
      <c r="M438" s="5"/>
      <c r="N438" s="6"/>
      <c r="O438" s="3"/>
      <c r="P438" s="4"/>
      <c r="Q438" s="5"/>
      <c r="R438" s="6"/>
      <c r="S438" s="2"/>
      <c r="T438" s="2"/>
      <c r="U438" s="2"/>
      <c r="V438" s="2"/>
      <c r="W438" s="2"/>
    </row>
    <row r="439" spans="1:23" ht="12.75" customHeight="1">
      <c r="A439" s="2"/>
      <c r="B439" s="2"/>
      <c r="C439" s="2"/>
      <c r="D439" s="4"/>
      <c r="E439" s="4"/>
      <c r="F439" s="4"/>
      <c r="G439" s="3"/>
      <c r="H439" s="4"/>
      <c r="I439" s="3"/>
      <c r="J439" s="4"/>
      <c r="K439" s="3"/>
      <c r="L439" s="4"/>
      <c r="M439" s="5"/>
      <c r="N439" s="6"/>
      <c r="O439" s="3"/>
      <c r="P439" s="4"/>
      <c r="Q439" s="5"/>
      <c r="R439" s="6"/>
      <c r="S439" s="2"/>
      <c r="T439" s="2"/>
      <c r="U439" s="2"/>
      <c r="V439" s="2"/>
      <c r="W439" s="2"/>
    </row>
    <row r="440" spans="1:23" ht="12.75" customHeight="1">
      <c r="A440" s="2"/>
      <c r="B440" s="2"/>
      <c r="C440" s="2"/>
      <c r="D440" s="4"/>
      <c r="E440" s="4"/>
      <c r="F440" s="4"/>
      <c r="G440" s="3"/>
      <c r="H440" s="4"/>
      <c r="I440" s="3"/>
      <c r="J440" s="4"/>
      <c r="K440" s="3"/>
      <c r="L440" s="4"/>
      <c r="M440" s="5"/>
      <c r="N440" s="6"/>
      <c r="O440" s="3"/>
      <c r="P440" s="4"/>
      <c r="Q440" s="5"/>
      <c r="R440" s="6"/>
      <c r="S440" s="2"/>
      <c r="T440" s="2"/>
      <c r="U440" s="2"/>
      <c r="V440" s="2"/>
      <c r="W440" s="2"/>
    </row>
    <row r="441" spans="1:23" ht="12.75" customHeight="1">
      <c r="A441" s="2"/>
      <c r="B441" s="2"/>
      <c r="C441" s="2"/>
      <c r="D441" s="4"/>
      <c r="E441" s="4"/>
      <c r="F441" s="4"/>
      <c r="G441" s="3"/>
      <c r="H441" s="4"/>
      <c r="I441" s="3"/>
      <c r="J441" s="4"/>
      <c r="K441" s="3"/>
      <c r="L441" s="4"/>
      <c r="M441" s="5"/>
      <c r="N441" s="6"/>
      <c r="O441" s="3"/>
      <c r="P441" s="4"/>
      <c r="Q441" s="5"/>
      <c r="R441" s="6"/>
      <c r="S441" s="2"/>
      <c r="T441" s="2"/>
      <c r="U441" s="2"/>
      <c r="V441" s="2"/>
      <c r="W441" s="2"/>
    </row>
    <row r="442" spans="1:23" ht="12.75" customHeight="1">
      <c r="A442" s="2"/>
      <c r="B442" s="2"/>
      <c r="C442" s="2"/>
      <c r="D442" s="4"/>
      <c r="E442" s="4"/>
      <c r="F442" s="4"/>
      <c r="G442" s="3"/>
      <c r="H442" s="4"/>
      <c r="I442" s="3"/>
      <c r="J442" s="4"/>
      <c r="K442" s="3"/>
      <c r="L442" s="4"/>
      <c r="M442" s="5"/>
      <c r="N442" s="6"/>
      <c r="O442" s="3"/>
      <c r="P442" s="4"/>
      <c r="Q442" s="5"/>
      <c r="R442" s="6"/>
      <c r="S442" s="2"/>
      <c r="T442" s="2"/>
      <c r="U442" s="2"/>
      <c r="V442" s="2"/>
      <c r="W442" s="2"/>
    </row>
    <row r="443" spans="1:23" ht="12.75" customHeight="1">
      <c r="A443" s="2"/>
      <c r="B443" s="2"/>
      <c r="C443" s="2"/>
      <c r="D443" s="4"/>
      <c r="E443" s="4"/>
      <c r="F443" s="4"/>
      <c r="G443" s="3"/>
      <c r="H443" s="4"/>
      <c r="I443" s="3"/>
      <c r="J443" s="4"/>
      <c r="K443" s="3"/>
      <c r="L443" s="4"/>
      <c r="M443" s="5"/>
      <c r="N443" s="6"/>
      <c r="O443" s="3"/>
      <c r="P443" s="4"/>
      <c r="Q443" s="5"/>
      <c r="R443" s="6"/>
      <c r="S443" s="2"/>
      <c r="T443" s="2"/>
      <c r="U443" s="2"/>
      <c r="V443" s="2"/>
      <c r="W443" s="2"/>
    </row>
    <row r="444" spans="1:23" ht="12.75" customHeight="1">
      <c r="A444" s="2"/>
      <c r="B444" s="2"/>
      <c r="C444" s="2"/>
      <c r="D444" s="4"/>
      <c r="E444" s="4"/>
      <c r="F444" s="4"/>
      <c r="G444" s="3"/>
      <c r="H444" s="4"/>
      <c r="I444" s="3"/>
      <c r="J444" s="4"/>
      <c r="K444" s="3"/>
      <c r="L444" s="4"/>
      <c r="M444" s="5"/>
      <c r="N444" s="6"/>
      <c r="O444" s="3"/>
      <c r="P444" s="4"/>
      <c r="Q444" s="5"/>
      <c r="R444" s="6"/>
      <c r="S444" s="2"/>
      <c r="T444" s="2"/>
      <c r="U444" s="2"/>
      <c r="V444" s="2"/>
      <c r="W444" s="2"/>
    </row>
    <row r="445" spans="1:23" ht="12.75" customHeight="1">
      <c r="A445" s="2"/>
      <c r="B445" s="2"/>
      <c r="C445" s="2"/>
      <c r="D445" s="4"/>
      <c r="E445" s="4"/>
      <c r="F445" s="4"/>
      <c r="G445" s="3"/>
      <c r="H445" s="4"/>
      <c r="I445" s="3"/>
      <c r="J445" s="4"/>
      <c r="K445" s="3"/>
      <c r="L445" s="4"/>
      <c r="M445" s="5"/>
      <c r="N445" s="6"/>
      <c r="O445" s="3"/>
      <c r="P445" s="4"/>
      <c r="Q445" s="5"/>
      <c r="R445" s="6"/>
      <c r="S445" s="2"/>
      <c r="T445" s="2"/>
      <c r="U445" s="2"/>
      <c r="V445" s="2"/>
      <c r="W445" s="2"/>
    </row>
    <row r="446" spans="1:23" ht="12.75" customHeight="1">
      <c r="A446" s="2"/>
      <c r="B446" s="2"/>
      <c r="C446" s="2"/>
      <c r="D446" s="4"/>
      <c r="E446" s="4"/>
      <c r="F446" s="4"/>
      <c r="G446" s="3"/>
      <c r="H446" s="4"/>
      <c r="I446" s="3"/>
      <c r="J446" s="4"/>
      <c r="K446" s="3"/>
      <c r="L446" s="4"/>
      <c r="M446" s="5"/>
      <c r="N446" s="6"/>
      <c r="O446" s="3"/>
      <c r="P446" s="4"/>
      <c r="Q446" s="5"/>
      <c r="R446" s="6"/>
      <c r="S446" s="2"/>
      <c r="T446" s="2"/>
      <c r="U446" s="2"/>
      <c r="V446" s="2"/>
      <c r="W446" s="2"/>
    </row>
    <row r="447" spans="1:23" ht="12.75" customHeight="1">
      <c r="A447" s="2"/>
      <c r="B447" s="2"/>
      <c r="C447" s="2"/>
      <c r="D447" s="4"/>
      <c r="E447" s="4"/>
      <c r="F447" s="4"/>
      <c r="G447" s="3"/>
      <c r="H447" s="4"/>
      <c r="I447" s="3"/>
      <c r="J447" s="4"/>
      <c r="K447" s="3"/>
      <c r="L447" s="4"/>
      <c r="M447" s="5"/>
      <c r="N447" s="6"/>
      <c r="O447" s="3"/>
      <c r="P447" s="4"/>
      <c r="Q447" s="5"/>
      <c r="R447" s="6"/>
      <c r="S447" s="2"/>
      <c r="T447" s="2"/>
      <c r="U447" s="2"/>
      <c r="V447" s="2"/>
      <c r="W447" s="2"/>
    </row>
    <row r="448" spans="1:23" ht="12.75" customHeight="1">
      <c r="A448" s="2"/>
      <c r="B448" s="2"/>
      <c r="C448" s="2"/>
      <c r="D448" s="4"/>
      <c r="E448" s="4"/>
      <c r="F448" s="4"/>
      <c r="G448" s="3"/>
      <c r="H448" s="4"/>
      <c r="I448" s="3"/>
      <c r="J448" s="4"/>
      <c r="K448" s="3"/>
      <c r="L448" s="4"/>
      <c r="M448" s="5"/>
      <c r="N448" s="6"/>
      <c r="O448" s="3"/>
      <c r="P448" s="4"/>
      <c r="Q448" s="5"/>
      <c r="R448" s="6"/>
      <c r="S448" s="2"/>
      <c r="T448" s="2"/>
      <c r="U448" s="2"/>
      <c r="V448" s="2"/>
      <c r="W448" s="2"/>
    </row>
    <row r="449" spans="1:23" ht="12.75" customHeight="1">
      <c r="A449" s="2"/>
      <c r="B449" s="2"/>
      <c r="C449" s="2"/>
      <c r="D449" s="4"/>
      <c r="E449" s="4"/>
      <c r="F449" s="4"/>
      <c r="G449" s="3"/>
      <c r="H449" s="4"/>
      <c r="I449" s="3"/>
      <c r="J449" s="4"/>
      <c r="K449" s="3"/>
      <c r="L449" s="4"/>
      <c r="M449" s="5"/>
      <c r="N449" s="6"/>
      <c r="O449" s="3"/>
      <c r="P449" s="4"/>
      <c r="Q449" s="5"/>
      <c r="R449" s="6"/>
      <c r="S449" s="2"/>
      <c r="T449" s="2"/>
      <c r="U449" s="2"/>
      <c r="V449" s="2"/>
      <c r="W449" s="2"/>
    </row>
    <row r="450" spans="1:23" ht="12.75" customHeight="1">
      <c r="A450" s="2"/>
      <c r="B450" s="2"/>
      <c r="C450" s="2"/>
      <c r="D450" s="4"/>
      <c r="E450" s="4"/>
      <c r="F450" s="4"/>
      <c r="G450" s="3"/>
      <c r="H450" s="4"/>
      <c r="I450" s="3"/>
      <c r="J450" s="4"/>
      <c r="K450" s="3"/>
      <c r="L450" s="4"/>
      <c r="M450" s="5"/>
      <c r="N450" s="6"/>
      <c r="O450" s="3"/>
      <c r="P450" s="4"/>
      <c r="Q450" s="5"/>
      <c r="R450" s="6"/>
      <c r="S450" s="2"/>
      <c r="T450" s="2"/>
      <c r="U450" s="2"/>
      <c r="V450" s="2"/>
      <c r="W450" s="2"/>
    </row>
    <row r="451" spans="1:23" ht="12.75" customHeight="1">
      <c r="A451" s="2"/>
      <c r="B451" s="2"/>
      <c r="C451" s="2"/>
      <c r="D451" s="4"/>
      <c r="E451" s="4"/>
      <c r="F451" s="4"/>
      <c r="G451" s="3"/>
      <c r="H451" s="4"/>
      <c r="I451" s="3"/>
      <c r="J451" s="4"/>
      <c r="K451" s="3"/>
      <c r="L451" s="4"/>
      <c r="M451" s="5"/>
      <c r="N451" s="6"/>
      <c r="O451" s="3"/>
      <c r="P451" s="4"/>
      <c r="Q451" s="5"/>
      <c r="R451" s="6"/>
      <c r="S451" s="2"/>
      <c r="T451" s="2"/>
      <c r="U451" s="2"/>
      <c r="V451" s="2"/>
      <c r="W451" s="2"/>
    </row>
    <row r="452" spans="1:23" ht="12.75" customHeight="1">
      <c r="A452" s="2"/>
      <c r="B452" s="2"/>
      <c r="C452" s="2"/>
      <c r="D452" s="4"/>
      <c r="E452" s="4"/>
      <c r="F452" s="4"/>
      <c r="G452" s="3"/>
      <c r="H452" s="4"/>
      <c r="I452" s="3"/>
      <c r="J452" s="4"/>
      <c r="K452" s="3"/>
      <c r="L452" s="4"/>
      <c r="M452" s="5"/>
      <c r="N452" s="6"/>
      <c r="O452" s="3"/>
      <c r="P452" s="4"/>
      <c r="Q452" s="5"/>
      <c r="R452" s="6"/>
      <c r="S452" s="2"/>
      <c r="T452" s="2"/>
      <c r="U452" s="2"/>
      <c r="V452" s="2"/>
      <c r="W452" s="2"/>
    </row>
    <row r="453" spans="1:23" ht="12.75" customHeight="1">
      <c r="A453" s="2"/>
      <c r="B453" s="2"/>
      <c r="C453" s="2"/>
      <c r="D453" s="4"/>
      <c r="E453" s="4"/>
      <c r="F453" s="4"/>
      <c r="G453" s="3"/>
      <c r="H453" s="4"/>
      <c r="I453" s="3"/>
      <c r="J453" s="4"/>
      <c r="K453" s="3"/>
      <c r="L453" s="4"/>
      <c r="M453" s="5"/>
      <c r="N453" s="6"/>
      <c r="O453" s="3"/>
      <c r="P453" s="4"/>
      <c r="Q453" s="5"/>
      <c r="R453" s="6"/>
      <c r="S453" s="2"/>
      <c r="T453" s="2"/>
      <c r="U453" s="2"/>
      <c r="V453" s="2"/>
      <c r="W453" s="2"/>
    </row>
    <row r="454" spans="1:23" ht="12.75" customHeight="1">
      <c r="A454" s="2"/>
      <c r="B454" s="2"/>
      <c r="C454" s="2"/>
      <c r="D454" s="4"/>
      <c r="E454" s="4"/>
      <c r="F454" s="4"/>
      <c r="G454" s="3"/>
      <c r="H454" s="4"/>
      <c r="I454" s="3"/>
      <c r="J454" s="4"/>
      <c r="K454" s="3"/>
      <c r="L454" s="4"/>
      <c r="M454" s="5"/>
      <c r="N454" s="6"/>
      <c r="O454" s="3"/>
      <c r="P454" s="4"/>
      <c r="Q454" s="5"/>
      <c r="R454" s="6"/>
      <c r="S454" s="2"/>
      <c r="T454" s="2"/>
      <c r="U454" s="2"/>
      <c r="V454" s="2"/>
      <c r="W454" s="2"/>
    </row>
    <row r="455" spans="1:23" ht="12.75" customHeight="1">
      <c r="A455" s="2"/>
      <c r="B455" s="2"/>
      <c r="C455" s="2"/>
      <c r="D455" s="4"/>
      <c r="E455" s="4"/>
      <c r="F455" s="4"/>
      <c r="G455" s="3"/>
      <c r="H455" s="4"/>
      <c r="I455" s="3"/>
      <c r="J455" s="4"/>
      <c r="K455" s="3"/>
      <c r="L455" s="4"/>
      <c r="M455" s="5"/>
      <c r="N455" s="6"/>
      <c r="O455" s="3"/>
      <c r="P455" s="4"/>
      <c r="Q455" s="5"/>
      <c r="R455" s="6"/>
      <c r="S455" s="2"/>
      <c r="T455" s="2"/>
      <c r="U455" s="2"/>
      <c r="V455" s="2"/>
      <c r="W455" s="2"/>
    </row>
    <row r="456" spans="1:23" ht="12.75" customHeight="1">
      <c r="A456" s="2"/>
      <c r="B456" s="2"/>
      <c r="C456" s="2"/>
      <c r="D456" s="4"/>
      <c r="E456" s="4"/>
      <c r="F456" s="4"/>
      <c r="G456" s="3"/>
      <c r="H456" s="4"/>
      <c r="I456" s="3"/>
      <c r="J456" s="4"/>
      <c r="K456" s="3"/>
      <c r="L456" s="4"/>
      <c r="M456" s="5"/>
      <c r="N456" s="6"/>
      <c r="O456" s="3"/>
      <c r="P456" s="4"/>
      <c r="Q456" s="5"/>
      <c r="R456" s="6"/>
      <c r="S456" s="2"/>
      <c r="T456" s="2"/>
      <c r="U456" s="2"/>
      <c r="V456" s="2"/>
      <c r="W456" s="2"/>
    </row>
    <row r="457" spans="1:23" ht="12.75" customHeight="1">
      <c r="A457" s="2"/>
      <c r="B457" s="2"/>
      <c r="C457" s="2"/>
      <c r="D457" s="4"/>
      <c r="E457" s="4"/>
      <c r="F457" s="4"/>
      <c r="G457" s="3"/>
      <c r="H457" s="4"/>
      <c r="I457" s="3"/>
      <c r="J457" s="4"/>
      <c r="K457" s="3"/>
      <c r="L457" s="4"/>
      <c r="M457" s="5"/>
      <c r="N457" s="6"/>
      <c r="O457" s="3"/>
      <c r="P457" s="4"/>
      <c r="Q457" s="5"/>
      <c r="R457" s="6"/>
      <c r="S457" s="2"/>
      <c r="T457" s="2"/>
      <c r="U457" s="2"/>
      <c r="V457" s="2"/>
      <c r="W457" s="2"/>
    </row>
    <row r="458" spans="1:23" ht="12.75" customHeight="1">
      <c r="A458" s="2"/>
      <c r="B458" s="2"/>
      <c r="C458" s="2"/>
      <c r="D458" s="4"/>
      <c r="E458" s="4"/>
      <c r="F458" s="4"/>
      <c r="G458" s="3"/>
      <c r="H458" s="4"/>
      <c r="I458" s="3"/>
      <c r="J458" s="4"/>
      <c r="K458" s="3"/>
      <c r="L458" s="4"/>
      <c r="M458" s="5"/>
      <c r="N458" s="6"/>
      <c r="O458" s="3"/>
      <c r="P458" s="4"/>
      <c r="Q458" s="5"/>
      <c r="R458" s="6"/>
      <c r="S458" s="2"/>
      <c r="T458" s="2"/>
      <c r="U458" s="2"/>
      <c r="V458" s="2"/>
      <c r="W458" s="2"/>
    </row>
    <row r="459" spans="1:23" ht="12.75" customHeight="1">
      <c r="A459" s="2"/>
      <c r="B459" s="2"/>
      <c r="C459" s="2"/>
      <c r="D459" s="4"/>
      <c r="E459" s="4"/>
      <c r="F459" s="4"/>
      <c r="G459" s="3"/>
      <c r="H459" s="4"/>
      <c r="I459" s="3"/>
      <c r="J459" s="4"/>
      <c r="K459" s="3"/>
      <c r="L459" s="4"/>
      <c r="M459" s="5"/>
      <c r="N459" s="6"/>
      <c r="O459" s="3"/>
      <c r="P459" s="4"/>
      <c r="Q459" s="5"/>
      <c r="R459" s="6"/>
      <c r="S459" s="2"/>
      <c r="T459" s="2"/>
      <c r="U459" s="2"/>
      <c r="V459" s="2"/>
      <c r="W459" s="2"/>
    </row>
    <row r="460" spans="1:23" ht="12.75" customHeight="1">
      <c r="A460" s="2"/>
      <c r="B460" s="2"/>
      <c r="C460" s="2"/>
      <c r="D460" s="4"/>
      <c r="E460" s="4"/>
      <c r="F460" s="4"/>
      <c r="G460" s="3"/>
      <c r="H460" s="4"/>
      <c r="I460" s="3"/>
      <c r="J460" s="4"/>
      <c r="K460" s="3"/>
      <c r="L460" s="4"/>
      <c r="M460" s="5"/>
      <c r="N460" s="6"/>
      <c r="O460" s="3"/>
      <c r="P460" s="4"/>
      <c r="Q460" s="5"/>
      <c r="R460" s="6"/>
      <c r="S460" s="2"/>
      <c r="T460" s="2"/>
      <c r="U460" s="2"/>
      <c r="V460" s="2"/>
      <c r="W460" s="2"/>
    </row>
    <row r="461" spans="1:23" ht="12.75" customHeight="1">
      <c r="A461" s="2"/>
      <c r="B461" s="2"/>
      <c r="C461" s="2"/>
      <c r="D461" s="4"/>
      <c r="E461" s="4"/>
      <c r="F461" s="4"/>
      <c r="G461" s="3"/>
      <c r="H461" s="4"/>
      <c r="I461" s="3"/>
      <c r="J461" s="4"/>
      <c r="K461" s="3"/>
      <c r="L461" s="4"/>
      <c r="M461" s="5"/>
      <c r="N461" s="6"/>
      <c r="O461" s="3"/>
      <c r="P461" s="4"/>
      <c r="Q461" s="5"/>
      <c r="R461" s="6"/>
      <c r="S461" s="2"/>
      <c r="T461" s="2"/>
      <c r="U461" s="2"/>
      <c r="V461" s="2"/>
      <c r="W461" s="2"/>
    </row>
    <row r="462" spans="1:23" ht="12.75" customHeight="1">
      <c r="A462" s="2"/>
      <c r="B462" s="2"/>
      <c r="C462" s="2"/>
      <c r="D462" s="4"/>
      <c r="E462" s="4"/>
      <c r="F462" s="4"/>
      <c r="G462" s="3"/>
      <c r="H462" s="4"/>
      <c r="I462" s="3"/>
      <c r="J462" s="4"/>
      <c r="K462" s="3"/>
      <c r="L462" s="4"/>
      <c r="M462" s="5"/>
      <c r="N462" s="6"/>
      <c r="O462" s="3"/>
      <c r="P462" s="4"/>
      <c r="Q462" s="5"/>
      <c r="R462" s="6"/>
      <c r="S462" s="2"/>
      <c r="T462" s="2"/>
      <c r="U462" s="2"/>
      <c r="V462" s="2"/>
      <c r="W462" s="2"/>
    </row>
    <row r="463" spans="1:23" ht="12.75" customHeight="1">
      <c r="A463" s="2"/>
      <c r="B463" s="2"/>
      <c r="C463" s="2"/>
      <c r="D463" s="4"/>
      <c r="E463" s="4"/>
      <c r="F463" s="4"/>
      <c r="G463" s="3"/>
      <c r="H463" s="4"/>
      <c r="I463" s="3"/>
      <c r="J463" s="4"/>
      <c r="K463" s="3"/>
      <c r="L463" s="4"/>
      <c r="M463" s="5"/>
      <c r="N463" s="6"/>
      <c r="O463" s="3"/>
      <c r="P463" s="4"/>
      <c r="Q463" s="5"/>
      <c r="R463" s="6"/>
      <c r="S463" s="2"/>
      <c r="T463" s="2"/>
      <c r="U463" s="2"/>
      <c r="V463" s="2"/>
      <c r="W463" s="2"/>
    </row>
    <row r="464" spans="1:23" ht="12.75" customHeight="1">
      <c r="A464" s="2"/>
      <c r="B464" s="2"/>
      <c r="C464" s="2"/>
      <c r="D464" s="4"/>
      <c r="E464" s="4"/>
      <c r="F464" s="4"/>
      <c r="G464" s="3"/>
      <c r="H464" s="4"/>
      <c r="I464" s="3"/>
      <c r="J464" s="4"/>
      <c r="K464" s="3"/>
      <c r="L464" s="4"/>
      <c r="M464" s="5"/>
      <c r="N464" s="6"/>
      <c r="O464" s="3"/>
      <c r="P464" s="4"/>
      <c r="Q464" s="5"/>
      <c r="R464" s="6"/>
      <c r="S464" s="2"/>
      <c r="T464" s="2"/>
      <c r="U464" s="2"/>
      <c r="V464" s="2"/>
      <c r="W464" s="2"/>
    </row>
    <row r="465" spans="1:23" ht="12.75" customHeight="1">
      <c r="A465" s="2"/>
      <c r="B465" s="2"/>
      <c r="C465" s="2"/>
      <c r="D465" s="4"/>
      <c r="E465" s="4"/>
      <c r="F465" s="4"/>
      <c r="G465" s="3"/>
      <c r="H465" s="4"/>
      <c r="I465" s="3"/>
      <c r="J465" s="4"/>
      <c r="K465" s="3"/>
      <c r="L465" s="4"/>
      <c r="M465" s="5"/>
      <c r="N465" s="6"/>
      <c r="O465" s="3"/>
      <c r="P465" s="4"/>
      <c r="Q465" s="5"/>
      <c r="R465" s="6"/>
      <c r="S465" s="2"/>
      <c r="T465" s="2"/>
      <c r="U465" s="2"/>
      <c r="V465" s="2"/>
      <c r="W465" s="2"/>
    </row>
    <row r="466" spans="1:23" ht="12.75" customHeight="1">
      <c r="A466" s="2"/>
      <c r="B466" s="2"/>
      <c r="C466" s="2"/>
      <c r="D466" s="4"/>
      <c r="E466" s="4"/>
      <c r="F466" s="4"/>
      <c r="G466" s="3"/>
      <c r="H466" s="4"/>
      <c r="I466" s="3"/>
      <c r="J466" s="4"/>
      <c r="K466" s="3"/>
      <c r="L466" s="4"/>
      <c r="M466" s="5"/>
      <c r="N466" s="6"/>
      <c r="O466" s="3"/>
      <c r="P466" s="4"/>
      <c r="Q466" s="5"/>
      <c r="R466" s="6"/>
      <c r="S466" s="2"/>
      <c r="T466" s="2"/>
      <c r="U466" s="2"/>
      <c r="V466" s="2"/>
      <c r="W466" s="2"/>
    </row>
    <row r="467" spans="1:23" ht="12.75" customHeight="1">
      <c r="A467" s="2"/>
      <c r="B467" s="2"/>
      <c r="C467" s="2"/>
      <c r="D467" s="4"/>
      <c r="E467" s="4"/>
      <c r="F467" s="4"/>
      <c r="G467" s="3"/>
      <c r="H467" s="4"/>
      <c r="I467" s="3"/>
      <c r="J467" s="4"/>
      <c r="K467" s="3"/>
      <c r="L467" s="4"/>
      <c r="M467" s="5"/>
      <c r="N467" s="6"/>
      <c r="O467" s="3"/>
      <c r="P467" s="4"/>
      <c r="Q467" s="5"/>
      <c r="R467" s="6"/>
      <c r="S467" s="2"/>
      <c r="T467" s="2"/>
      <c r="U467" s="2"/>
      <c r="V467" s="2"/>
      <c r="W467" s="2"/>
    </row>
    <row r="468" spans="1:23" ht="12.75" customHeight="1">
      <c r="A468" s="2"/>
      <c r="B468" s="2"/>
      <c r="C468" s="2"/>
      <c r="D468" s="4"/>
      <c r="E468" s="4"/>
      <c r="F468" s="4"/>
      <c r="G468" s="3"/>
      <c r="H468" s="4"/>
      <c r="I468" s="3"/>
      <c r="J468" s="4"/>
      <c r="K468" s="3"/>
      <c r="L468" s="4"/>
      <c r="M468" s="5"/>
      <c r="N468" s="6"/>
      <c r="O468" s="3"/>
      <c r="P468" s="4"/>
      <c r="Q468" s="5"/>
      <c r="R468" s="6"/>
      <c r="S468" s="2"/>
      <c r="T468" s="2"/>
      <c r="U468" s="2"/>
      <c r="V468" s="2"/>
      <c r="W468" s="2"/>
    </row>
    <row r="469" spans="1:23" ht="12.75" customHeight="1">
      <c r="A469" s="2"/>
      <c r="B469" s="2"/>
      <c r="C469" s="2"/>
      <c r="D469" s="4"/>
      <c r="E469" s="4"/>
      <c r="F469" s="4"/>
      <c r="G469" s="3"/>
      <c r="H469" s="4"/>
      <c r="I469" s="3"/>
      <c r="J469" s="4"/>
      <c r="K469" s="3"/>
      <c r="L469" s="4"/>
      <c r="M469" s="5"/>
      <c r="N469" s="6"/>
      <c r="O469" s="3"/>
      <c r="P469" s="4"/>
      <c r="Q469" s="5"/>
      <c r="R469" s="6"/>
      <c r="S469" s="2"/>
      <c r="T469" s="2"/>
      <c r="U469" s="2"/>
      <c r="V469" s="2"/>
      <c r="W469" s="2"/>
    </row>
    <row r="470" spans="1:23" ht="12.75" customHeight="1">
      <c r="A470" s="2"/>
      <c r="B470" s="2"/>
      <c r="C470" s="2"/>
      <c r="D470" s="4"/>
      <c r="E470" s="4"/>
      <c r="F470" s="4"/>
      <c r="G470" s="3"/>
      <c r="H470" s="4"/>
      <c r="I470" s="3"/>
      <c r="J470" s="4"/>
      <c r="K470" s="3"/>
      <c r="L470" s="4"/>
      <c r="M470" s="5"/>
      <c r="N470" s="6"/>
      <c r="O470" s="3"/>
      <c r="P470" s="4"/>
      <c r="Q470" s="5"/>
      <c r="R470" s="6"/>
      <c r="S470" s="2"/>
      <c r="T470" s="2"/>
      <c r="U470" s="2"/>
      <c r="V470" s="2"/>
      <c r="W470" s="2"/>
    </row>
    <row r="471" spans="1:23" ht="12.75" customHeight="1">
      <c r="A471" s="2"/>
      <c r="B471" s="2"/>
      <c r="C471" s="2"/>
      <c r="D471" s="4"/>
      <c r="E471" s="4"/>
      <c r="F471" s="4"/>
      <c r="G471" s="3"/>
      <c r="H471" s="4"/>
      <c r="I471" s="3"/>
      <c r="J471" s="4"/>
      <c r="K471" s="3"/>
      <c r="L471" s="4"/>
      <c r="M471" s="5"/>
      <c r="N471" s="6"/>
      <c r="O471" s="3"/>
      <c r="P471" s="4"/>
      <c r="Q471" s="5"/>
      <c r="R471" s="6"/>
      <c r="S471" s="2"/>
      <c r="T471" s="2"/>
      <c r="U471" s="2"/>
      <c r="V471" s="2"/>
      <c r="W471" s="2"/>
    </row>
    <row r="472" spans="1:23" ht="12.75" customHeight="1">
      <c r="A472" s="2"/>
      <c r="B472" s="2"/>
      <c r="C472" s="2"/>
      <c r="D472" s="4"/>
      <c r="E472" s="4"/>
      <c r="F472" s="4"/>
      <c r="G472" s="3"/>
      <c r="H472" s="4"/>
      <c r="I472" s="3"/>
      <c r="J472" s="4"/>
      <c r="K472" s="3"/>
      <c r="L472" s="4"/>
      <c r="M472" s="5"/>
      <c r="N472" s="6"/>
      <c r="O472" s="3"/>
      <c r="P472" s="4"/>
      <c r="Q472" s="5"/>
      <c r="R472" s="6"/>
      <c r="S472" s="2"/>
      <c r="T472" s="2"/>
      <c r="U472" s="2"/>
      <c r="V472" s="2"/>
      <c r="W472" s="2"/>
    </row>
    <row r="473" spans="1:23" ht="12.75" customHeight="1">
      <c r="A473" s="2"/>
      <c r="B473" s="2"/>
      <c r="C473" s="2"/>
      <c r="D473" s="4"/>
      <c r="E473" s="4"/>
      <c r="F473" s="4"/>
      <c r="G473" s="3"/>
      <c r="H473" s="4"/>
      <c r="I473" s="3"/>
      <c r="J473" s="4"/>
      <c r="K473" s="3"/>
      <c r="L473" s="4"/>
      <c r="M473" s="5"/>
      <c r="N473" s="6"/>
      <c r="O473" s="3"/>
      <c r="P473" s="4"/>
      <c r="Q473" s="5"/>
      <c r="R473" s="6"/>
      <c r="S473" s="2"/>
      <c r="T473" s="2"/>
      <c r="U473" s="2"/>
      <c r="V473" s="2"/>
      <c r="W473" s="2"/>
    </row>
    <row r="474" spans="1:23" ht="12.75" customHeight="1">
      <c r="A474" s="2"/>
      <c r="B474" s="2"/>
      <c r="C474" s="2"/>
      <c r="D474" s="4"/>
      <c r="E474" s="4"/>
      <c r="F474" s="4"/>
      <c r="G474" s="3"/>
      <c r="H474" s="4"/>
      <c r="I474" s="3"/>
      <c r="J474" s="4"/>
      <c r="K474" s="3"/>
      <c r="L474" s="4"/>
      <c r="M474" s="5"/>
      <c r="N474" s="6"/>
      <c r="O474" s="3"/>
      <c r="P474" s="4"/>
      <c r="Q474" s="5"/>
      <c r="R474" s="6"/>
      <c r="S474" s="2"/>
      <c r="T474" s="2"/>
      <c r="U474" s="2"/>
      <c r="V474" s="2"/>
      <c r="W474" s="2"/>
    </row>
    <row r="475" spans="1:23" ht="12.75" customHeight="1">
      <c r="A475" s="2"/>
      <c r="B475" s="2"/>
      <c r="C475" s="2"/>
      <c r="D475" s="4"/>
      <c r="E475" s="4"/>
      <c r="F475" s="4"/>
      <c r="G475" s="3"/>
      <c r="H475" s="4"/>
      <c r="I475" s="3"/>
      <c r="J475" s="4"/>
      <c r="K475" s="3"/>
      <c r="L475" s="4"/>
      <c r="M475" s="5"/>
      <c r="N475" s="6"/>
      <c r="O475" s="3"/>
      <c r="P475" s="4"/>
      <c r="Q475" s="5"/>
      <c r="R475" s="6"/>
      <c r="S475" s="2"/>
      <c r="T475" s="2"/>
      <c r="U475" s="2"/>
      <c r="V475" s="2"/>
      <c r="W475" s="2"/>
    </row>
    <row r="476" spans="1:23" ht="12.75" customHeight="1">
      <c r="A476" s="2"/>
      <c r="B476" s="2"/>
      <c r="C476" s="2"/>
      <c r="D476" s="4"/>
      <c r="E476" s="4"/>
      <c r="F476" s="4"/>
      <c r="G476" s="3"/>
      <c r="H476" s="4"/>
      <c r="I476" s="3"/>
      <c r="J476" s="4"/>
      <c r="K476" s="3"/>
      <c r="L476" s="4"/>
      <c r="M476" s="5"/>
      <c r="N476" s="6"/>
      <c r="O476" s="3"/>
      <c r="P476" s="4"/>
      <c r="Q476" s="5"/>
      <c r="R476" s="6"/>
      <c r="S476" s="2"/>
      <c r="T476" s="2"/>
      <c r="U476" s="2"/>
      <c r="V476" s="2"/>
      <c r="W476" s="2"/>
    </row>
    <row r="477" spans="1:23" ht="12.75" customHeight="1">
      <c r="A477" s="2"/>
      <c r="B477" s="2"/>
      <c r="C477" s="2"/>
      <c r="D477" s="4"/>
      <c r="E477" s="4"/>
      <c r="F477" s="4"/>
      <c r="G477" s="3"/>
      <c r="H477" s="4"/>
      <c r="I477" s="3"/>
      <c r="J477" s="4"/>
      <c r="K477" s="3"/>
      <c r="L477" s="4"/>
      <c r="M477" s="5"/>
      <c r="N477" s="6"/>
      <c r="O477" s="3"/>
      <c r="P477" s="4"/>
      <c r="Q477" s="5"/>
      <c r="R477" s="6"/>
      <c r="S477" s="2"/>
      <c r="T477" s="2"/>
      <c r="U477" s="2"/>
      <c r="V477" s="2"/>
      <c r="W477" s="2"/>
    </row>
    <row r="478" spans="1:23" ht="12.75" customHeight="1">
      <c r="A478" s="2"/>
      <c r="B478" s="2"/>
      <c r="C478" s="2"/>
      <c r="D478" s="4"/>
      <c r="E478" s="4"/>
      <c r="F478" s="4"/>
      <c r="G478" s="3"/>
      <c r="H478" s="4"/>
      <c r="I478" s="3"/>
      <c r="J478" s="4"/>
      <c r="K478" s="3"/>
      <c r="L478" s="4"/>
      <c r="M478" s="5"/>
      <c r="N478" s="6"/>
      <c r="O478" s="3"/>
      <c r="P478" s="4"/>
      <c r="Q478" s="5"/>
      <c r="R478" s="6"/>
      <c r="S478" s="2"/>
      <c r="T478" s="2"/>
      <c r="U478" s="2"/>
      <c r="V478" s="2"/>
      <c r="W478" s="2"/>
    </row>
    <row r="479" spans="1:23" ht="12.75" customHeight="1">
      <c r="A479" s="2"/>
      <c r="B479" s="2"/>
      <c r="C479" s="2"/>
      <c r="D479" s="4"/>
      <c r="E479" s="4"/>
      <c r="F479" s="4"/>
      <c r="G479" s="3"/>
      <c r="H479" s="4"/>
      <c r="I479" s="3"/>
      <c r="J479" s="4"/>
      <c r="K479" s="3"/>
      <c r="L479" s="4"/>
      <c r="M479" s="5"/>
      <c r="N479" s="6"/>
      <c r="O479" s="3"/>
      <c r="P479" s="4"/>
      <c r="Q479" s="5"/>
      <c r="R479" s="6"/>
      <c r="S479" s="2"/>
      <c r="T479" s="2"/>
      <c r="U479" s="2"/>
      <c r="V479" s="2"/>
      <c r="W479" s="2"/>
    </row>
    <row r="480" spans="1:23" ht="12.75" customHeight="1">
      <c r="A480" s="2"/>
      <c r="B480" s="2"/>
      <c r="C480" s="2"/>
      <c r="D480" s="4"/>
      <c r="E480" s="4"/>
      <c r="F480" s="4"/>
      <c r="G480" s="3"/>
      <c r="H480" s="4"/>
      <c r="I480" s="3"/>
      <c r="J480" s="4"/>
      <c r="K480" s="3"/>
      <c r="L480" s="4"/>
      <c r="M480" s="5"/>
      <c r="N480" s="6"/>
      <c r="O480" s="3"/>
      <c r="P480" s="4"/>
      <c r="Q480" s="5"/>
      <c r="R480" s="6"/>
      <c r="S480" s="2"/>
      <c r="T480" s="2"/>
      <c r="U480" s="2"/>
      <c r="V480" s="2"/>
      <c r="W480" s="2"/>
    </row>
    <row r="481" spans="1:23" ht="12.75" customHeight="1">
      <c r="A481" s="2"/>
      <c r="B481" s="2"/>
      <c r="C481" s="2"/>
      <c r="D481" s="4"/>
      <c r="E481" s="4"/>
      <c r="F481" s="4"/>
      <c r="G481" s="3"/>
      <c r="H481" s="4"/>
      <c r="I481" s="3"/>
      <c r="J481" s="4"/>
      <c r="K481" s="3"/>
      <c r="L481" s="4"/>
      <c r="M481" s="5"/>
      <c r="N481" s="6"/>
      <c r="O481" s="3"/>
      <c r="P481" s="4"/>
      <c r="Q481" s="5"/>
      <c r="R481" s="6"/>
      <c r="S481" s="2"/>
      <c r="T481" s="2"/>
      <c r="U481" s="2"/>
      <c r="V481" s="2"/>
      <c r="W481" s="2"/>
    </row>
    <row r="482" spans="1:23" ht="12.75" customHeight="1">
      <c r="A482" s="2"/>
      <c r="B482" s="2"/>
      <c r="C482" s="2"/>
      <c r="D482" s="4"/>
      <c r="E482" s="4"/>
      <c r="F482" s="4"/>
      <c r="G482" s="3"/>
      <c r="H482" s="4"/>
      <c r="I482" s="3"/>
      <c r="J482" s="4"/>
      <c r="K482" s="3"/>
      <c r="L482" s="4"/>
      <c r="M482" s="5"/>
      <c r="N482" s="6"/>
      <c r="O482" s="3"/>
      <c r="P482" s="4"/>
      <c r="Q482" s="5"/>
      <c r="R482" s="6"/>
      <c r="S482" s="2"/>
      <c r="T482" s="2"/>
      <c r="U482" s="2"/>
      <c r="V482" s="2"/>
      <c r="W482" s="2"/>
    </row>
    <row r="483" spans="1:23" ht="12.75" customHeight="1">
      <c r="A483" s="2"/>
      <c r="B483" s="2"/>
      <c r="C483" s="2"/>
      <c r="D483" s="4"/>
      <c r="E483" s="4"/>
      <c r="F483" s="4"/>
      <c r="G483" s="3"/>
      <c r="H483" s="4"/>
      <c r="I483" s="3"/>
      <c r="J483" s="4"/>
      <c r="K483" s="3"/>
      <c r="L483" s="4"/>
      <c r="M483" s="5"/>
      <c r="N483" s="6"/>
      <c r="O483" s="3"/>
      <c r="P483" s="4"/>
      <c r="Q483" s="5"/>
      <c r="R483" s="6"/>
      <c r="S483" s="2"/>
      <c r="T483" s="2"/>
      <c r="U483" s="2"/>
      <c r="V483" s="2"/>
      <c r="W483" s="2"/>
    </row>
    <row r="484" spans="1:23" ht="12.75" customHeight="1">
      <c r="A484" s="2"/>
      <c r="B484" s="2"/>
      <c r="C484" s="2"/>
      <c r="D484" s="4"/>
      <c r="E484" s="4"/>
      <c r="F484" s="4"/>
      <c r="G484" s="3"/>
      <c r="H484" s="4"/>
      <c r="I484" s="3"/>
      <c r="J484" s="4"/>
      <c r="K484" s="3"/>
      <c r="L484" s="4"/>
      <c r="M484" s="5"/>
      <c r="N484" s="6"/>
      <c r="O484" s="3"/>
      <c r="P484" s="4"/>
      <c r="Q484" s="5"/>
      <c r="R484" s="6"/>
      <c r="S484" s="2"/>
      <c r="T484" s="2"/>
      <c r="U484" s="2"/>
      <c r="V484" s="2"/>
      <c r="W484" s="2"/>
    </row>
    <row r="485" spans="1:23" ht="12.75" customHeight="1">
      <c r="A485" s="2"/>
      <c r="B485" s="2"/>
      <c r="C485" s="2"/>
      <c r="D485" s="4"/>
      <c r="E485" s="4"/>
      <c r="F485" s="4"/>
      <c r="G485" s="3"/>
      <c r="H485" s="4"/>
      <c r="I485" s="3"/>
      <c r="J485" s="4"/>
      <c r="K485" s="3"/>
      <c r="L485" s="4"/>
      <c r="M485" s="5"/>
      <c r="N485" s="6"/>
      <c r="O485" s="3"/>
      <c r="P485" s="4"/>
      <c r="Q485" s="5"/>
      <c r="R485" s="6"/>
      <c r="S485" s="2"/>
      <c r="T485" s="2"/>
      <c r="U485" s="2"/>
      <c r="V485" s="2"/>
      <c r="W485" s="2"/>
    </row>
    <row r="486" spans="1:23" ht="12.75" customHeight="1">
      <c r="A486" s="2"/>
      <c r="B486" s="2"/>
      <c r="C486" s="2"/>
      <c r="D486" s="4"/>
      <c r="E486" s="4"/>
      <c r="F486" s="4"/>
      <c r="G486" s="3"/>
      <c r="H486" s="4"/>
      <c r="I486" s="3"/>
      <c r="J486" s="4"/>
      <c r="K486" s="3"/>
      <c r="L486" s="4"/>
      <c r="M486" s="5"/>
      <c r="N486" s="6"/>
      <c r="O486" s="3"/>
      <c r="P486" s="4"/>
      <c r="Q486" s="5"/>
      <c r="R486" s="6"/>
      <c r="S486" s="2"/>
      <c r="T486" s="2"/>
      <c r="U486" s="2"/>
      <c r="V486" s="2"/>
      <c r="W486" s="2"/>
    </row>
    <row r="487" spans="1:23" ht="12.75" customHeight="1">
      <c r="A487" s="2"/>
      <c r="B487" s="2"/>
      <c r="C487" s="2"/>
      <c r="D487" s="4"/>
      <c r="E487" s="4"/>
      <c r="F487" s="4"/>
      <c r="G487" s="3"/>
      <c r="H487" s="4"/>
      <c r="I487" s="3"/>
      <c r="J487" s="4"/>
      <c r="K487" s="3"/>
      <c r="L487" s="4"/>
      <c r="M487" s="5"/>
      <c r="N487" s="6"/>
      <c r="O487" s="3"/>
      <c r="P487" s="4"/>
      <c r="Q487" s="5"/>
      <c r="R487" s="6"/>
      <c r="S487" s="2"/>
      <c r="T487" s="2"/>
      <c r="U487" s="2"/>
      <c r="V487" s="2"/>
      <c r="W487" s="2"/>
    </row>
    <row r="488" spans="1:23" ht="12.75" customHeight="1">
      <c r="A488" s="2"/>
      <c r="B488" s="2"/>
      <c r="C488" s="2"/>
      <c r="D488" s="4"/>
      <c r="E488" s="4"/>
      <c r="F488" s="4"/>
      <c r="G488" s="3"/>
      <c r="H488" s="4"/>
      <c r="I488" s="3"/>
      <c r="J488" s="4"/>
      <c r="K488" s="3"/>
      <c r="L488" s="4"/>
      <c r="M488" s="5"/>
      <c r="N488" s="6"/>
      <c r="O488" s="3"/>
      <c r="P488" s="4"/>
      <c r="Q488" s="5"/>
      <c r="R488" s="6"/>
      <c r="S488" s="2"/>
      <c r="T488" s="2"/>
      <c r="U488" s="2"/>
      <c r="V488" s="2"/>
      <c r="W488" s="2"/>
    </row>
    <row r="489" spans="1:23" ht="12.75" customHeight="1">
      <c r="A489" s="2"/>
      <c r="B489" s="2"/>
      <c r="C489" s="2"/>
      <c r="D489" s="4"/>
      <c r="E489" s="4"/>
      <c r="F489" s="4"/>
      <c r="G489" s="3"/>
      <c r="H489" s="4"/>
      <c r="I489" s="3"/>
      <c r="J489" s="4"/>
      <c r="K489" s="3"/>
      <c r="L489" s="4"/>
      <c r="M489" s="5"/>
      <c r="N489" s="6"/>
      <c r="O489" s="3"/>
      <c r="P489" s="4"/>
      <c r="Q489" s="5"/>
      <c r="R489" s="6"/>
      <c r="S489" s="2"/>
      <c r="T489" s="2"/>
      <c r="U489" s="2"/>
      <c r="V489" s="2"/>
      <c r="W489" s="2"/>
    </row>
    <row r="490" spans="1:23" ht="12.75" customHeight="1">
      <c r="A490" s="2"/>
      <c r="B490" s="2"/>
      <c r="C490" s="2"/>
      <c r="D490" s="4"/>
      <c r="E490" s="4"/>
      <c r="F490" s="4"/>
      <c r="G490" s="3"/>
      <c r="H490" s="4"/>
      <c r="I490" s="3"/>
      <c r="J490" s="4"/>
      <c r="K490" s="3"/>
      <c r="L490" s="4"/>
      <c r="M490" s="5"/>
      <c r="N490" s="6"/>
      <c r="O490" s="3"/>
      <c r="P490" s="4"/>
      <c r="Q490" s="5"/>
      <c r="R490" s="6"/>
      <c r="S490" s="2"/>
      <c r="T490" s="2"/>
      <c r="U490" s="2"/>
      <c r="V490" s="2"/>
      <c r="W490" s="2"/>
    </row>
    <row r="491" spans="1:23" ht="12.75" customHeight="1">
      <c r="A491" s="2"/>
      <c r="B491" s="2"/>
      <c r="C491" s="2"/>
      <c r="D491" s="4"/>
      <c r="E491" s="4"/>
      <c r="F491" s="4"/>
      <c r="G491" s="3"/>
      <c r="H491" s="4"/>
      <c r="I491" s="3"/>
      <c r="J491" s="4"/>
      <c r="K491" s="3"/>
      <c r="L491" s="4"/>
      <c r="M491" s="5"/>
      <c r="N491" s="6"/>
      <c r="O491" s="3"/>
      <c r="P491" s="4"/>
      <c r="Q491" s="5"/>
      <c r="R491" s="6"/>
      <c r="S491" s="2"/>
      <c r="T491" s="2"/>
      <c r="U491" s="2"/>
      <c r="V491" s="2"/>
      <c r="W491" s="2"/>
    </row>
    <row r="492" spans="1:23" ht="12.75" customHeight="1">
      <c r="A492" s="2"/>
      <c r="B492" s="2"/>
      <c r="C492" s="2"/>
      <c r="D492" s="4"/>
      <c r="E492" s="4"/>
      <c r="F492" s="4"/>
      <c r="G492" s="3"/>
      <c r="H492" s="4"/>
      <c r="I492" s="3"/>
      <c r="J492" s="4"/>
      <c r="K492" s="3"/>
      <c r="L492" s="4"/>
      <c r="M492" s="5"/>
      <c r="N492" s="6"/>
      <c r="O492" s="3"/>
      <c r="P492" s="4"/>
      <c r="Q492" s="5"/>
      <c r="R492" s="6"/>
      <c r="S492" s="2"/>
      <c r="T492" s="2"/>
      <c r="U492" s="2"/>
      <c r="V492" s="2"/>
      <c r="W492" s="2"/>
    </row>
    <row r="493" spans="1:23" ht="12.75" customHeight="1">
      <c r="A493" s="2"/>
      <c r="B493" s="2"/>
      <c r="C493" s="2"/>
      <c r="D493" s="4"/>
      <c r="E493" s="4"/>
      <c r="F493" s="4"/>
      <c r="G493" s="3"/>
      <c r="H493" s="4"/>
      <c r="I493" s="3"/>
      <c r="J493" s="4"/>
      <c r="K493" s="3"/>
      <c r="L493" s="4"/>
      <c r="M493" s="5"/>
      <c r="N493" s="6"/>
      <c r="O493" s="3"/>
      <c r="P493" s="4"/>
      <c r="Q493" s="5"/>
      <c r="R493" s="6"/>
      <c r="S493" s="2"/>
      <c r="T493" s="2"/>
      <c r="U493" s="2"/>
      <c r="V493" s="2"/>
      <c r="W493" s="2"/>
    </row>
    <row r="494" spans="1:23" ht="12.75" customHeight="1">
      <c r="A494" s="2"/>
      <c r="B494" s="2"/>
      <c r="C494" s="2"/>
      <c r="D494" s="4"/>
      <c r="E494" s="4"/>
      <c r="F494" s="4"/>
      <c r="G494" s="3"/>
      <c r="H494" s="4"/>
      <c r="I494" s="3"/>
      <c r="J494" s="4"/>
      <c r="K494" s="3"/>
      <c r="L494" s="4"/>
      <c r="M494" s="5"/>
      <c r="N494" s="6"/>
      <c r="O494" s="3"/>
      <c r="P494" s="4"/>
      <c r="Q494" s="5"/>
      <c r="R494" s="6"/>
      <c r="S494" s="2"/>
      <c r="T494" s="2"/>
      <c r="U494" s="2"/>
      <c r="V494" s="2"/>
      <c r="W494" s="2"/>
    </row>
    <row r="495" spans="1:23" ht="12.75" customHeight="1">
      <c r="A495" s="2"/>
      <c r="B495" s="2"/>
      <c r="C495" s="2"/>
      <c r="D495" s="4"/>
      <c r="E495" s="4"/>
      <c r="F495" s="4"/>
      <c r="G495" s="3"/>
      <c r="H495" s="4"/>
      <c r="I495" s="3"/>
      <c r="J495" s="4"/>
      <c r="K495" s="3"/>
      <c r="L495" s="4"/>
      <c r="M495" s="5"/>
      <c r="N495" s="6"/>
      <c r="O495" s="3"/>
      <c r="P495" s="4"/>
      <c r="Q495" s="5"/>
      <c r="R495" s="6"/>
      <c r="S495" s="2"/>
      <c r="T495" s="2"/>
      <c r="U495" s="2"/>
      <c r="V495" s="2"/>
      <c r="W495" s="2"/>
    </row>
    <row r="496" spans="1:23" ht="12.75" customHeight="1">
      <c r="A496" s="2"/>
      <c r="B496" s="2"/>
      <c r="C496" s="2"/>
      <c r="D496" s="4"/>
      <c r="E496" s="4"/>
      <c r="F496" s="4"/>
      <c r="G496" s="3"/>
      <c r="H496" s="4"/>
      <c r="I496" s="3"/>
      <c r="J496" s="4"/>
      <c r="K496" s="3"/>
      <c r="L496" s="4"/>
      <c r="M496" s="5"/>
      <c r="N496" s="6"/>
      <c r="O496" s="3"/>
      <c r="P496" s="4"/>
      <c r="Q496" s="5"/>
      <c r="R496" s="6"/>
      <c r="S496" s="2"/>
      <c r="T496" s="2"/>
      <c r="U496" s="2"/>
      <c r="V496" s="2"/>
      <c r="W496" s="2"/>
    </row>
    <row r="497" spans="1:23" ht="12.75" customHeight="1">
      <c r="A497" s="2"/>
      <c r="B497" s="2"/>
      <c r="C497" s="2"/>
      <c r="D497" s="4"/>
      <c r="E497" s="4"/>
      <c r="F497" s="4"/>
      <c r="G497" s="3"/>
      <c r="H497" s="4"/>
      <c r="I497" s="3"/>
      <c r="J497" s="4"/>
      <c r="K497" s="3"/>
      <c r="L497" s="4"/>
      <c r="M497" s="5"/>
      <c r="N497" s="6"/>
      <c r="O497" s="3"/>
      <c r="P497" s="4"/>
      <c r="Q497" s="5"/>
      <c r="R497" s="6"/>
      <c r="S497" s="2"/>
      <c r="T497" s="2"/>
      <c r="U497" s="2"/>
      <c r="V497" s="2"/>
      <c r="W497" s="2"/>
    </row>
    <row r="498" spans="1:23" ht="12.75" customHeight="1">
      <c r="A498" s="2"/>
      <c r="B498" s="2"/>
      <c r="C498" s="2"/>
      <c r="D498" s="4"/>
      <c r="E498" s="4"/>
      <c r="F498" s="4"/>
      <c r="G498" s="3"/>
      <c r="H498" s="4"/>
      <c r="I498" s="3"/>
      <c r="J498" s="4"/>
      <c r="K498" s="3"/>
      <c r="L498" s="4"/>
      <c r="M498" s="5"/>
      <c r="N498" s="6"/>
      <c r="O498" s="3"/>
      <c r="P498" s="4"/>
      <c r="Q498" s="5"/>
      <c r="R498" s="6"/>
      <c r="S498" s="2"/>
      <c r="T498" s="2"/>
      <c r="U498" s="2"/>
      <c r="V498" s="2"/>
      <c r="W498" s="2"/>
    </row>
    <row r="499" spans="1:23" ht="12.75" customHeight="1">
      <c r="A499" s="2"/>
      <c r="B499" s="2"/>
      <c r="C499" s="2"/>
      <c r="D499" s="4"/>
      <c r="E499" s="4"/>
      <c r="F499" s="4"/>
      <c r="G499" s="3"/>
      <c r="H499" s="4"/>
      <c r="I499" s="3"/>
      <c r="J499" s="4"/>
      <c r="K499" s="3"/>
      <c r="L499" s="4"/>
      <c r="M499" s="5"/>
      <c r="N499" s="6"/>
      <c r="O499" s="3"/>
      <c r="P499" s="4"/>
      <c r="Q499" s="5"/>
      <c r="R499" s="6"/>
      <c r="S499" s="2"/>
      <c r="T499" s="2"/>
      <c r="U499" s="2"/>
      <c r="V499" s="2"/>
      <c r="W499" s="2"/>
    </row>
    <row r="500" spans="1:23" ht="12.75" customHeight="1">
      <c r="A500" s="2"/>
      <c r="B500" s="2"/>
      <c r="C500" s="2"/>
      <c r="D500" s="4"/>
      <c r="E500" s="4"/>
      <c r="F500" s="4"/>
      <c r="G500" s="3"/>
      <c r="H500" s="4"/>
      <c r="I500" s="3"/>
      <c r="J500" s="4"/>
      <c r="K500" s="3"/>
      <c r="L500" s="4"/>
      <c r="M500" s="5"/>
      <c r="N500" s="6"/>
      <c r="O500" s="3"/>
      <c r="P500" s="4"/>
      <c r="Q500" s="5"/>
      <c r="R500" s="6"/>
      <c r="S500" s="2"/>
      <c r="T500" s="2"/>
      <c r="U500" s="2"/>
      <c r="V500" s="2"/>
      <c r="W500" s="2"/>
    </row>
    <row r="501" spans="1:23" ht="12.75" customHeight="1">
      <c r="A501" s="2"/>
      <c r="B501" s="2"/>
      <c r="C501" s="2"/>
      <c r="D501" s="4"/>
      <c r="E501" s="4"/>
      <c r="F501" s="4"/>
      <c r="G501" s="3"/>
      <c r="H501" s="4"/>
      <c r="I501" s="3"/>
      <c r="J501" s="4"/>
      <c r="K501" s="3"/>
      <c r="L501" s="4"/>
      <c r="M501" s="5"/>
      <c r="N501" s="6"/>
      <c r="O501" s="3"/>
      <c r="P501" s="4"/>
      <c r="Q501" s="5"/>
      <c r="R501" s="6"/>
      <c r="S501" s="2"/>
      <c r="T501" s="2"/>
      <c r="U501" s="2"/>
      <c r="V501" s="2"/>
      <c r="W501" s="2"/>
    </row>
    <row r="502" spans="1:23" ht="12.75" customHeight="1">
      <c r="A502" s="2"/>
      <c r="B502" s="2"/>
      <c r="C502" s="2"/>
      <c r="D502" s="4"/>
      <c r="E502" s="4"/>
      <c r="F502" s="4"/>
      <c r="G502" s="3"/>
      <c r="H502" s="4"/>
      <c r="I502" s="3"/>
      <c r="J502" s="4"/>
      <c r="K502" s="3"/>
      <c r="L502" s="4"/>
      <c r="M502" s="5"/>
      <c r="N502" s="6"/>
      <c r="O502" s="3"/>
      <c r="P502" s="4"/>
      <c r="Q502" s="5"/>
      <c r="R502" s="6"/>
      <c r="S502" s="2"/>
      <c r="T502" s="2"/>
      <c r="U502" s="2"/>
      <c r="V502" s="2"/>
      <c r="W502" s="2"/>
    </row>
    <row r="503" spans="1:23" ht="12.75" customHeight="1">
      <c r="A503" s="2"/>
      <c r="B503" s="2"/>
      <c r="C503" s="2"/>
      <c r="D503" s="4"/>
      <c r="E503" s="4"/>
      <c r="F503" s="4"/>
      <c r="G503" s="3"/>
      <c r="H503" s="4"/>
      <c r="I503" s="3"/>
      <c r="J503" s="4"/>
      <c r="K503" s="3"/>
      <c r="L503" s="4"/>
      <c r="M503" s="5"/>
      <c r="N503" s="6"/>
      <c r="O503" s="3"/>
      <c r="P503" s="4"/>
      <c r="Q503" s="5"/>
      <c r="R503" s="6"/>
      <c r="S503" s="2"/>
      <c r="T503" s="2"/>
      <c r="U503" s="2"/>
      <c r="V503" s="2"/>
      <c r="W503" s="2"/>
    </row>
    <row r="504" spans="1:23" ht="12.75" customHeight="1">
      <c r="A504" s="2"/>
      <c r="B504" s="2"/>
      <c r="C504" s="2"/>
      <c r="D504" s="4"/>
      <c r="E504" s="4"/>
      <c r="F504" s="4"/>
      <c r="G504" s="3"/>
      <c r="H504" s="4"/>
      <c r="I504" s="3"/>
      <c r="J504" s="4"/>
      <c r="K504" s="3"/>
      <c r="L504" s="4"/>
      <c r="M504" s="5"/>
      <c r="N504" s="6"/>
      <c r="O504" s="3"/>
      <c r="P504" s="4"/>
      <c r="Q504" s="5"/>
      <c r="R504" s="6"/>
      <c r="S504" s="2"/>
      <c r="T504" s="2"/>
      <c r="U504" s="2"/>
      <c r="V504" s="2"/>
      <c r="W504" s="2"/>
    </row>
    <row r="505" spans="1:23" ht="12.75" customHeight="1">
      <c r="A505" s="2"/>
      <c r="B505" s="2"/>
      <c r="C505" s="2"/>
      <c r="D505" s="4"/>
      <c r="E505" s="4"/>
      <c r="F505" s="4"/>
      <c r="G505" s="3"/>
      <c r="H505" s="4"/>
      <c r="I505" s="3"/>
      <c r="J505" s="4"/>
      <c r="K505" s="3"/>
      <c r="L505" s="4"/>
      <c r="M505" s="5"/>
      <c r="N505" s="6"/>
      <c r="O505" s="3"/>
      <c r="P505" s="4"/>
      <c r="Q505" s="5"/>
      <c r="R505" s="6"/>
      <c r="S505" s="2"/>
      <c r="T505" s="2"/>
      <c r="U505" s="2"/>
      <c r="V505" s="2"/>
      <c r="W505" s="2"/>
    </row>
    <row r="506" spans="1:23" ht="12.75" customHeight="1">
      <c r="A506" s="2"/>
      <c r="B506" s="2"/>
      <c r="C506" s="2"/>
      <c r="D506" s="4"/>
      <c r="E506" s="4"/>
      <c r="F506" s="4"/>
      <c r="G506" s="3"/>
      <c r="H506" s="4"/>
      <c r="I506" s="3"/>
      <c r="J506" s="4"/>
      <c r="K506" s="3"/>
      <c r="L506" s="4"/>
      <c r="M506" s="5"/>
      <c r="N506" s="6"/>
      <c r="O506" s="3"/>
      <c r="P506" s="4"/>
      <c r="Q506" s="5"/>
      <c r="R506" s="6"/>
      <c r="S506" s="2"/>
      <c r="T506" s="2"/>
      <c r="U506" s="2"/>
      <c r="V506" s="2"/>
      <c r="W506" s="2"/>
    </row>
    <row r="507" spans="1:23" ht="12.75" customHeight="1">
      <c r="A507" s="2"/>
      <c r="B507" s="2"/>
      <c r="C507" s="2"/>
      <c r="D507" s="4"/>
      <c r="E507" s="4"/>
      <c r="F507" s="4"/>
      <c r="G507" s="3"/>
      <c r="H507" s="4"/>
      <c r="I507" s="3"/>
      <c r="J507" s="4"/>
      <c r="K507" s="3"/>
      <c r="L507" s="4"/>
      <c r="M507" s="5"/>
      <c r="N507" s="6"/>
      <c r="O507" s="3"/>
      <c r="P507" s="4"/>
      <c r="Q507" s="5"/>
      <c r="R507" s="6"/>
      <c r="S507" s="2"/>
      <c r="T507" s="2"/>
      <c r="U507" s="2"/>
      <c r="V507" s="2"/>
      <c r="W507" s="2"/>
    </row>
    <row r="508" spans="1:23" ht="12.75" customHeight="1">
      <c r="A508" s="2"/>
      <c r="B508" s="2"/>
      <c r="C508" s="2"/>
      <c r="D508" s="4"/>
      <c r="E508" s="4"/>
      <c r="F508" s="4"/>
      <c r="G508" s="3"/>
      <c r="H508" s="4"/>
      <c r="I508" s="3"/>
      <c r="J508" s="4"/>
      <c r="K508" s="3"/>
      <c r="L508" s="4"/>
      <c r="M508" s="5"/>
      <c r="N508" s="6"/>
      <c r="O508" s="3"/>
      <c r="P508" s="4"/>
      <c r="Q508" s="5"/>
      <c r="R508" s="6"/>
      <c r="S508" s="2"/>
      <c r="T508" s="2"/>
      <c r="U508" s="2"/>
      <c r="V508" s="2"/>
      <c r="W508" s="2"/>
    </row>
    <row r="509" spans="1:23" ht="12.75" customHeight="1">
      <c r="A509" s="2"/>
      <c r="B509" s="2"/>
      <c r="C509" s="2"/>
      <c r="D509" s="4"/>
      <c r="E509" s="4"/>
      <c r="F509" s="4"/>
      <c r="G509" s="3"/>
      <c r="H509" s="4"/>
      <c r="I509" s="3"/>
      <c r="J509" s="4"/>
      <c r="K509" s="3"/>
      <c r="L509" s="4"/>
      <c r="M509" s="5"/>
      <c r="N509" s="6"/>
      <c r="O509" s="3"/>
      <c r="P509" s="4"/>
      <c r="Q509" s="5"/>
      <c r="R509" s="6"/>
      <c r="S509" s="2"/>
      <c r="T509" s="2"/>
      <c r="U509" s="2"/>
      <c r="V509" s="2"/>
      <c r="W509" s="2"/>
    </row>
    <row r="510" spans="1:23" ht="12.75" customHeight="1">
      <c r="A510" s="2"/>
      <c r="B510" s="2"/>
      <c r="C510" s="2"/>
      <c r="D510" s="4"/>
      <c r="E510" s="4"/>
      <c r="F510" s="4"/>
      <c r="G510" s="3"/>
      <c r="H510" s="4"/>
      <c r="I510" s="3"/>
      <c r="J510" s="4"/>
      <c r="K510" s="3"/>
      <c r="L510" s="4"/>
      <c r="M510" s="5"/>
      <c r="N510" s="6"/>
      <c r="O510" s="3"/>
      <c r="P510" s="4"/>
      <c r="Q510" s="5"/>
      <c r="R510" s="6"/>
      <c r="S510" s="2"/>
      <c r="T510" s="2"/>
      <c r="U510" s="2"/>
      <c r="V510" s="2"/>
      <c r="W510" s="2"/>
    </row>
    <row r="511" spans="1:23" ht="12.75" customHeight="1">
      <c r="A511" s="2"/>
      <c r="B511" s="2"/>
      <c r="C511" s="2"/>
      <c r="D511" s="4"/>
      <c r="E511" s="4"/>
      <c r="F511" s="4"/>
      <c r="G511" s="3"/>
      <c r="H511" s="4"/>
      <c r="I511" s="3"/>
      <c r="J511" s="4"/>
      <c r="K511" s="3"/>
      <c r="L511" s="4"/>
      <c r="M511" s="5"/>
      <c r="N511" s="6"/>
      <c r="O511" s="3"/>
      <c r="P511" s="4"/>
      <c r="Q511" s="5"/>
      <c r="R511" s="6"/>
      <c r="S511" s="2"/>
      <c r="T511" s="2"/>
      <c r="U511" s="2"/>
      <c r="V511" s="2"/>
      <c r="W511" s="2"/>
    </row>
    <row r="512" spans="1:23" ht="12.75" customHeight="1">
      <c r="A512" s="2"/>
      <c r="B512" s="2"/>
      <c r="C512" s="2"/>
      <c r="D512" s="4"/>
      <c r="E512" s="4"/>
      <c r="F512" s="4"/>
      <c r="G512" s="3"/>
      <c r="H512" s="4"/>
      <c r="I512" s="3"/>
      <c r="J512" s="4"/>
      <c r="K512" s="3"/>
      <c r="L512" s="4"/>
      <c r="M512" s="5"/>
      <c r="N512" s="6"/>
      <c r="O512" s="3"/>
      <c r="P512" s="4"/>
      <c r="Q512" s="5"/>
      <c r="R512" s="6"/>
      <c r="S512" s="2"/>
      <c r="T512" s="2"/>
      <c r="U512" s="2"/>
      <c r="V512" s="2"/>
      <c r="W512" s="2"/>
    </row>
    <row r="513" spans="1:23" ht="12.75" customHeight="1">
      <c r="A513" s="2"/>
      <c r="B513" s="2"/>
      <c r="C513" s="2"/>
      <c r="D513" s="4"/>
      <c r="E513" s="4"/>
      <c r="F513" s="4"/>
      <c r="G513" s="3"/>
      <c r="H513" s="4"/>
      <c r="I513" s="3"/>
      <c r="J513" s="4"/>
      <c r="K513" s="3"/>
      <c r="L513" s="4"/>
      <c r="M513" s="5"/>
      <c r="N513" s="6"/>
      <c r="O513" s="3"/>
      <c r="P513" s="4"/>
      <c r="Q513" s="5"/>
      <c r="R513" s="6"/>
      <c r="S513" s="2"/>
      <c r="T513" s="2"/>
      <c r="U513" s="2"/>
      <c r="V513" s="2"/>
      <c r="W513" s="2"/>
    </row>
    <row r="514" spans="1:23" ht="12.75" customHeight="1">
      <c r="A514" s="2"/>
      <c r="B514" s="2"/>
      <c r="C514" s="2"/>
      <c r="D514" s="4"/>
      <c r="E514" s="4"/>
      <c r="F514" s="4"/>
      <c r="G514" s="3"/>
      <c r="H514" s="4"/>
      <c r="I514" s="3"/>
      <c r="J514" s="4"/>
      <c r="K514" s="3"/>
      <c r="L514" s="4"/>
      <c r="M514" s="5"/>
      <c r="N514" s="6"/>
      <c r="O514" s="3"/>
      <c r="P514" s="4"/>
      <c r="Q514" s="5"/>
      <c r="R514" s="6"/>
      <c r="S514" s="2"/>
      <c r="T514" s="2"/>
      <c r="U514" s="2"/>
      <c r="V514" s="2"/>
      <c r="W514" s="2"/>
    </row>
    <row r="515" spans="1:23" ht="12.75" customHeight="1">
      <c r="A515" s="2"/>
      <c r="B515" s="2"/>
      <c r="C515" s="2"/>
      <c r="D515" s="4"/>
      <c r="E515" s="4"/>
      <c r="F515" s="4"/>
      <c r="G515" s="3"/>
      <c r="H515" s="4"/>
      <c r="I515" s="3"/>
      <c r="J515" s="4"/>
      <c r="K515" s="3"/>
      <c r="L515" s="4"/>
      <c r="M515" s="5"/>
      <c r="N515" s="6"/>
      <c r="O515" s="3"/>
      <c r="P515" s="4"/>
      <c r="Q515" s="5"/>
      <c r="R515" s="6"/>
      <c r="S515" s="2"/>
      <c r="T515" s="2"/>
      <c r="U515" s="2"/>
      <c r="V515" s="2"/>
      <c r="W515" s="2"/>
    </row>
    <row r="516" spans="1:23" ht="12.75" customHeight="1">
      <c r="A516" s="2"/>
      <c r="B516" s="2"/>
      <c r="C516" s="2"/>
      <c r="D516" s="4"/>
      <c r="E516" s="4"/>
      <c r="F516" s="4"/>
      <c r="G516" s="3"/>
      <c r="H516" s="4"/>
      <c r="I516" s="3"/>
      <c r="J516" s="4"/>
      <c r="K516" s="3"/>
      <c r="L516" s="4"/>
      <c r="M516" s="5"/>
      <c r="N516" s="6"/>
      <c r="O516" s="3"/>
      <c r="P516" s="4"/>
      <c r="Q516" s="5"/>
      <c r="R516" s="6"/>
      <c r="S516" s="2"/>
      <c r="T516" s="2"/>
      <c r="U516" s="2"/>
      <c r="V516" s="2"/>
      <c r="W516" s="2"/>
    </row>
    <row r="517" spans="1:23" ht="12.75" customHeight="1">
      <c r="A517" s="2"/>
      <c r="B517" s="2"/>
      <c r="C517" s="2"/>
      <c r="D517" s="4"/>
      <c r="E517" s="4"/>
      <c r="F517" s="4"/>
      <c r="G517" s="3"/>
      <c r="H517" s="4"/>
      <c r="I517" s="3"/>
      <c r="J517" s="4"/>
      <c r="K517" s="3"/>
      <c r="L517" s="4"/>
      <c r="M517" s="5"/>
      <c r="N517" s="6"/>
      <c r="O517" s="3"/>
      <c r="P517" s="4"/>
      <c r="Q517" s="5"/>
      <c r="R517" s="6"/>
      <c r="S517" s="2"/>
      <c r="T517" s="2"/>
      <c r="U517" s="2"/>
      <c r="V517" s="2"/>
      <c r="W517" s="2"/>
    </row>
    <row r="518" spans="1:23" ht="12.75" customHeight="1">
      <c r="A518" s="2"/>
      <c r="B518" s="2"/>
      <c r="C518" s="2"/>
      <c r="D518" s="4"/>
      <c r="E518" s="4"/>
      <c r="F518" s="4"/>
      <c r="G518" s="3"/>
      <c r="H518" s="4"/>
      <c r="I518" s="3"/>
      <c r="J518" s="4"/>
      <c r="K518" s="3"/>
      <c r="L518" s="4"/>
      <c r="M518" s="5"/>
      <c r="N518" s="6"/>
      <c r="O518" s="3"/>
      <c r="P518" s="4"/>
      <c r="Q518" s="5"/>
      <c r="R518" s="6"/>
      <c r="S518" s="2"/>
      <c r="T518" s="2"/>
      <c r="U518" s="2"/>
      <c r="V518" s="2"/>
      <c r="W518" s="2"/>
    </row>
    <row r="519" spans="1:23" ht="12.75" customHeight="1">
      <c r="A519" s="2"/>
      <c r="B519" s="2"/>
      <c r="C519" s="2"/>
      <c r="D519" s="4"/>
      <c r="E519" s="4"/>
      <c r="F519" s="4"/>
      <c r="G519" s="3"/>
      <c r="H519" s="4"/>
      <c r="I519" s="3"/>
      <c r="J519" s="4"/>
      <c r="K519" s="3"/>
      <c r="L519" s="4"/>
      <c r="M519" s="5"/>
      <c r="N519" s="6"/>
      <c r="O519" s="3"/>
      <c r="P519" s="4"/>
      <c r="Q519" s="5"/>
      <c r="R519" s="6"/>
      <c r="S519" s="2"/>
      <c r="T519" s="2"/>
      <c r="U519" s="2"/>
      <c r="V519" s="2"/>
      <c r="W519" s="2"/>
    </row>
    <row r="520" spans="1:23" ht="12.75" customHeight="1">
      <c r="A520" s="2"/>
      <c r="B520" s="2"/>
      <c r="C520" s="2"/>
      <c r="D520" s="4"/>
      <c r="E520" s="4"/>
      <c r="F520" s="4"/>
      <c r="G520" s="3"/>
      <c r="H520" s="4"/>
      <c r="I520" s="3"/>
      <c r="J520" s="4"/>
      <c r="K520" s="3"/>
      <c r="L520" s="4"/>
      <c r="M520" s="5"/>
      <c r="N520" s="6"/>
      <c r="O520" s="3"/>
      <c r="P520" s="4"/>
      <c r="Q520" s="5"/>
      <c r="R520" s="6"/>
      <c r="S520" s="2"/>
      <c r="T520" s="2"/>
      <c r="U520" s="2"/>
      <c r="V520" s="2"/>
      <c r="W520" s="2"/>
    </row>
    <row r="521" spans="1:23" ht="12.75" customHeight="1">
      <c r="A521" s="2"/>
      <c r="B521" s="2"/>
      <c r="C521" s="2"/>
      <c r="D521" s="4"/>
      <c r="E521" s="4"/>
      <c r="F521" s="4"/>
      <c r="G521" s="3"/>
      <c r="H521" s="4"/>
      <c r="I521" s="3"/>
      <c r="J521" s="4"/>
      <c r="K521" s="3"/>
      <c r="L521" s="4"/>
      <c r="M521" s="5"/>
      <c r="N521" s="6"/>
      <c r="O521" s="3"/>
      <c r="P521" s="4"/>
      <c r="Q521" s="5"/>
      <c r="R521" s="6"/>
      <c r="S521" s="2"/>
      <c r="T521" s="2"/>
      <c r="U521" s="2"/>
      <c r="V521" s="2"/>
      <c r="W521" s="2"/>
    </row>
    <row r="522" spans="1:23" ht="12.75" customHeight="1">
      <c r="A522" s="2"/>
      <c r="B522" s="2"/>
      <c r="C522" s="2"/>
      <c r="D522" s="4"/>
      <c r="E522" s="4"/>
      <c r="F522" s="4"/>
      <c r="G522" s="3"/>
      <c r="H522" s="4"/>
      <c r="I522" s="3"/>
      <c r="J522" s="4"/>
      <c r="K522" s="3"/>
      <c r="L522" s="4"/>
      <c r="M522" s="5"/>
      <c r="N522" s="6"/>
      <c r="O522" s="3"/>
      <c r="P522" s="4"/>
      <c r="Q522" s="5"/>
      <c r="R522" s="6"/>
      <c r="S522" s="2"/>
      <c r="T522" s="2"/>
      <c r="U522" s="2"/>
      <c r="V522" s="2"/>
      <c r="W522" s="2"/>
    </row>
    <row r="523" spans="1:23" ht="12.75" customHeight="1">
      <c r="A523" s="2"/>
      <c r="B523" s="2"/>
      <c r="C523" s="2"/>
      <c r="D523" s="4"/>
      <c r="E523" s="4"/>
      <c r="F523" s="4"/>
      <c r="G523" s="3"/>
      <c r="H523" s="4"/>
      <c r="I523" s="3"/>
      <c r="J523" s="4"/>
      <c r="K523" s="3"/>
      <c r="L523" s="4"/>
      <c r="M523" s="5"/>
      <c r="N523" s="6"/>
      <c r="O523" s="3"/>
      <c r="P523" s="4"/>
      <c r="Q523" s="5"/>
      <c r="R523" s="6"/>
      <c r="S523" s="2"/>
      <c r="T523" s="2"/>
      <c r="U523" s="2"/>
      <c r="V523" s="2"/>
      <c r="W523" s="2"/>
    </row>
    <row r="524" spans="1:23" ht="12.75" customHeight="1">
      <c r="A524" s="2"/>
      <c r="B524" s="2"/>
      <c r="C524" s="2"/>
      <c r="D524" s="4"/>
      <c r="E524" s="4"/>
      <c r="F524" s="4"/>
      <c r="G524" s="3"/>
      <c r="H524" s="4"/>
      <c r="I524" s="3"/>
      <c r="J524" s="4"/>
      <c r="K524" s="3"/>
      <c r="L524" s="4"/>
      <c r="M524" s="5"/>
      <c r="N524" s="6"/>
      <c r="O524" s="3"/>
      <c r="P524" s="4"/>
      <c r="Q524" s="5"/>
      <c r="R524" s="6"/>
      <c r="S524" s="2"/>
      <c r="T524" s="2"/>
      <c r="U524" s="2"/>
      <c r="V524" s="2"/>
      <c r="W524" s="2"/>
    </row>
    <row r="525" spans="1:23" ht="12.75" customHeight="1">
      <c r="A525" s="2"/>
      <c r="B525" s="2"/>
      <c r="C525" s="2"/>
      <c r="D525" s="4"/>
      <c r="E525" s="4"/>
      <c r="F525" s="4"/>
      <c r="G525" s="3"/>
      <c r="H525" s="4"/>
      <c r="I525" s="3"/>
      <c r="J525" s="4"/>
      <c r="K525" s="3"/>
      <c r="L525" s="4"/>
      <c r="M525" s="5"/>
      <c r="N525" s="6"/>
      <c r="O525" s="3"/>
      <c r="P525" s="4"/>
      <c r="Q525" s="5"/>
      <c r="R525" s="6"/>
      <c r="S525" s="2"/>
      <c r="T525" s="2"/>
      <c r="U525" s="2"/>
      <c r="V525" s="2"/>
      <c r="W525" s="2"/>
    </row>
    <row r="526" spans="1:23" ht="12.75" customHeight="1">
      <c r="A526" s="2"/>
      <c r="B526" s="2"/>
      <c r="C526" s="2"/>
      <c r="D526" s="4"/>
      <c r="E526" s="4"/>
      <c r="F526" s="4"/>
      <c r="G526" s="3"/>
      <c r="H526" s="4"/>
      <c r="I526" s="3"/>
      <c r="J526" s="4"/>
      <c r="K526" s="3"/>
      <c r="L526" s="4"/>
      <c r="M526" s="5"/>
      <c r="N526" s="6"/>
      <c r="O526" s="3"/>
      <c r="P526" s="4"/>
      <c r="Q526" s="5"/>
      <c r="R526" s="6"/>
      <c r="S526" s="2"/>
      <c r="T526" s="2"/>
      <c r="U526" s="2"/>
      <c r="V526" s="2"/>
      <c r="W526" s="2"/>
    </row>
    <row r="527" spans="1:23" ht="12.75" customHeight="1">
      <c r="A527" s="2"/>
      <c r="B527" s="2"/>
      <c r="C527" s="2"/>
      <c r="D527" s="4"/>
      <c r="E527" s="4"/>
      <c r="F527" s="4"/>
      <c r="G527" s="3"/>
      <c r="H527" s="4"/>
      <c r="I527" s="3"/>
      <c r="J527" s="4"/>
      <c r="K527" s="3"/>
      <c r="L527" s="4"/>
      <c r="M527" s="5"/>
      <c r="N527" s="6"/>
      <c r="O527" s="3"/>
      <c r="P527" s="4"/>
      <c r="Q527" s="5"/>
      <c r="R527" s="6"/>
      <c r="S527" s="2"/>
      <c r="T527" s="2"/>
      <c r="U527" s="2"/>
      <c r="V527" s="2"/>
      <c r="W527" s="2"/>
    </row>
    <row r="528" spans="1:23" ht="12.75" customHeight="1">
      <c r="A528" s="2"/>
      <c r="B528" s="2"/>
      <c r="C528" s="2"/>
      <c r="D528" s="4"/>
      <c r="E528" s="4"/>
      <c r="F528" s="4"/>
      <c r="G528" s="3"/>
      <c r="H528" s="4"/>
      <c r="I528" s="3"/>
      <c r="J528" s="4"/>
      <c r="K528" s="3"/>
      <c r="L528" s="4"/>
      <c r="M528" s="5"/>
      <c r="N528" s="6"/>
      <c r="O528" s="3"/>
      <c r="P528" s="4"/>
      <c r="Q528" s="5"/>
      <c r="R528" s="6"/>
      <c r="S528" s="2"/>
      <c r="T528" s="2"/>
      <c r="U528" s="2"/>
      <c r="V528" s="2"/>
      <c r="W528" s="2"/>
    </row>
    <row r="529" spans="1:23" ht="12.75" customHeight="1">
      <c r="A529" s="2"/>
      <c r="B529" s="2"/>
      <c r="C529" s="2"/>
      <c r="D529" s="4"/>
      <c r="E529" s="4"/>
      <c r="F529" s="4"/>
      <c r="G529" s="3"/>
      <c r="H529" s="4"/>
      <c r="I529" s="3"/>
      <c r="J529" s="4"/>
      <c r="K529" s="3"/>
      <c r="L529" s="4"/>
      <c r="M529" s="5"/>
      <c r="N529" s="6"/>
      <c r="O529" s="3"/>
      <c r="P529" s="4"/>
      <c r="Q529" s="5"/>
      <c r="R529" s="6"/>
      <c r="S529" s="2"/>
      <c r="T529" s="2"/>
      <c r="U529" s="2"/>
      <c r="V529" s="2"/>
      <c r="W529" s="2"/>
    </row>
    <row r="530" spans="1:23" ht="12.75" customHeight="1">
      <c r="A530" s="2"/>
      <c r="B530" s="2"/>
      <c r="C530" s="2"/>
      <c r="D530" s="4"/>
      <c r="E530" s="4"/>
      <c r="F530" s="4"/>
      <c r="G530" s="3"/>
      <c r="H530" s="4"/>
      <c r="I530" s="3"/>
      <c r="J530" s="4"/>
      <c r="K530" s="3"/>
      <c r="L530" s="4"/>
      <c r="M530" s="5"/>
      <c r="N530" s="6"/>
      <c r="O530" s="3"/>
      <c r="P530" s="4"/>
      <c r="Q530" s="5"/>
      <c r="R530" s="6"/>
      <c r="S530" s="2"/>
      <c r="T530" s="2"/>
      <c r="U530" s="2"/>
      <c r="V530" s="2"/>
      <c r="W530" s="2"/>
    </row>
    <row r="531" spans="1:23" ht="12.75" customHeight="1">
      <c r="A531" s="2"/>
      <c r="B531" s="2"/>
      <c r="C531" s="2"/>
      <c r="D531" s="4"/>
      <c r="E531" s="4"/>
      <c r="F531" s="4"/>
      <c r="G531" s="3"/>
      <c r="H531" s="4"/>
      <c r="I531" s="3"/>
      <c r="J531" s="4"/>
      <c r="K531" s="3"/>
      <c r="L531" s="4"/>
      <c r="M531" s="5"/>
      <c r="N531" s="6"/>
      <c r="O531" s="3"/>
      <c r="P531" s="4"/>
      <c r="Q531" s="5"/>
      <c r="R531" s="6"/>
      <c r="S531" s="2"/>
      <c r="T531" s="2"/>
      <c r="U531" s="2"/>
      <c r="V531" s="2"/>
      <c r="W531" s="2"/>
    </row>
    <row r="532" spans="1:23" ht="12.75" customHeight="1">
      <c r="A532" s="2"/>
      <c r="B532" s="2"/>
      <c r="C532" s="2"/>
      <c r="D532" s="4"/>
      <c r="E532" s="4"/>
      <c r="F532" s="4"/>
      <c r="G532" s="3"/>
      <c r="H532" s="4"/>
      <c r="I532" s="3"/>
      <c r="J532" s="4"/>
      <c r="K532" s="3"/>
      <c r="L532" s="4"/>
      <c r="M532" s="5"/>
      <c r="N532" s="6"/>
      <c r="O532" s="3"/>
      <c r="P532" s="4"/>
      <c r="Q532" s="5"/>
      <c r="R532" s="6"/>
      <c r="S532" s="2"/>
      <c r="T532" s="2"/>
      <c r="U532" s="2"/>
      <c r="V532" s="2"/>
      <c r="W532" s="2"/>
    </row>
    <row r="533" spans="1:23" ht="12.75" customHeight="1">
      <c r="A533" s="2"/>
      <c r="B533" s="2"/>
      <c r="C533" s="2"/>
      <c r="D533" s="4"/>
      <c r="E533" s="4"/>
      <c r="F533" s="4"/>
      <c r="G533" s="3"/>
      <c r="H533" s="4"/>
      <c r="I533" s="3"/>
      <c r="J533" s="4"/>
      <c r="K533" s="3"/>
      <c r="L533" s="4"/>
      <c r="M533" s="5"/>
      <c r="N533" s="6"/>
      <c r="O533" s="3"/>
      <c r="P533" s="4"/>
      <c r="Q533" s="5"/>
      <c r="R533" s="6"/>
      <c r="S533" s="2"/>
      <c r="T533" s="2"/>
      <c r="U533" s="2"/>
      <c r="V533" s="2"/>
      <c r="W533" s="2"/>
    </row>
    <row r="534" spans="1:23" ht="12.75" customHeight="1">
      <c r="A534" s="2"/>
      <c r="B534" s="2"/>
      <c r="C534" s="2"/>
      <c r="D534" s="4"/>
      <c r="E534" s="4"/>
      <c r="F534" s="4"/>
      <c r="G534" s="3"/>
      <c r="H534" s="4"/>
      <c r="I534" s="3"/>
      <c r="J534" s="4"/>
      <c r="K534" s="3"/>
      <c r="L534" s="4"/>
      <c r="M534" s="5"/>
      <c r="N534" s="6"/>
      <c r="O534" s="3"/>
      <c r="P534" s="4"/>
      <c r="Q534" s="5"/>
      <c r="R534" s="6"/>
      <c r="S534" s="2"/>
      <c r="T534" s="2"/>
      <c r="U534" s="2"/>
      <c r="V534" s="2"/>
      <c r="W534" s="2"/>
    </row>
    <row r="535" spans="1:23" ht="12.75" customHeight="1">
      <c r="A535" s="2"/>
      <c r="B535" s="2"/>
      <c r="C535" s="2"/>
      <c r="D535" s="4"/>
      <c r="E535" s="4"/>
      <c r="F535" s="4"/>
      <c r="G535" s="3"/>
      <c r="H535" s="4"/>
      <c r="I535" s="3"/>
      <c r="J535" s="4"/>
      <c r="K535" s="3"/>
      <c r="L535" s="4"/>
      <c r="M535" s="5"/>
      <c r="N535" s="6"/>
      <c r="O535" s="3"/>
      <c r="P535" s="4"/>
      <c r="Q535" s="5"/>
      <c r="R535" s="6"/>
      <c r="S535" s="2"/>
      <c r="T535" s="2"/>
      <c r="U535" s="2"/>
      <c r="V535" s="2"/>
      <c r="W535" s="2"/>
    </row>
    <row r="536" spans="1:23" ht="12.75" customHeight="1">
      <c r="A536" s="2"/>
      <c r="B536" s="2"/>
      <c r="C536" s="2"/>
      <c r="D536" s="4"/>
      <c r="E536" s="4"/>
      <c r="F536" s="4"/>
      <c r="G536" s="3"/>
      <c r="H536" s="4"/>
      <c r="I536" s="3"/>
      <c r="J536" s="4"/>
      <c r="K536" s="3"/>
      <c r="L536" s="4"/>
      <c r="M536" s="5"/>
      <c r="N536" s="6"/>
      <c r="O536" s="3"/>
      <c r="P536" s="4"/>
      <c r="Q536" s="5"/>
      <c r="R536" s="6"/>
      <c r="S536" s="2"/>
      <c r="T536" s="2"/>
      <c r="U536" s="2"/>
      <c r="V536" s="2"/>
      <c r="W536" s="2"/>
    </row>
    <row r="537" spans="1:23" ht="12.75" customHeight="1">
      <c r="A537" s="2"/>
      <c r="B537" s="2"/>
      <c r="C537" s="2"/>
      <c r="D537" s="4"/>
      <c r="E537" s="4"/>
      <c r="F537" s="4"/>
      <c r="G537" s="3"/>
      <c r="H537" s="4"/>
      <c r="I537" s="3"/>
      <c r="J537" s="4"/>
      <c r="K537" s="3"/>
      <c r="L537" s="4"/>
      <c r="M537" s="5"/>
      <c r="N537" s="6"/>
      <c r="O537" s="3"/>
      <c r="P537" s="4"/>
      <c r="Q537" s="5"/>
      <c r="R537" s="6"/>
      <c r="S537" s="2"/>
      <c r="T537" s="2"/>
      <c r="U537" s="2"/>
      <c r="V537" s="2"/>
      <c r="W537" s="2"/>
    </row>
    <row r="538" spans="1:23" ht="12.75" customHeight="1">
      <c r="A538" s="2"/>
      <c r="B538" s="2"/>
      <c r="C538" s="2"/>
      <c r="D538" s="4"/>
      <c r="E538" s="4"/>
      <c r="F538" s="4"/>
      <c r="G538" s="3"/>
      <c r="H538" s="4"/>
      <c r="I538" s="3"/>
      <c r="J538" s="4"/>
      <c r="K538" s="3"/>
      <c r="L538" s="4"/>
      <c r="M538" s="5"/>
      <c r="N538" s="6"/>
      <c r="O538" s="3"/>
      <c r="P538" s="4"/>
      <c r="Q538" s="5"/>
      <c r="R538" s="6"/>
      <c r="S538" s="2"/>
      <c r="T538" s="2"/>
      <c r="U538" s="2"/>
      <c r="V538" s="2"/>
      <c r="W538" s="2"/>
    </row>
    <row r="539" spans="1:23" ht="12.75" customHeight="1">
      <c r="A539" s="2"/>
      <c r="B539" s="2"/>
      <c r="C539" s="2"/>
      <c r="D539" s="4"/>
      <c r="E539" s="4"/>
      <c r="F539" s="4"/>
      <c r="G539" s="3"/>
      <c r="H539" s="4"/>
      <c r="I539" s="3"/>
      <c r="J539" s="4"/>
      <c r="K539" s="3"/>
      <c r="L539" s="4"/>
      <c r="M539" s="5"/>
      <c r="N539" s="6"/>
      <c r="O539" s="3"/>
      <c r="P539" s="4"/>
      <c r="Q539" s="5"/>
      <c r="R539" s="6"/>
      <c r="S539" s="2"/>
      <c r="T539" s="2"/>
      <c r="U539" s="2"/>
      <c r="V539" s="2"/>
      <c r="W539" s="2"/>
    </row>
    <row r="540" spans="1:23" ht="12.75" customHeight="1">
      <c r="A540" s="2"/>
      <c r="B540" s="2"/>
      <c r="C540" s="2"/>
      <c r="D540" s="4"/>
      <c r="E540" s="4"/>
      <c r="F540" s="4"/>
      <c r="G540" s="3"/>
      <c r="H540" s="4"/>
      <c r="I540" s="3"/>
      <c r="J540" s="4"/>
      <c r="K540" s="3"/>
      <c r="L540" s="4"/>
      <c r="M540" s="5"/>
      <c r="N540" s="6"/>
      <c r="O540" s="3"/>
      <c r="P540" s="4"/>
      <c r="Q540" s="5"/>
      <c r="R540" s="6"/>
      <c r="S540" s="2"/>
      <c r="T540" s="2"/>
      <c r="U540" s="2"/>
      <c r="V540" s="2"/>
      <c r="W540" s="2"/>
    </row>
    <row r="541" spans="1:23" ht="12.75" customHeight="1">
      <c r="A541" s="2"/>
      <c r="B541" s="2"/>
      <c r="C541" s="2"/>
      <c r="D541" s="4"/>
      <c r="E541" s="4"/>
      <c r="F541" s="4"/>
      <c r="G541" s="3"/>
      <c r="H541" s="4"/>
      <c r="I541" s="3"/>
      <c r="J541" s="4"/>
      <c r="K541" s="3"/>
      <c r="L541" s="4"/>
      <c r="M541" s="5"/>
      <c r="N541" s="6"/>
      <c r="O541" s="3"/>
      <c r="P541" s="4"/>
      <c r="Q541" s="5"/>
      <c r="R541" s="6"/>
      <c r="S541" s="2"/>
      <c r="T541" s="2"/>
      <c r="U541" s="2"/>
      <c r="V541" s="2"/>
      <c r="W541" s="2"/>
    </row>
    <row r="542" spans="1:23" ht="12.75" customHeight="1">
      <c r="A542" s="2"/>
      <c r="B542" s="2"/>
      <c r="C542" s="2"/>
      <c r="D542" s="4"/>
      <c r="E542" s="4"/>
      <c r="F542" s="4"/>
      <c r="G542" s="3"/>
      <c r="H542" s="4"/>
      <c r="I542" s="3"/>
      <c r="J542" s="4"/>
      <c r="K542" s="3"/>
      <c r="L542" s="4"/>
      <c r="M542" s="5"/>
      <c r="N542" s="6"/>
      <c r="O542" s="3"/>
      <c r="P542" s="4"/>
      <c r="Q542" s="5"/>
      <c r="R542" s="6"/>
      <c r="S542" s="2"/>
      <c r="T542" s="2"/>
      <c r="U542" s="2"/>
      <c r="V542" s="2"/>
      <c r="W542" s="2"/>
    </row>
    <row r="543" spans="1:23" ht="12.75" customHeight="1">
      <c r="A543" s="2"/>
      <c r="B543" s="2"/>
      <c r="C543" s="2"/>
      <c r="D543" s="4"/>
      <c r="E543" s="4"/>
      <c r="F543" s="4"/>
      <c r="G543" s="3"/>
      <c r="H543" s="4"/>
      <c r="I543" s="3"/>
      <c r="J543" s="4"/>
      <c r="K543" s="3"/>
      <c r="L543" s="4"/>
      <c r="M543" s="5"/>
      <c r="N543" s="6"/>
      <c r="O543" s="3"/>
      <c r="P543" s="4"/>
      <c r="Q543" s="5"/>
      <c r="R543" s="6"/>
      <c r="S543" s="2"/>
      <c r="T543" s="2"/>
      <c r="U543" s="2"/>
      <c r="V543" s="2"/>
      <c r="W543" s="2"/>
    </row>
    <row r="544" spans="1:23" ht="12.75" customHeight="1">
      <c r="A544" s="2"/>
      <c r="B544" s="2"/>
      <c r="C544" s="2"/>
      <c r="D544" s="4"/>
      <c r="E544" s="4"/>
      <c r="F544" s="4"/>
      <c r="G544" s="3"/>
      <c r="H544" s="4"/>
      <c r="I544" s="3"/>
      <c r="J544" s="4"/>
      <c r="K544" s="3"/>
      <c r="L544" s="4"/>
      <c r="M544" s="5"/>
      <c r="N544" s="6"/>
      <c r="O544" s="3"/>
      <c r="P544" s="4"/>
      <c r="Q544" s="5"/>
      <c r="R544" s="6"/>
      <c r="S544" s="2"/>
      <c r="T544" s="2"/>
      <c r="U544" s="2"/>
      <c r="V544" s="2"/>
      <c r="W544" s="2"/>
    </row>
    <row r="545" spans="1:23" ht="12.75" customHeight="1">
      <c r="A545" s="2"/>
      <c r="B545" s="2"/>
      <c r="C545" s="2"/>
      <c r="D545" s="4"/>
      <c r="E545" s="4"/>
      <c r="F545" s="4"/>
      <c r="G545" s="3"/>
      <c r="H545" s="4"/>
      <c r="I545" s="3"/>
      <c r="J545" s="4"/>
      <c r="K545" s="3"/>
      <c r="L545" s="4"/>
      <c r="M545" s="5"/>
      <c r="N545" s="6"/>
      <c r="O545" s="3"/>
      <c r="P545" s="4"/>
      <c r="Q545" s="5"/>
      <c r="R545" s="6"/>
      <c r="S545" s="2"/>
      <c r="T545" s="2"/>
      <c r="U545" s="2"/>
      <c r="V545" s="2"/>
      <c r="W545" s="2"/>
    </row>
    <row r="546" spans="1:23" ht="12.75" customHeight="1">
      <c r="A546" s="2"/>
      <c r="B546" s="2"/>
      <c r="C546" s="2"/>
      <c r="D546" s="4"/>
      <c r="E546" s="4"/>
      <c r="F546" s="4"/>
      <c r="G546" s="3"/>
      <c r="H546" s="4"/>
      <c r="I546" s="3"/>
      <c r="J546" s="4"/>
      <c r="K546" s="3"/>
      <c r="L546" s="4"/>
      <c r="M546" s="5"/>
      <c r="N546" s="6"/>
      <c r="O546" s="3"/>
      <c r="P546" s="4"/>
      <c r="Q546" s="5"/>
      <c r="R546" s="6"/>
      <c r="S546" s="2"/>
      <c r="T546" s="2"/>
      <c r="U546" s="2"/>
      <c r="V546" s="2"/>
      <c r="W546" s="2"/>
    </row>
    <row r="547" spans="1:23" ht="12.75" customHeight="1">
      <c r="A547" s="2"/>
      <c r="B547" s="2"/>
      <c r="C547" s="2"/>
      <c r="D547" s="4"/>
      <c r="E547" s="4"/>
      <c r="F547" s="4"/>
      <c r="G547" s="3"/>
      <c r="H547" s="4"/>
      <c r="I547" s="3"/>
      <c r="J547" s="4"/>
      <c r="K547" s="3"/>
      <c r="L547" s="4"/>
      <c r="M547" s="5"/>
      <c r="N547" s="6"/>
      <c r="O547" s="3"/>
      <c r="P547" s="4"/>
      <c r="Q547" s="5"/>
      <c r="R547" s="6"/>
      <c r="S547" s="2"/>
      <c r="T547" s="2"/>
      <c r="U547" s="2"/>
      <c r="V547" s="2"/>
      <c r="W547" s="2"/>
    </row>
    <row r="548" spans="1:23" ht="12.75" customHeight="1">
      <c r="A548" s="2"/>
      <c r="B548" s="2"/>
      <c r="C548" s="2"/>
      <c r="D548" s="4"/>
      <c r="E548" s="4"/>
      <c r="F548" s="4"/>
      <c r="G548" s="3"/>
      <c r="H548" s="4"/>
      <c r="I548" s="3"/>
      <c r="J548" s="4"/>
      <c r="K548" s="3"/>
      <c r="L548" s="4"/>
      <c r="M548" s="5"/>
      <c r="N548" s="6"/>
      <c r="O548" s="3"/>
      <c r="P548" s="4"/>
      <c r="Q548" s="5"/>
      <c r="R548" s="6"/>
      <c r="S548" s="2"/>
      <c r="T548" s="2"/>
      <c r="U548" s="2"/>
      <c r="V548" s="2"/>
      <c r="W548" s="2"/>
    </row>
    <row r="549" spans="1:23" ht="12.75" customHeight="1">
      <c r="A549" s="2"/>
      <c r="B549" s="2"/>
      <c r="C549" s="2"/>
      <c r="D549" s="4"/>
      <c r="E549" s="4"/>
      <c r="F549" s="4"/>
      <c r="G549" s="3"/>
      <c r="H549" s="4"/>
      <c r="I549" s="3"/>
      <c r="J549" s="4"/>
      <c r="K549" s="3"/>
      <c r="L549" s="4"/>
      <c r="M549" s="5"/>
      <c r="N549" s="6"/>
      <c r="O549" s="3"/>
      <c r="P549" s="4"/>
      <c r="Q549" s="5"/>
      <c r="R549" s="6"/>
      <c r="S549" s="2"/>
      <c r="T549" s="2"/>
      <c r="U549" s="2"/>
      <c r="V549" s="2"/>
      <c r="W549" s="2"/>
    </row>
    <row r="550" spans="1:23" ht="12.75" customHeight="1">
      <c r="A550" s="2"/>
      <c r="B550" s="2"/>
      <c r="C550" s="2"/>
      <c r="D550" s="4"/>
      <c r="E550" s="4"/>
      <c r="F550" s="4"/>
      <c r="G550" s="3"/>
      <c r="H550" s="4"/>
      <c r="I550" s="3"/>
      <c r="J550" s="4"/>
      <c r="K550" s="3"/>
      <c r="L550" s="4"/>
      <c r="M550" s="5"/>
      <c r="N550" s="6"/>
      <c r="O550" s="3"/>
      <c r="P550" s="4"/>
      <c r="Q550" s="5"/>
      <c r="R550" s="6"/>
      <c r="S550" s="2"/>
      <c r="T550" s="2"/>
      <c r="U550" s="2"/>
      <c r="V550" s="2"/>
      <c r="W550" s="2"/>
    </row>
    <row r="551" spans="1:23" ht="12.75" customHeight="1">
      <c r="A551" s="2"/>
      <c r="B551" s="2"/>
      <c r="C551" s="2"/>
      <c r="D551" s="4"/>
      <c r="E551" s="4"/>
      <c r="F551" s="4"/>
      <c r="G551" s="3"/>
      <c r="H551" s="4"/>
      <c r="I551" s="3"/>
      <c r="J551" s="4"/>
      <c r="K551" s="3"/>
      <c r="L551" s="4"/>
      <c r="M551" s="5"/>
      <c r="N551" s="6"/>
      <c r="O551" s="3"/>
      <c r="P551" s="4"/>
      <c r="Q551" s="5"/>
      <c r="R551" s="6"/>
      <c r="S551" s="2"/>
      <c r="T551" s="2"/>
      <c r="U551" s="2"/>
      <c r="V551" s="2"/>
      <c r="W551" s="2"/>
    </row>
    <row r="552" spans="1:23" ht="12.75" customHeight="1">
      <c r="A552" s="2"/>
      <c r="B552" s="2"/>
      <c r="C552" s="2"/>
      <c r="D552" s="4"/>
      <c r="E552" s="4"/>
      <c r="F552" s="4"/>
      <c r="G552" s="3"/>
      <c r="H552" s="4"/>
      <c r="I552" s="3"/>
      <c r="J552" s="4"/>
      <c r="K552" s="3"/>
      <c r="L552" s="4"/>
      <c r="M552" s="5"/>
      <c r="N552" s="6"/>
      <c r="O552" s="3"/>
      <c r="P552" s="4"/>
      <c r="Q552" s="5"/>
      <c r="R552" s="6"/>
      <c r="S552" s="2"/>
      <c r="T552" s="2"/>
      <c r="U552" s="2"/>
      <c r="V552" s="2"/>
      <c r="W552" s="2"/>
    </row>
    <row r="553" spans="1:23" ht="12.75" customHeight="1">
      <c r="A553" s="2"/>
      <c r="B553" s="2"/>
      <c r="C553" s="2"/>
      <c r="D553" s="4"/>
      <c r="E553" s="4"/>
      <c r="F553" s="4"/>
      <c r="G553" s="3"/>
      <c r="H553" s="4"/>
      <c r="I553" s="3"/>
      <c r="J553" s="4"/>
      <c r="K553" s="3"/>
      <c r="L553" s="4"/>
      <c r="M553" s="5"/>
      <c r="N553" s="6"/>
      <c r="O553" s="3"/>
      <c r="P553" s="4"/>
      <c r="Q553" s="5"/>
      <c r="R553" s="6"/>
      <c r="S553" s="2"/>
      <c r="T553" s="2"/>
      <c r="U553" s="2"/>
      <c r="V553" s="2"/>
      <c r="W553" s="2"/>
    </row>
    <row r="554" spans="1:23" ht="12.75" customHeight="1">
      <c r="A554" s="2"/>
      <c r="B554" s="2"/>
      <c r="C554" s="2"/>
      <c r="D554" s="4"/>
      <c r="E554" s="4"/>
      <c r="F554" s="4"/>
      <c r="G554" s="3"/>
      <c r="H554" s="4"/>
      <c r="I554" s="3"/>
      <c r="J554" s="4"/>
      <c r="K554" s="3"/>
      <c r="L554" s="4"/>
      <c r="M554" s="5"/>
      <c r="N554" s="6"/>
      <c r="O554" s="3"/>
      <c r="P554" s="4"/>
      <c r="Q554" s="5"/>
      <c r="R554" s="6"/>
      <c r="S554" s="2"/>
      <c r="T554" s="2"/>
      <c r="U554" s="2"/>
      <c r="V554" s="2"/>
      <c r="W554" s="2"/>
    </row>
    <row r="555" spans="1:23" ht="12.75" customHeight="1">
      <c r="A555" s="2"/>
      <c r="B555" s="2"/>
      <c r="C555" s="2"/>
      <c r="D555" s="4"/>
      <c r="E555" s="4"/>
      <c r="F555" s="4"/>
      <c r="G555" s="3"/>
      <c r="H555" s="4"/>
      <c r="I555" s="3"/>
      <c r="J555" s="4"/>
      <c r="K555" s="3"/>
      <c r="L555" s="4"/>
      <c r="M555" s="5"/>
      <c r="N555" s="6"/>
      <c r="O555" s="3"/>
      <c r="P555" s="4"/>
      <c r="Q555" s="5"/>
      <c r="R555" s="6"/>
      <c r="S555" s="2"/>
      <c r="T555" s="2"/>
      <c r="U555" s="2"/>
      <c r="V555" s="2"/>
      <c r="W555" s="2"/>
    </row>
    <row r="556" spans="1:23" ht="12.75" customHeight="1">
      <c r="A556" s="2"/>
      <c r="B556" s="2"/>
      <c r="C556" s="2"/>
      <c r="D556" s="4"/>
      <c r="E556" s="4"/>
      <c r="F556" s="4"/>
      <c r="G556" s="3"/>
      <c r="H556" s="4"/>
      <c r="I556" s="3"/>
      <c r="J556" s="4"/>
      <c r="K556" s="3"/>
      <c r="L556" s="4"/>
      <c r="M556" s="5"/>
      <c r="N556" s="6"/>
      <c r="O556" s="3"/>
      <c r="P556" s="4"/>
      <c r="Q556" s="5"/>
      <c r="R556" s="6"/>
      <c r="S556" s="2"/>
      <c r="T556" s="2"/>
      <c r="U556" s="2"/>
      <c r="V556" s="2"/>
      <c r="W556" s="2"/>
    </row>
    <row r="557" spans="1:23" ht="12.75" customHeight="1">
      <c r="A557" s="2"/>
      <c r="B557" s="2"/>
      <c r="C557" s="2"/>
      <c r="D557" s="4"/>
      <c r="E557" s="4"/>
      <c r="F557" s="4"/>
      <c r="G557" s="3"/>
      <c r="H557" s="4"/>
      <c r="I557" s="3"/>
      <c r="J557" s="4"/>
      <c r="K557" s="3"/>
      <c r="L557" s="4"/>
      <c r="M557" s="5"/>
      <c r="N557" s="6"/>
      <c r="O557" s="3"/>
      <c r="P557" s="4"/>
      <c r="Q557" s="5"/>
      <c r="R557" s="6"/>
      <c r="S557" s="2"/>
      <c r="T557" s="2"/>
      <c r="U557" s="2"/>
      <c r="V557" s="2"/>
      <c r="W557" s="2"/>
    </row>
    <row r="558" spans="1:23" ht="12.75" customHeight="1">
      <c r="A558" s="2"/>
      <c r="B558" s="2"/>
      <c r="C558" s="2"/>
      <c r="D558" s="4"/>
      <c r="E558" s="4"/>
      <c r="F558" s="4"/>
      <c r="G558" s="3"/>
      <c r="H558" s="4"/>
      <c r="I558" s="3"/>
      <c r="J558" s="4"/>
      <c r="K558" s="3"/>
      <c r="L558" s="4"/>
      <c r="M558" s="5"/>
      <c r="N558" s="6"/>
      <c r="O558" s="3"/>
      <c r="P558" s="4"/>
      <c r="Q558" s="5"/>
      <c r="R558" s="6"/>
      <c r="S558" s="2"/>
      <c r="T558" s="2"/>
      <c r="U558" s="2"/>
      <c r="V558" s="2"/>
      <c r="W558" s="2"/>
    </row>
    <row r="559" spans="1:23" ht="12.75" customHeight="1">
      <c r="A559" s="2"/>
      <c r="B559" s="2"/>
      <c r="C559" s="2"/>
      <c r="D559" s="4"/>
      <c r="E559" s="4"/>
      <c r="F559" s="4"/>
      <c r="G559" s="3"/>
      <c r="H559" s="4"/>
      <c r="I559" s="3"/>
      <c r="J559" s="4"/>
      <c r="K559" s="3"/>
      <c r="L559" s="4"/>
      <c r="M559" s="5"/>
      <c r="N559" s="6"/>
      <c r="O559" s="3"/>
      <c r="P559" s="4"/>
      <c r="Q559" s="5"/>
      <c r="R559" s="6"/>
      <c r="S559" s="2"/>
      <c r="T559" s="2"/>
      <c r="U559" s="2"/>
      <c r="V559" s="2"/>
      <c r="W559" s="2"/>
    </row>
    <row r="560" spans="1:23" ht="12.75" customHeight="1">
      <c r="A560" s="2"/>
      <c r="B560" s="2"/>
      <c r="C560" s="2"/>
      <c r="D560" s="4"/>
      <c r="E560" s="4"/>
      <c r="F560" s="4"/>
      <c r="G560" s="3"/>
      <c r="H560" s="4"/>
      <c r="I560" s="3"/>
      <c r="J560" s="4"/>
      <c r="K560" s="3"/>
      <c r="L560" s="4"/>
      <c r="M560" s="5"/>
      <c r="N560" s="6"/>
      <c r="O560" s="3"/>
      <c r="P560" s="4"/>
      <c r="Q560" s="5"/>
      <c r="R560" s="6"/>
      <c r="S560" s="2"/>
      <c r="T560" s="2"/>
      <c r="U560" s="2"/>
      <c r="V560" s="2"/>
      <c r="W560" s="2"/>
    </row>
    <row r="561" spans="1:23" ht="12.75" customHeight="1">
      <c r="A561" s="2"/>
      <c r="B561" s="2"/>
      <c r="C561" s="2"/>
      <c r="D561" s="4"/>
      <c r="E561" s="4"/>
      <c r="F561" s="4"/>
      <c r="G561" s="3"/>
      <c r="H561" s="4"/>
      <c r="I561" s="3"/>
      <c r="J561" s="4"/>
      <c r="K561" s="3"/>
      <c r="L561" s="4"/>
      <c r="M561" s="5"/>
      <c r="N561" s="6"/>
      <c r="O561" s="3"/>
      <c r="P561" s="4"/>
      <c r="Q561" s="5"/>
      <c r="R561" s="6"/>
      <c r="S561" s="2"/>
      <c r="T561" s="2"/>
      <c r="U561" s="2"/>
      <c r="V561" s="2"/>
      <c r="W561" s="2"/>
    </row>
    <row r="562" spans="1:23" ht="12.75" customHeight="1">
      <c r="A562" s="2"/>
      <c r="B562" s="2"/>
      <c r="C562" s="2"/>
      <c r="D562" s="4"/>
      <c r="E562" s="4"/>
      <c r="F562" s="4"/>
      <c r="G562" s="3"/>
      <c r="H562" s="4"/>
      <c r="I562" s="3"/>
      <c r="J562" s="4"/>
      <c r="K562" s="3"/>
      <c r="L562" s="4"/>
      <c r="M562" s="5"/>
      <c r="N562" s="6"/>
      <c r="O562" s="3"/>
      <c r="P562" s="4"/>
      <c r="Q562" s="5"/>
      <c r="R562" s="6"/>
      <c r="S562" s="2"/>
      <c r="T562" s="2"/>
      <c r="U562" s="2"/>
      <c r="V562" s="2"/>
      <c r="W562" s="2"/>
    </row>
    <row r="563" spans="1:23" ht="12.75" customHeight="1">
      <c r="A563" s="2"/>
      <c r="B563" s="2"/>
      <c r="C563" s="2"/>
      <c r="D563" s="4"/>
      <c r="E563" s="4"/>
      <c r="F563" s="4"/>
      <c r="G563" s="3"/>
      <c r="H563" s="4"/>
      <c r="I563" s="3"/>
      <c r="J563" s="4"/>
      <c r="K563" s="3"/>
      <c r="L563" s="4"/>
      <c r="M563" s="5"/>
      <c r="N563" s="6"/>
      <c r="O563" s="3"/>
      <c r="P563" s="4"/>
      <c r="Q563" s="5"/>
      <c r="R563" s="6"/>
      <c r="S563" s="2"/>
      <c r="T563" s="2"/>
      <c r="U563" s="2"/>
      <c r="V563" s="2"/>
      <c r="W563" s="2"/>
    </row>
    <row r="564" spans="1:23" ht="12.75" customHeight="1">
      <c r="A564" s="2"/>
      <c r="B564" s="2"/>
      <c r="C564" s="2"/>
      <c r="D564" s="4"/>
      <c r="E564" s="4"/>
      <c r="F564" s="4"/>
      <c r="G564" s="3"/>
      <c r="H564" s="4"/>
      <c r="I564" s="3"/>
      <c r="J564" s="4"/>
      <c r="K564" s="3"/>
      <c r="L564" s="4"/>
      <c r="M564" s="5"/>
      <c r="N564" s="6"/>
      <c r="O564" s="3"/>
      <c r="P564" s="4"/>
      <c r="Q564" s="5"/>
      <c r="R564" s="6"/>
      <c r="S564" s="2"/>
      <c r="T564" s="2"/>
      <c r="U564" s="2"/>
      <c r="V564" s="2"/>
      <c r="W564" s="2"/>
    </row>
    <row r="565" spans="1:23" ht="12.75" customHeight="1">
      <c r="A565" s="2"/>
      <c r="B565" s="2"/>
      <c r="C565" s="2"/>
      <c r="D565" s="4"/>
      <c r="E565" s="4"/>
      <c r="F565" s="4"/>
      <c r="G565" s="3"/>
      <c r="H565" s="4"/>
      <c r="I565" s="3"/>
      <c r="J565" s="4"/>
      <c r="K565" s="3"/>
      <c r="L565" s="4"/>
      <c r="M565" s="5"/>
      <c r="N565" s="6"/>
      <c r="O565" s="3"/>
      <c r="P565" s="4"/>
      <c r="Q565" s="5"/>
      <c r="R565" s="6"/>
      <c r="S565" s="2"/>
      <c r="T565" s="2"/>
      <c r="U565" s="2"/>
      <c r="V565" s="2"/>
      <c r="W565" s="2"/>
    </row>
    <row r="566" spans="1:23" ht="12.75" customHeight="1">
      <c r="A566" s="2"/>
      <c r="B566" s="2"/>
      <c r="C566" s="2"/>
      <c r="D566" s="4"/>
      <c r="E566" s="4"/>
      <c r="F566" s="4"/>
      <c r="G566" s="3"/>
      <c r="H566" s="4"/>
      <c r="I566" s="3"/>
      <c r="J566" s="4"/>
      <c r="K566" s="3"/>
      <c r="L566" s="4"/>
      <c r="M566" s="5"/>
      <c r="N566" s="6"/>
      <c r="O566" s="3"/>
      <c r="P566" s="4"/>
      <c r="Q566" s="5"/>
      <c r="R566" s="6"/>
      <c r="S566" s="2"/>
      <c r="T566" s="2"/>
      <c r="U566" s="2"/>
      <c r="V566" s="2"/>
      <c r="W566" s="2"/>
    </row>
    <row r="567" spans="1:23" ht="12.75" customHeight="1">
      <c r="A567" s="2"/>
      <c r="B567" s="2"/>
      <c r="C567" s="2"/>
      <c r="D567" s="4"/>
      <c r="E567" s="4"/>
      <c r="F567" s="4"/>
      <c r="G567" s="3"/>
      <c r="H567" s="4"/>
      <c r="I567" s="3"/>
      <c r="J567" s="4"/>
      <c r="K567" s="3"/>
      <c r="L567" s="4"/>
      <c r="M567" s="5"/>
      <c r="N567" s="6"/>
      <c r="O567" s="3"/>
      <c r="P567" s="4"/>
      <c r="Q567" s="5"/>
      <c r="R567" s="6"/>
      <c r="S567" s="2"/>
      <c r="T567" s="2"/>
      <c r="U567" s="2"/>
      <c r="V567" s="2"/>
      <c r="W567" s="2"/>
    </row>
    <row r="568" spans="1:23" ht="12.75" customHeight="1">
      <c r="A568" s="2"/>
      <c r="B568" s="2"/>
      <c r="C568" s="2"/>
      <c r="D568" s="4"/>
      <c r="E568" s="4"/>
      <c r="F568" s="4"/>
      <c r="G568" s="3"/>
      <c r="H568" s="4"/>
      <c r="I568" s="3"/>
      <c r="J568" s="4"/>
      <c r="K568" s="3"/>
      <c r="L568" s="4"/>
      <c r="M568" s="5"/>
      <c r="N568" s="6"/>
      <c r="O568" s="3"/>
      <c r="P568" s="4"/>
      <c r="Q568" s="5"/>
      <c r="R568" s="6"/>
      <c r="S568" s="2"/>
      <c r="T568" s="2"/>
      <c r="U568" s="2"/>
      <c r="V568" s="2"/>
      <c r="W568" s="2"/>
    </row>
    <row r="569" spans="1:23" ht="12.75" customHeight="1">
      <c r="A569" s="2"/>
      <c r="B569" s="2"/>
      <c r="C569" s="2"/>
      <c r="D569" s="4"/>
      <c r="E569" s="4"/>
      <c r="F569" s="4"/>
      <c r="G569" s="3"/>
      <c r="H569" s="4"/>
      <c r="I569" s="3"/>
      <c r="J569" s="4"/>
      <c r="K569" s="3"/>
      <c r="L569" s="4"/>
      <c r="M569" s="5"/>
      <c r="N569" s="6"/>
      <c r="O569" s="3"/>
      <c r="P569" s="4"/>
      <c r="Q569" s="5"/>
      <c r="R569" s="6"/>
      <c r="S569" s="2"/>
      <c r="T569" s="2"/>
      <c r="U569" s="2"/>
      <c r="V569" s="2"/>
      <c r="W569" s="2"/>
    </row>
    <row r="570" spans="1:23" ht="12.75" customHeight="1">
      <c r="A570" s="2"/>
      <c r="B570" s="2"/>
      <c r="C570" s="2"/>
      <c r="D570" s="4"/>
      <c r="E570" s="4"/>
      <c r="F570" s="4"/>
      <c r="G570" s="3"/>
      <c r="H570" s="4"/>
      <c r="I570" s="3"/>
      <c r="J570" s="4"/>
      <c r="K570" s="3"/>
      <c r="L570" s="4"/>
      <c r="M570" s="5"/>
      <c r="N570" s="6"/>
      <c r="O570" s="3"/>
      <c r="P570" s="4"/>
      <c r="Q570" s="5"/>
      <c r="R570" s="6"/>
      <c r="S570" s="2"/>
      <c r="T570" s="2"/>
      <c r="U570" s="2"/>
      <c r="V570" s="2"/>
      <c r="W570" s="2"/>
    </row>
    <row r="571" spans="1:23" ht="12.75" customHeight="1">
      <c r="A571" s="2"/>
      <c r="B571" s="2"/>
      <c r="C571" s="2"/>
      <c r="D571" s="4"/>
      <c r="E571" s="4"/>
      <c r="F571" s="4"/>
      <c r="G571" s="3"/>
      <c r="H571" s="4"/>
      <c r="I571" s="3"/>
      <c r="J571" s="4"/>
      <c r="K571" s="3"/>
      <c r="L571" s="4"/>
      <c r="M571" s="5"/>
      <c r="N571" s="6"/>
      <c r="O571" s="3"/>
      <c r="P571" s="4"/>
      <c r="Q571" s="5"/>
      <c r="R571" s="6"/>
      <c r="S571" s="2"/>
      <c r="T571" s="2"/>
      <c r="U571" s="2"/>
      <c r="V571" s="2"/>
      <c r="W571" s="2"/>
    </row>
    <row r="572" spans="1:23" ht="12.75" customHeight="1">
      <c r="A572" s="2"/>
      <c r="B572" s="2"/>
      <c r="C572" s="2"/>
      <c r="D572" s="4"/>
      <c r="E572" s="4"/>
      <c r="F572" s="4"/>
      <c r="G572" s="3"/>
      <c r="H572" s="4"/>
      <c r="I572" s="3"/>
      <c r="J572" s="4"/>
      <c r="K572" s="3"/>
      <c r="L572" s="4"/>
      <c r="M572" s="5"/>
      <c r="N572" s="6"/>
      <c r="O572" s="3"/>
      <c r="P572" s="4"/>
      <c r="Q572" s="5"/>
      <c r="R572" s="6"/>
      <c r="S572" s="2"/>
      <c r="T572" s="2"/>
      <c r="U572" s="2"/>
      <c r="V572" s="2"/>
      <c r="W572" s="2"/>
    </row>
    <row r="573" spans="1:23" ht="12.75" customHeight="1">
      <c r="A573" s="2"/>
      <c r="B573" s="2"/>
      <c r="C573" s="2"/>
      <c r="D573" s="4"/>
      <c r="E573" s="4"/>
      <c r="F573" s="4"/>
      <c r="G573" s="3"/>
      <c r="H573" s="4"/>
      <c r="I573" s="3"/>
      <c r="J573" s="4"/>
      <c r="K573" s="3"/>
      <c r="L573" s="4"/>
      <c r="M573" s="5"/>
      <c r="N573" s="6"/>
      <c r="O573" s="3"/>
      <c r="P573" s="4"/>
      <c r="Q573" s="5"/>
      <c r="R573" s="6"/>
      <c r="S573" s="2"/>
      <c r="T573" s="2"/>
      <c r="U573" s="2"/>
      <c r="V573" s="2"/>
      <c r="W573" s="2"/>
    </row>
    <row r="574" spans="1:23" ht="12.75" customHeight="1">
      <c r="A574" s="2"/>
      <c r="B574" s="2"/>
      <c r="C574" s="2"/>
      <c r="D574" s="4"/>
      <c r="E574" s="4"/>
      <c r="F574" s="4"/>
      <c r="G574" s="3"/>
      <c r="H574" s="4"/>
      <c r="I574" s="3"/>
      <c r="J574" s="4"/>
      <c r="K574" s="3"/>
      <c r="L574" s="4"/>
      <c r="M574" s="5"/>
      <c r="N574" s="6"/>
      <c r="O574" s="3"/>
      <c r="P574" s="4"/>
      <c r="Q574" s="5"/>
      <c r="R574" s="6"/>
      <c r="S574" s="2"/>
      <c r="T574" s="2"/>
      <c r="U574" s="2"/>
      <c r="V574" s="2"/>
      <c r="W574" s="2"/>
    </row>
    <row r="575" spans="1:23" ht="12.75" customHeight="1">
      <c r="A575" s="2"/>
      <c r="B575" s="2"/>
      <c r="C575" s="2"/>
      <c r="D575" s="4"/>
      <c r="E575" s="4"/>
      <c r="F575" s="4"/>
      <c r="G575" s="3"/>
      <c r="H575" s="4"/>
      <c r="I575" s="3"/>
      <c r="J575" s="4"/>
      <c r="K575" s="3"/>
      <c r="L575" s="4"/>
      <c r="M575" s="5"/>
      <c r="N575" s="6"/>
      <c r="O575" s="3"/>
      <c r="P575" s="4"/>
      <c r="Q575" s="5"/>
      <c r="R575" s="6"/>
      <c r="S575" s="2"/>
      <c r="T575" s="2"/>
      <c r="U575" s="2"/>
      <c r="V575" s="2"/>
      <c r="W575" s="2"/>
    </row>
    <row r="576" spans="1:23" ht="12.75" customHeight="1">
      <c r="A576" s="2"/>
      <c r="B576" s="2"/>
      <c r="C576" s="2"/>
      <c r="D576" s="4"/>
      <c r="E576" s="4"/>
      <c r="F576" s="4"/>
      <c r="G576" s="3"/>
      <c r="H576" s="4"/>
      <c r="I576" s="3"/>
      <c r="J576" s="4"/>
      <c r="K576" s="3"/>
      <c r="L576" s="4"/>
      <c r="M576" s="5"/>
      <c r="N576" s="6"/>
      <c r="O576" s="3"/>
      <c r="P576" s="4"/>
      <c r="Q576" s="5"/>
      <c r="R576" s="6"/>
      <c r="S576" s="2"/>
      <c r="T576" s="2"/>
      <c r="U576" s="2"/>
      <c r="V576" s="2"/>
      <c r="W576" s="2"/>
    </row>
    <row r="577" spans="1:23" ht="12.75" customHeight="1">
      <c r="A577" s="2"/>
      <c r="B577" s="2"/>
      <c r="C577" s="2"/>
      <c r="D577" s="4"/>
      <c r="E577" s="4"/>
      <c r="F577" s="4"/>
      <c r="G577" s="3"/>
      <c r="H577" s="4"/>
      <c r="I577" s="3"/>
      <c r="J577" s="4"/>
      <c r="K577" s="3"/>
      <c r="L577" s="4"/>
      <c r="M577" s="5"/>
      <c r="N577" s="6"/>
      <c r="O577" s="3"/>
      <c r="P577" s="4"/>
      <c r="Q577" s="5"/>
      <c r="R577" s="6"/>
      <c r="S577" s="2"/>
      <c r="T577" s="2"/>
      <c r="U577" s="2"/>
      <c r="V577" s="2"/>
      <c r="W577" s="2"/>
    </row>
    <row r="578" spans="1:23" ht="12.75" customHeight="1">
      <c r="A578" s="2"/>
      <c r="B578" s="2"/>
      <c r="C578" s="2"/>
      <c r="D578" s="4"/>
      <c r="E578" s="4"/>
      <c r="F578" s="4"/>
      <c r="G578" s="3"/>
      <c r="H578" s="4"/>
      <c r="I578" s="3"/>
      <c r="J578" s="4"/>
      <c r="K578" s="3"/>
      <c r="L578" s="4"/>
      <c r="M578" s="5"/>
      <c r="N578" s="6"/>
      <c r="O578" s="3"/>
      <c r="P578" s="4"/>
      <c r="Q578" s="5"/>
      <c r="R578" s="6"/>
      <c r="S578" s="2"/>
      <c r="T578" s="2"/>
      <c r="U578" s="2"/>
      <c r="V578" s="2"/>
      <c r="W578" s="2"/>
    </row>
    <row r="579" spans="1:23" ht="12.75" customHeight="1">
      <c r="A579" s="2"/>
      <c r="B579" s="2"/>
      <c r="C579" s="2"/>
      <c r="D579" s="4"/>
      <c r="E579" s="4"/>
      <c r="F579" s="4"/>
      <c r="G579" s="3"/>
      <c r="H579" s="4"/>
      <c r="I579" s="3"/>
      <c r="J579" s="4"/>
      <c r="K579" s="3"/>
      <c r="L579" s="4"/>
      <c r="M579" s="5"/>
      <c r="N579" s="6"/>
      <c r="O579" s="3"/>
      <c r="P579" s="4"/>
      <c r="Q579" s="5"/>
      <c r="R579" s="6"/>
      <c r="S579" s="2"/>
      <c r="T579" s="2"/>
      <c r="U579" s="2"/>
      <c r="V579" s="2"/>
      <c r="W579" s="2"/>
    </row>
    <row r="580" spans="1:23" ht="12.75" customHeight="1">
      <c r="A580" s="2"/>
      <c r="B580" s="2"/>
      <c r="C580" s="2"/>
      <c r="D580" s="4"/>
      <c r="E580" s="4"/>
      <c r="F580" s="4"/>
      <c r="G580" s="3"/>
      <c r="H580" s="4"/>
      <c r="I580" s="3"/>
      <c r="J580" s="4"/>
      <c r="K580" s="3"/>
      <c r="L580" s="4"/>
      <c r="M580" s="5"/>
      <c r="N580" s="6"/>
      <c r="O580" s="3"/>
      <c r="P580" s="4"/>
      <c r="Q580" s="5"/>
      <c r="R580" s="6"/>
      <c r="S580" s="2"/>
      <c r="T580" s="2"/>
      <c r="U580" s="2"/>
      <c r="V580" s="2"/>
      <c r="W580" s="2"/>
    </row>
    <row r="581" spans="1:23" ht="12.75" customHeight="1">
      <c r="A581" s="2"/>
      <c r="B581" s="2"/>
      <c r="C581" s="2"/>
      <c r="D581" s="4"/>
      <c r="E581" s="4"/>
      <c r="F581" s="4"/>
      <c r="G581" s="3"/>
      <c r="H581" s="4"/>
      <c r="I581" s="3"/>
      <c r="J581" s="4"/>
      <c r="K581" s="3"/>
      <c r="L581" s="4"/>
      <c r="M581" s="5"/>
      <c r="N581" s="6"/>
      <c r="O581" s="3"/>
      <c r="P581" s="4"/>
      <c r="Q581" s="5"/>
      <c r="R581" s="6"/>
      <c r="S581" s="2"/>
      <c r="T581" s="2"/>
      <c r="U581" s="2"/>
      <c r="V581" s="2"/>
      <c r="W581" s="2"/>
    </row>
    <row r="582" spans="1:23" ht="12.75" customHeight="1">
      <c r="A582" s="2"/>
      <c r="B582" s="2"/>
      <c r="C582" s="2"/>
      <c r="D582" s="4"/>
      <c r="E582" s="4"/>
      <c r="F582" s="4"/>
      <c r="G582" s="3"/>
      <c r="H582" s="4"/>
      <c r="I582" s="3"/>
      <c r="J582" s="4"/>
      <c r="K582" s="3"/>
      <c r="L582" s="4"/>
      <c r="M582" s="5"/>
      <c r="N582" s="6"/>
      <c r="O582" s="3"/>
      <c r="P582" s="4"/>
      <c r="Q582" s="5"/>
      <c r="R582" s="6"/>
      <c r="S582" s="2"/>
      <c r="T582" s="2"/>
      <c r="U582" s="2"/>
      <c r="V582" s="2"/>
      <c r="W582" s="2"/>
    </row>
    <row r="583" spans="1:23" ht="12.75" customHeight="1">
      <c r="A583" s="2"/>
      <c r="B583" s="2"/>
      <c r="C583" s="2"/>
      <c r="D583" s="4"/>
      <c r="E583" s="4"/>
      <c r="F583" s="4"/>
      <c r="G583" s="3"/>
      <c r="H583" s="4"/>
      <c r="I583" s="3"/>
      <c r="J583" s="4"/>
      <c r="K583" s="3"/>
      <c r="L583" s="4"/>
      <c r="M583" s="5"/>
      <c r="N583" s="6"/>
      <c r="O583" s="3"/>
      <c r="P583" s="4"/>
      <c r="Q583" s="5"/>
      <c r="R583" s="6"/>
      <c r="S583" s="2"/>
      <c r="T583" s="2"/>
      <c r="U583" s="2"/>
      <c r="V583" s="2"/>
      <c r="W583" s="2"/>
    </row>
    <row r="584" spans="1:23" ht="12.75" customHeight="1">
      <c r="A584" s="2"/>
      <c r="B584" s="2"/>
      <c r="C584" s="2"/>
      <c r="D584" s="4"/>
      <c r="E584" s="4"/>
      <c r="F584" s="4"/>
      <c r="G584" s="3"/>
      <c r="H584" s="4"/>
      <c r="I584" s="3"/>
      <c r="J584" s="4"/>
      <c r="K584" s="3"/>
      <c r="L584" s="4"/>
      <c r="M584" s="5"/>
      <c r="N584" s="6"/>
      <c r="O584" s="3"/>
      <c r="P584" s="4"/>
      <c r="Q584" s="5"/>
      <c r="R584" s="6"/>
      <c r="S584" s="2"/>
      <c r="T584" s="2"/>
      <c r="U584" s="2"/>
      <c r="V584" s="2"/>
      <c r="W584" s="2"/>
    </row>
    <row r="585" spans="1:23" ht="12.75" customHeight="1">
      <c r="A585" s="2"/>
      <c r="B585" s="2"/>
      <c r="C585" s="2"/>
      <c r="D585" s="4"/>
      <c r="E585" s="4"/>
      <c r="F585" s="4"/>
      <c r="G585" s="3"/>
      <c r="H585" s="4"/>
      <c r="I585" s="3"/>
      <c r="J585" s="4"/>
      <c r="K585" s="3"/>
      <c r="L585" s="4"/>
      <c r="M585" s="5"/>
      <c r="N585" s="6"/>
      <c r="O585" s="3"/>
      <c r="P585" s="4"/>
      <c r="Q585" s="5"/>
      <c r="R585" s="6"/>
      <c r="S585" s="2"/>
      <c r="T585" s="2"/>
      <c r="U585" s="2"/>
      <c r="V585" s="2"/>
      <c r="W585" s="2"/>
    </row>
    <row r="586" spans="1:23" ht="12.75" customHeight="1">
      <c r="A586" s="2"/>
      <c r="B586" s="2"/>
      <c r="C586" s="2"/>
      <c r="D586" s="4"/>
      <c r="E586" s="4"/>
      <c r="F586" s="4"/>
      <c r="G586" s="3"/>
      <c r="H586" s="4"/>
      <c r="I586" s="3"/>
      <c r="J586" s="4"/>
      <c r="K586" s="3"/>
      <c r="L586" s="4"/>
      <c r="M586" s="5"/>
      <c r="N586" s="6"/>
      <c r="O586" s="3"/>
      <c r="P586" s="4"/>
      <c r="Q586" s="5"/>
      <c r="R586" s="6"/>
      <c r="S586" s="2"/>
      <c r="T586" s="2"/>
      <c r="U586" s="2"/>
      <c r="V586" s="2"/>
      <c r="W586" s="2"/>
    </row>
    <row r="587" spans="1:23" ht="12.75" customHeight="1">
      <c r="A587" s="2"/>
      <c r="B587" s="2"/>
      <c r="C587" s="2"/>
      <c r="D587" s="4"/>
      <c r="E587" s="4"/>
      <c r="F587" s="4"/>
      <c r="G587" s="3"/>
      <c r="H587" s="4"/>
      <c r="I587" s="3"/>
      <c r="J587" s="4"/>
      <c r="K587" s="3"/>
      <c r="L587" s="4"/>
      <c r="M587" s="5"/>
      <c r="N587" s="6"/>
      <c r="O587" s="3"/>
      <c r="P587" s="4"/>
      <c r="Q587" s="5"/>
      <c r="R587" s="6"/>
      <c r="S587" s="2"/>
      <c r="T587" s="2"/>
      <c r="U587" s="2"/>
      <c r="V587" s="2"/>
      <c r="W587" s="2"/>
    </row>
    <row r="588" spans="1:23" ht="12.75" customHeight="1">
      <c r="A588" s="2"/>
      <c r="B588" s="2"/>
      <c r="C588" s="2"/>
      <c r="D588" s="4"/>
      <c r="E588" s="4"/>
      <c r="F588" s="4"/>
      <c r="G588" s="3"/>
      <c r="H588" s="4"/>
      <c r="I588" s="3"/>
      <c r="J588" s="4"/>
      <c r="K588" s="3"/>
      <c r="L588" s="4"/>
      <c r="M588" s="5"/>
      <c r="N588" s="6"/>
      <c r="O588" s="3"/>
      <c r="P588" s="4"/>
      <c r="Q588" s="5"/>
      <c r="R588" s="6"/>
      <c r="S588" s="2"/>
      <c r="T588" s="2"/>
      <c r="U588" s="2"/>
      <c r="V588" s="2"/>
      <c r="W588" s="2"/>
    </row>
    <row r="589" spans="1:23" ht="12.75" customHeight="1">
      <c r="A589" s="2"/>
      <c r="B589" s="2"/>
      <c r="C589" s="2"/>
      <c r="D589" s="4"/>
      <c r="E589" s="4"/>
      <c r="F589" s="4"/>
      <c r="G589" s="3"/>
      <c r="H589" s="4"/>
      <c r="I589" s="3"/>
      <c r="J589" s="4"/>
      <c r="K589" s="3"/>
      <c r="L589" s="4"/>
      <c r="M589" s="5"/>
      <c r="N589" s="6"/>
      <c r="O589" s="3"/>
      <c r="P589" s="4"/>
      <c r="Q589" s="5"/>
      <c r="R589" s="6"/>
      <c r="S589" s="2"/>
      <c r="T589" s="2"/>
      <c r="U589" s="2"/>
      <c r="V589" s="2"/>
      <c r="W589" s="2"/>
    </row>
    <row r="590" spans="1:23" ht="12.75" customHeight="1">
      <c r="A590" s="2"/>
      <c r="B590" s="2"/>
      <c r="C590" s="2"/>
      <c r="D590" s="4"/>
      <c r="E590" s="4"/>
      <c r="F590" s="4"/>
      <c r="G590" s="3"/>
      <c r="H590" s="4"/>
      <c r="I590" s="3"/>
      <c r="J590" s="4"/>
      <c r="K590" s="3"/>
      <c r="L590" s="4"/>
      <c r="M590" s="5"/>
      <c r="N590" s="6"/>
      <c r="O590" s="3"/>
      <c r="P590" s="4"/>
      <c r="Q590" s="5"/>
      <c r="R590" s="6"/>
      <c r="S590" s="2"/>
      <c r="T590" s="2"/>
      <c r="U590" s="2"/>
      <c r="V590" s="2"/>
      <c r="W590" s="2"/>
    </row>
    <row r="591" spans="1:23" ht="12.75" customHeight="1">
      <c r="A591" s="2"/>
      <c r="B591" s="2"/>
      <c r="C591" s="2"/>
      <c r="D591" s="4"/>
      <c r="E591" s="4"/>
      <c r="F591" s="4"/>
      <c r="G591" s="3"/>
      <c r="H591" s="4"/>
      <c r="I591" s="3"/>
      <c r="J591" s="4"/>
      <c r="K591" s="3"/>
      <c r="L591" s="4"/>
      <c r="M591" s="5"/>
      <c r="N591" s="6"/>
      <c r="O591" s="3"/>
      <c r="P591" s="4"/>
      <c r="Q591" s="5"/>
      <c r="R591" s="6"/>
      <c r="S591" s="2"/>
      <c r="T591" s="2"/>
      <c r="U591" s="2"/>
      <c r="V591" s="2"/>
      <c r="W591" s="2"/>
    </row>
    <row r="592" spans="1:23" ht="12.75" customHeight="1">
      <c r="A592" s="2"/>
      <c r="B592" s="2"/>
      <c r="C592" s="2"/>
      <c r="D592" s="4"/>
      <c r="E592" s="4"/>
      <c r="F592" s="4"/>
      <c r="G592" s="3"/>
      <c r="H592" s="4"/>
      <c r="I592" s="3"/>
      <c r="J592" s="4"/>
      <c r="K592" s="3"/>
      <c r="L592" s="4"/>
      <c r="M592" s="5"/>
      <c r="N592" s="6"/>
      <c r="O592" s="3"/>
      <c r="P592" s="4"/>
      <c r="Q592" s="5"/>
      <c r="R592" s="6"/>
      <c r="S592" s="2"/>
      <c r="T592" s="2"/>
      <c r="U592" s="2"/>
      <c r="V592" s="2"/>
      <c r="W592" s="2"/>
    </row>
    <row r="593" spans="1:23" ht="12.75" customHeight="1">
      <c r="A593" s="2"/>
      <c r="B593" s="2"/>
      <c r="C593" s="2"/>
      <c r="D593" s="4"/>
      <c r="E593" s="4"/>
      <c r="F593" s="4"/>
      <c r="G593" s="3"/>
      <c r="H593" s="4"/>
      <c r="I593" s="3"/>
      <c r="J593" s="4"/>
      <c r="K593" s="3"/>
      <c r="L593" s="4"/>
      <c r="M593" s="5"/>
      <c r="N593" s="6"/>
      <c r="O593" s="3"/>
      <c r="P593" s="4"/>
      <c r="Q593" s="5"/>
      <c r="R593" s="6"/>
      <c r="S593" s="2"/>
      <c r="T593" s="2"/>
      <c r="U593" s="2"/>
      <c r="V593" s="2"/>
      <c r="W593" s="2"/>
    </row>
    <row r="594" spans="1:23" ht="12.75" customHeight="1">
      <c r="A594" s="2"/>
      <c r="B594" s="2"/>
      <c r="C594" s="2"/>
      <c r="D594" s="4"/>
      <c r="E594" s="4"/>
      <c r="F594" s="4"/>
      <c r="G594" s="3"/>
      <c r="H594" s="4"/>
      <c r="I594" s="3"/>
      <c r="J594" s="4"/>
      <c r="K594" s="3"/>
      <c r="L594" s="4"/>
      <c r="M594" s="5"/>
      <c r="N594" s="6"/>
      <c r="O594" s="3"/>
      <c r="P594" s="4"/>
      <c r="Q594" s="5"/>
      <c r="R594" s="6"/>
      <c r="S594" s="2"/>
      <c r="T594" s="2"/>
      <c r="U594" s="2"/>
      <c r="V594" s="2"/>
      <c r="W594" s="2"/>
    </row>
    <row r="595" spans="1:23" ht="12.75" customHeight="1">
      <c r="A595" s="2"/>
      <c r="B595" s="2"/>
      <c r="C595" s="2"/>
      <c r="D595" s="4"/>
      <c r="E595" s="4"/>
      <c r="F595" s="4"/>
      <c r="G595" s="3"/>
      <c r="H595" s="4"/>
      <c r="I595" s="3"/>
      <c r="J595" s="4"/>
      <c r="K595" s="3"/>
      <c r="L595" s="4"/>
      <c r="M595" s="5"/>
      <c r="N595" s="6"/>
      <c r="O595" s="3"/>
      <c r="P595" s="4"/>
      <c r="Q595" s="5"/>
      <c r="R595" s="6"/>
      <c r="S595" s="2"/>
      <c r="T595" s="2"/>
      <c r="U595" s="2"/>
      <c r="V595" s="2"/>
      <c r="W595" s="2"/>
    </row>
    <row r="596" spans="1:23" ht="12.75" customHeight="1">
      <c r="A596" s="2"/>
      <c r="B596" s="2"/>
      <c r="C596" s="2"/>
      <c r="D596" s="4"/>
      <c r="E596" s="4"/>
      <c r="F596" s="4"/>
      <c r="G596" s="3"/>
      <c r="H596" s="4"/>
      <c r="I596" s="3"/>
      <c r="J596" s="4"/>
      <c r="K596" s="3"/>
      <c r="L596" s="4"/>
      <c r="M596" s="5"/>
      <c r="N596" s="6"/>
      <c r="O596" s="3"/>
      <c r="P596" s="4"/>
      <c r="Q596" s="5"/>
      <c r="R596" s="6"/>
      <c r="S596" s="2"/>
      <c r="T596" s="2"/>
      <c r="U596" s="2"/>
      <c r="V596" s="2"/>
      <c r="W596" s="2"/>
    </row>
    <row r="597" spans="1:23" ht="12.75" customHeight="1">
      <c r="A597" s="2"/>
      <c r="B597" s="2"/>
      <c r="C597" s="2"/>
      <c r="D597" s="4"/>
      <c r="E597" s="4"/>
      <c r="F597" s="4"/>
      <c r="G597" s="3"/>
      <c r="H597" s="4"/>
      <c r="I597" s="3"/>
      <c r="J597" s="4"/>
      <c r="K597" s="3"/>
      <c r="L597" s="4"/>
      <c r="M597" s="5"/>
      <c r="N597" s="6"/>
      <c r="O597" s="3"/>
      <c r="P597" s="4"/>
      <c r="Q597" s="5"/>
      <c r="R597" s="6"/>
      <c r="S597" s="2"/>
      <c r="T597" s="2"/>
      <c r="U597" s="2"/>
      <c r="V597" s="2"/>
      <c r="W597" s="2"/>
    </row>
    <row r="598" spans="1:23" ht="12.75" customHeight="1">
      <c r="A598" s="2"/>
      <c r="B598" s="2"/>
      <c r="C598" s="2"/>
      <c r="D598" s="4"/>
      <c r="E598" s="4"/>
      <c r="F598" s="4"/>
      <c r="G598" s="3"/>
      <c r="H598" s="4"/>
      <c r="I598" s="3"/>
      <c r="J598" s="4"/>
      <c r="K598" s="3"/>
      <c r="L598" s="4"/>
      <c r="M598" s="5"/>
      <c r="N598" s="6"/>
      <c r="O598" s="3"/>
      <c r="P598" s="4"/>
      <c r="Q598" s="5"/>
      <c r="R598" s="6"/>
      <c r="S598" s="2"/>
      <c r="T598" s="2"/>
      <c r="U598" s="2"/>
      <c r="V598" s="2"/>
      <c r="W598" s="2"/>
    </row>
    <row r="599" spans="1:23" ht="12.75" customHeight="1">
      <c r="A599" s="2"/>
      <c r="B599" s="2"/>
      <c r="C599" s="2"/>
      <c r="D599" s="4"/>
      <c r="E599" s="4"/>
      <c r="F599" s="4"/>
      <c r="G599" s="3"/>
      <c r="H599" s="4"/>
      <c r="I599" s="3"/>
      <c r="J599" s="4"/>
      <c r="K599" s="3"/>
      <c r="L599" s="4"/>
      <c r="M599" s="5"/>
      <c r="N599" s="6"/>
      <c r="O599" s="3"/>
      <c r="P599" s="4"/>
      <c r="Q599" s="5"/>
      <c r="R599" s="6"/>
      <c r="S599" s="2"/>
      <c r="T599" s="2"/>
      <c r="U599" s="2"/>
      <c r="V599" s="2"/>
      <c r="W599" s="2"/>
    </row>
    <row r="600" spans="1:23" ht="12.75" customHeight="1">
      <c r="A600" s="2"/>
      <c r="B600" s="2"/>
      <c r="C600" s="2"/>
      <c r="D600" s="4"/>
      <c r="E600" s="4"/>
      <c r="F600" s="4"/>
      <c r="G600" s="3"/>
      <c r="H600" s="4"/>
      <c r="I600" s="3"/>
      <c r="J600" s="4"/>
      <c r="K600" s="3"/>
      <c r="L600" s="4"/>
      <c r="M600" s="5"/>
      <c r="N600" s="6"/>
      <c r="O600" s="3"/>
      <c r="P600" s="4"/>
      <c r="Q600" s="5"/>
      <c r="R600" s="6"/>
      <c r="S600" s="2"/>
      <c r="T600" s="2"/>
      <c r="U600" s="2"/>
      <c r="V600" s="2"/>
      <c r="W600" s="2"/>
    </row>
    <row r="601" spans="1:23" ht="12.75" customHeight="1">
      <c r="A601" s="2"/>
      <c r="B601" s="2"/>
      <c r="C601" s="2"/>
      <c r="D601" s="4"/>
      <c r="E601" s="4"/>
      <c r="F601" s="4"/>
      <c r="G601" s="3"/>
      <c r="H601" s="4"/>
      <c r="I601" s="3"/>
      <c r="J601" s="4"/>
      <c r="K601" s="3"/>
      <c r="L601" s="4"/>
      <c r="M601" s="5"/>
      <c r="N601" s="6"/>
      <c r="O601" s="3"/>
      <c r="P601" s="4"/>
      <c r="Q601" s="5"/>
      <c r="R601" s="6"/>
      <c r="S601" s="2"/>
      <c r="T601" s="2"/>
      <c r="U601" s="2"/>
      <c r="V601" s="2"/>
      <c r="W601" s="2"/>
    </row>
    <row r="602" spans="1:23" ht="12.75" customHeight="1">
      <c r="A602" s="2"/>
      <c r="B602" s="2"/>
      <c r="C602" s="2"/>
      <c r="D602" s="4"/>
      <c r="E602" s="4"/>
      <c r="F602" s="4"/>
      <c r="G602" s="3"/>
      <c r="H602" s="4"/>
      <c r="I602" s="3"/>
      <c r="J602" s="4"/>
      <c r="K602" s="3"/>
      <c r="L602" s="4"/>
      <c r="M602" s="5"/>
      <c r="N602" s="6"/>
      <c r="O602" s="3"/>
      <c r="P602" s="4"/>
      <c r="Q602" s="5"/>
      <c r="R602" s="6"/>
      <c r="S602" s="2"/>
      <c r="T602" s="2"/>
      <c r="U602" s="2"/>
      <c r="V602" s="2"/>
      <c r="W602" s="2"/>
    </row>
    <row r="603" spans="1:23" ht="12.75" customHeight="1">
      <c r="A603" s="2"/>
      <c r="B603" s="2"/>
      <c r="C603" s="2"/>
      <c r="D603" s="4"/>
      <c r="E603" s="4"/>
      <c r="F603" s="4"/>
      <c r="G603" s="3"/>
      <c r="H603" s="4"/>
      <c r="I603" s="3"/>
      <c r="J603" s="4"/>
      <c r="K603" s="3"/>
      <c r="L603" s="4"/>
      <c r="M603" s="5"/>
      <c r="N603" s="6"/>
      <c r="O603" s="3"/>
      <c r="P603" s="4"/>
      <c r="Q603" s="5"/>
      <c r="R603" s="6"/>
      <c r="S603" s="2"/>
      <c r="T603" s="2"/>
      <c r="U603" s="2"/>
      <c r="V603" s="2"/>
      <c r="W603" s="2"/>
    </row>
    <row r="604" spans="1:23" ht="12.75" customHeight="1">
      <c r="A604" s="2"/>
      <c r="B604" s="2"/>
      <c r="C604" s="2"/>
      <c r="D604" s="4"/>
      <c r="E604" s="4"/>
      <c r="F604" s="4"/>
      <c r="G604" s="3"/>
      <c r="H604" s="4"/>
      <c r="I604" s="3"/>
      <c r="J604" s="4"/>
      <c r="K604" s="3"/>
      <c r="L604" s="4"/>
      <c r="M604" s="5"/>
      <c r="N604" s="6"/>
      <c r="O604" s="3"/>
      <c r="P604" s="4"/>
      <c r="Q604" s="5"/>
      <c r="R604" s="6"/>
      <c r="S604" s="2"/>
      <c r="T604" s="2"/>
      <c r="U604" s="2"/>
      <c r="V604" s="2"/>
      <c r="W604" s="2"/>
    </row>
    <row r="605" spans="1:23" ht="12.75" customHeight="1">
      <c r="A605" s="2"/>
      <c r="B605" s="2"/>
      <c r="C605" s="2"/>
      <c r="D605" s="4"/>
      <c r="E605" s="4"/>
      <c r="F605" s="4"/>
      <c r="G605" s="3"/>
      <c r="H605" s="4"/>
      <c r="I605" s="3"/>
      <c r="J605" s="4"/>
      <c r="K605" s="3"/>
      <c r="L605" s="4"/>
      <c r="M605" s="5"/>
      <c r="N605" s="6"/>
      <c r="O605" s="3"/>
      <c r="P605" s="4"/>
      <c r="Q605" s="5"/>
      <c r="R605" s="6"/>
      <c r="S605" s="2"/>
      <c r="T605" s="2"/>
      <c r="U605" s="2"/>
      <c r="V605" s="2"/>
      <c r="W605" s="2"/>
    </row>
    <row r="606" spans="1:23" ht="12.75" customHeight="1">
      <c r="A606" s="2"/>
      <c r="B606" s="2"/>
      <c r="C606" s="2"/>
      <c r="D606" s="4"/>
      <c r="E606" s="4"/>
      <c r="F606" s="4"/>
      <c r="G606" s="3"/>
      <c r="H606" s="4"/>
      <c r="I606" s="3"/>
      <c r="J606" s="4"/>
      <c r="K606" s="3"/>
      <c r="L606" s="4"/>
      <c r="M606" s="5"/>
      <c r="N606" s="6"/>
      <c r="O606" s="3"/>
      <c r="P606" s="4"/>
      <c r="Q606" s="5"/>
      <c r="R606" s="6"/>
      <c r="S606" s="2"/>
      <c r="T606" s="2"/>
      <c r="U606" s="2"/>
      <c r="V606" s="2"/>
      <c r="W606" s="2"/>
    </row>
    <row r="607" spans="1:23" ht="12.75" customHeight="1">
      <c r="A607" s="2"/>
      <c r="B607" s="2"/>
      <c r="C607" s="2"/>
      <c r="D607" s="4"/>
      <c r="E607" s="4"/>
      <c r="F607" s="4"/>
      <c r="G607" s="3"/>
      <c r="H607" s="4"/>
      <c r="I607" s="3"/>
      <c r="J607" s="4"/>
      <c r="K607" s="3"/>
      <c r="L607" s="4"/>
      <c r="M607" s="5"/>
      <c r="N607" s="6"/>
      <c r="O607" s="3"/>
      <c r="P607" s="4"/>
      <c r="Q607" s="5"/>
      <c r="R607" s="6"/>
      <c r="S607" s="2"/>
      <c r="T607" s="2"/>
      <c r="U607" s="2"/>
      <c r="V607" s="2"/>
      <c r="W607" s="2"/>
    </row>
    <row r="608" spans="1:23" ht="12.75" customHeight="1">
      <c r="A608" s="2"/>
      <c r="B608" s="2"/>
      <c r="C608" s="2"/>
      <c r="D608" s="4"/>
      <c r="E608" s="4"/>
      <c r="F608" s="4"/>
      <c r="G608" s="3"/>
      <c r="H608" s="4"/>
      <c r="I608" s="3"/>
      <c r="J608" s="4"/>
      <c r="K608" s="3"/>
      <c r="L608" s="4"/>
      <c r="M608" s="5"/>
      <c r="N608" s="6"/>
      <c r="O608" s="3"/>
      <c r="P608" s="4"/>
      <c r="Q608" s="5"/>
      <c r="R608" s="6"/>
      <c r="S608" s="2"/>
      <c r="T608" s="2"/>
      <c r="U608" s="2"/>
      <c r="V608" s="2"/>
      <c r="W608" s="2"/>
    </row>
    <row r="609" spans="1:23" ht="12.75" customHeight="1">
      <c r="A609" s="2"/>
      <c r="B609" s="2"/>
      <c r="C609" s="2"/>
      <c r="D609" s="4"/>
      <c r="E609" s="4"/>
      <c r="F609" s="4"/>
      <c r="G609" s="3"/>
      <c r="H609" s="4"/>
      <c r="I609" s="3"/>
      <c r="J609" s="4"/>
      <c r="K609" s="3"/>
      <c r="L609" s="4"/>
      <c r="M609" s="5"/>
      <c r="N609" s="6"/>
      <c r="O609" s="3"/>
      <c r="P609" s="4"/>
      <c r="Q609" s="5"/>
      <c r="R609" s="6"/>
      <c r="S609" s="2"/>
      <c r="T609" s="2"/>
      <c r="U609" s="2"/>
      <c r="V609" s="2"/>
      <c r="W609" s="2"/>
    </row>
    <row r="610" spans="1:23" ht="12.75" customHeight="1">
      <c r="A610" s="2"/>
      <c r="B610" s="2"/>
      <c r="C610" s="2"/>
      <c r="D610" s="4"/>
      <c r="E610" s="4"/>
      <c r="F610" s="4"/>
      <c r="G610" s="3"/>
      <c r="H610" s="4"/>
      <c r="I610" s="3"/>
      <c r="J610" s="4"/>
      <c r="K610" s="3"/>
      <c r="L610" s="4"/>
      <c r="M610" s="5"/>
      <c r="N610" s="6"/>
      <c r="O610" s="3"/>
      <c r="P610" s="4"/>
      <c r="Q610" s="5"/>
      <c r="R610" s="6"/>
      <c r="S610" s="2"/>
      <c r="T610" s="2"/>
      <c r="U610" s="2"/>
      <c r="V610" s="2"/>
      <c r="W610" s="2"/>
    </row>
    <row r="611" spans="1:23" ht="12.75" customHeight="1">
      <c r="A611" s="2"/>
      <c r="B611" s="2"/>
      <c r="C611" s="2"/>
      <c r="D611" s="4"/>
      <c r="E611" s="4"/>
      <c r="F611" s="4"/>
      <c r="G611" s="3"/>
      <c r="H611" s="4"/>
      <c r="I611" s="3"/>
      <c r="J611" s="4"/>
      <c r="K611" s="3"/>
      <c r="L611" s="4"/>
      <c r="M611" s="5"/>
      <c r="N611" s="6"/>
      <c r="O611" s="3"/>
      <c r="P611" s="4"/>
      <c r="Q611" s="5"/>
      <c r="R611" s="6"/>
      <c r="S611" s="2"/>
      <c r="T611" s="2"/>
      <c r="U611" s="2"/>
      <c r="V611" s="2"/>
      <c r="W611" s="2"/>
    </row>
    <row r="612" spans="1:23" ht="12.75" customHeight="1">
      <c r="A612" s="2"/>
      <c r="B612" s="2"/>
      <c r="C612" s="2"/>
      <c r="D612" s="4"/>
      <c r="E612" s="4"/>
      <c r="F612" s="4"/>
      <c r="G612" s="3"/>
      <c r="H612" s="4"/>
      <c r="I612" s="3"/>
      <c r="J612" s="4"/>
      <c r="K612" s="3"/>
      <c r="L612" s="4"/>
      <c r="M612" s="5"/>
      <c r="N612" s="6"/>
      <c r="O612" s="3"/>
      <c r="P612" s="4"/>
      <c r="Q612" s="5"/>
      <c r="R612" s="6"/>
      <c r="S612" s="2"/>
      <c r="T612" s="2"/>
      <c r="U612" s="2"/>
      <c r="V612" s="2"/>
      <c r="W612" s="2"/>
    </row>
    <row r="613" spans="1:23" ht="12.75" customHeight="1">
      <c r="A613" s="2"/>
      <c r="B613" s="2"/>
      <c r="C613" s="2"/>
      <c r="D613" s="4"/>
      <c r="E613" s="4"/>
      <c r="F613" s="4"/>
      <c r="G613" s="3"/>
      <c r="H613" s="4"/>
      <c r="I613" s="3"/>
      <c r="J613" s="4"/>
      <c r="K613" s="3"/>
      <c r="L613" s="4"/>
      <c r="M613" s="5"/>
      <c r="N613" s="6"/>
      <c r="O613" s="3"/>
      <c r="P613" s="4"/>
      <c r="Q613" s="5"/>
      <c r="R613" s="6"/>
      <c r="S613" s="2"/>
      <c r="T613" s="2"/>
      <c r="U613" s="2"/>
      <c r="V613" s="2"/>
      <c r="W613" s="2"/>
    </row>
    <row r="614" spans="1:23" ht="12.75" customHeight="1">
      <c r="A614" s="2"/>
      <c r="B614" s="2"/>
      <c r="C614" s="2"/>
      <c r="D614" s="4"/>
      <c r="E614" s="4"/>
      <c r="F614" s="4"/>
      <c r="G614" s="3"/>
      <c r="H614" s="4"/>
      <c r="I614" s="3"/>
      <c r="J614" s="4"/>
      <c r="K614" s="3"/>
      <c r="L614" s="4"/>
      <c r="M614" s="5"/>
      <c r="N614" s="6"/>
      <c r="O614" s="3"/>
      <c r="P614" s="4"/>
      <c r="Q614" s="5"/>
      <c r="R614" s="6"/>
      <c r="S614" s="2"/>
      <c r="T614" s="2"/>
      <c r="U614" s="2"/>
      <c r="V614" s="2"/>
      <c r="W614" s="2"/>
    </row>
    <row r="615" spans="1:23" ht="12.75" customHeight="1">
      <c r="A615" s="2"/>
      <c r="B615" s="2"/>
      <c r="C615" s="2"/>
      <c r="D615" s="4"/>
      <c r="E615" s="4"/>
      <c r="F615" s="4"/>
      <c r="G615" s="3"/>
      <c r="H615" s="4"/>
      <c r="I615" s="3"/>
      <c r="J615" s="4"/>
      <c r="K615" s="3"/>
      <c r="L615" s="4"/>
      <c r="M615" s="5"/>
      <c r="N615" s="6"/>
      <c r="O615" s="3"/>
      <c r="P615" s="4"/>
      <c r="Q615" s="5"/>
      <c r="R615" s="6"/>
      <c r="S615" s="2"/>
      <c r="T615" s="2"/>
      <c r="U615" s="2"/>
      <c r="V615" s="2"/>
      <c r="W615" s="2"/>
    </row>
    <row r="616" spans="1:23" ht="12.75" customHeight="1">
      <c r="A616" s="2"/>
      <c r="B616" s="2"/>
      <c r="C616" s="2"/>
      <c r="D616" s="4"/>
      <c r="E616" s="4"/>
      <c r="F616" s="4"/>
      <c r="G616" s="3"/>
      <c r="H616" s="4"/>
      <c r="I616" s="3"/>
      <c r="J616" s="4"/>
      <c r="K616" s="3"/>
      <c r="L616" s="4"/>
      <c r="M616" s="5"/>
      <c r="N616" s="6"/>
      <c r="O616" s="3"/>
      <c r="P616" s="4"/>
      <c r="Q616" s="5"/>
      <c r="R616" s="6"/>
      <c r="S616" s="2"/>
      <c r="T616" s="2"/>
      <c r="U616" s="2"/>
      <c r="V616" s="2"/>
      <c r="W616" s="2"/>
    </row>
    <row r="617" spans="1:23" ht="12.75" customHeight="1">
      <c r="A617" s="2"/>
      <c r="B617" s="2"/>
      <c r="C617" s="2"/>
      <c r="D617" s="4"/>
      <c r="E617" s="4"/>
      <c r="F617" s="4"/>
      <c r="G617" s="3"/>
      <c r="H617" s="4"/>
      <c r="I617" s="3"/>
      <c r="J617" s="4"/>
      <c r="K617" s="3"/>
      <c r="L617" s="4"/>
      <c r="M617" s="5"/>
      <c r="N617" s="6"/>
      <c r="O617" s="3"/>
      <c r="P617" s="4"/>
      <c r="Q617" s="5"/>
      <c r="R617" s="6"/>
      <c r="S617" s="2"/>
      <c r="T617" s="2"/>
      <c r="U617" s="2"/>
      <c r="V617" s="2"/>
      <c r="W617" s="2"/>
    </row>
    <row r="618" spans="1:23" ht="12.75" customHeight="1">
      <c r="A618" s="2"/>
      <c r="B618" s="2"/>
      <c r="C618" s="2"/>
      <c r="D618" s="4"/>
      <c r="E618" s="4"/>
      <c r="F618" s="4"/>
      <c r="G618" s="3"/>
      <c r="H618" s="4"/>
      <c r="I618" s="3"/>
      <c r="J618" s="4"/>
      <c r="K618" s="3"/>
      <c r="L618" s="4"/>
      <c r="M618" s="5"/>
      <c r="N618" s="6"/>
      <c r="O618" s="3"/>
      <c r="P618" s="4"/>
      <c r="Q618" s="5"/>
      <c r="R618" s="6"/>
      <c r="S618" s="2"/>
      <c r="T618" s="2"/>
      <c r="U618" s="2"/>
      <c r="V618" s="2"/>
      <c r="W618" s="2"/>
    </row>
    <row r="619" spans="1:23" ht="12.75" customHeight="1">
      <c r="A619" s="2"/>
      <c r="B619" s="2"/>
      <c r="C619" s="2"/>
      <c r="D619" s="4"/>
      <c r="E619" s="4"/>
      <c r="F619" s="4"/>
      <c r="G619" s="3"/>
      <c r="H619" s="4"/>
      <c r="I619" s="3"/>
      <c r="J619" s="4"/>
      <c r="K619" s="3"/>
      <c r="L619" s="4"/>
      <c r="M619" s="5"/>
      <c r="N619" s="6"/>
      <c r="O619" s="3"/>
      <c r="P619" s="4"/>
      <c r="Q619" s="5"/>
      <c r="R619" s="6"/>
      <c r="S619" s="2"/>
      <c r="T619" s="2"/>
      <c r="U619" s="2"/>
      <c r="V619" s="2"/>
      <c r="W619" s="2"/>
    </row>
    <row r="620" spans="1:23" ht="12.75" customHeight="1">
      <c r="A620" s="2"/>
      <c r="B620" s="2"/>
      <c r="C620" s="2"/>
      <c r="D620" s="4"/>
      <c r="E620" s="4"/>
      <c r="F620" s="4"/>
      <c r="G620" s="3"/>
      <c r="H620" s="4"/>
      <c r="I620" s="3"/>
      <c r="J620" s="4"/>
      <c r="K620" s="3"/>
      <c r="L620" s="4"/>
      <c r="M620" s="5"/>
      <c r="N620" s="6"/>
      <c r="O620" s="3"/>
      <c r="P620" s="4"/>
      <c r="Q620" s="5"/>
      <c r="R620" s="6"/>
      <c r="S620" s="2"/>
      <c r="T620" s="2"/>
      <c r="U620" s="2"/>
      <c r="V620" s="2"/>
      <c r="W620" s="2"/>
    </row>
    <row r="621" spans="1:23" ht="12.75" customHeight="1">
      <c r="A621" s="2"/>
      <c r="B621" s="2"/>
      <c r="C621" s="2"/>
      <c r="D621" s="4"/>
      <c r="E621" s="4"/>
      <c r="F621" s="4"/>
      <c r="G621" s="3"/>
      <c r="H621" s="4"/>
      <c r="I621" s="3"/>
      <c r="J621" s="4"/>
      <c r="K621" s="3"/>
      <c r="L621" s="4"/>
      <c r="M621" s="5"/>
      <c r="N621" s="6"/>
      <c r="O621" s="3"/>
      <c r="P621" s="4"/>
      <c r="Q621" s="5"/>
      <c r="R621" s="6"/>
      <c r="S621" s="2"/>
      <c r="T621" s="2"/>
      <c r="U621" s="2"/>
      <c r="V621" s="2"/>
      <c r="W621" s="2"/>
    </row>
    <row r="622" spans="1:23" ht="12.75" customHeight="1">
      <c r="A622" s="2"/>
      <c r="B622" s="2"/>
      <c r="C622" s="2"/>
      <c r="D622" s="4"/>
      <c r="E622" s="4"/>
      <c r="F622" s="4"/>
      <c r="G622" s="3"/>
      <c r="H622" s="4"/>
      <c r="I622" s="3"/>
      <c r="J622" s="4"/>
      <c r="K622" s="3"/>
      <c r="L622" s="4"/>
      <c r="M622" s="5"/>
      <c r="N622" s="6"/>
      <c r="O622" s="3"/>
      <c r="P622" s="4"/>
      <c r="Q622" s="5"/>
      <c r="R622" s="6"/>
      <c r="S622" s="2"/>
      <c r="T622" s="2"/>
      <c r="U622" s="2"/>
      <c r="V622" s="2"/>
      <c r="W622" s="2"/>
    </row>
    <row r="623" spans="1:23" ht="12.75" customHeight="1">
      <c r="A623" s="2"/>
      <c r="B623" s="2"/>
      <c r="C623" s="2"/>
      <c r="D623" s="4"/>
      <c r="E623" s="4"/>
      <c r="F623" s="4"/>
      <c r="G623" s="3"/>
      <c r="H623" s="4"/>
      <c r="I623" s="3"/>
      <c r="J623" s="4"/>
      <c r="K623" s="3"/>
      <c r="L623" s="4"/>
      <c r="M623" s="5"/>
      <c r="N623" s="6"/>
      <c r="O623" s="3"/>
      <c r="P623" s="4"/>
      <c r="Q623" s="5"/>
      <c r="R623" s="6"/>
      <c r="S623" s="2"/>
      <c r="T623" s="2"/>
      <c r="U623" s="2"/>
      <c r="V623" s="2"/>
      <c r="W623" s="2"/>
    </row>
    <row r="624" spans="1:23" ht="12.75" customHeight="1">
      <c r="A624" s="2"/>
      <c r="B624" s="2"/>
      <c r="C624" s="2"/>
      <c r="D624" s="4"/>
      <c r="E624" s="4"/>
      <c r="F624" s="4"/>
      <c r="G624" s="3"/>
      <c r="H624" s="4"/>
      <c r="I624" s="3"/>
      <c r="J624" s="4"/>
      <c r="K624" s="3"/>
      <c r="L624" s="4"/>
      <c r="M624" s="5"/>
      <c r="N624" s="6"/>
      <c r="O624" s="3"/>
      <c r="P624" s="4"/>
      <c r="Q624" s="5"/>
      <c r="R624" s="6"/>
      <c r="S624" s="2"/>
      <c r="T624" s="2"/>
      <c r="U624" s="2"/>
      <c r="V624" s="2"/>
      <c r="W624" s="2"/>
    </row>
    <row r="625" spans="1:23" ht="12.75" customHeight="1">
      <c r="A625" s="2"/>
      <c r="B625" s="2"/>
      <c r="C625" s="2"/>
      <c r="D625" s="4"/>
      <c r="E625" s="4"/>
      <c r="F625" s="4"/>
      <c r="G625" s="3"/>
      <c r="H625" s="4"/>
      <c r="I625" s="3"/>
      <c r="J625" s="4"/>
      <c r="K625" s="3"/>
      <c r="L625" s="4"/>
      <c r="M625" s="5"/>
      <c r="N625" s="6"/>
      <c r="O625" s="3"/>
      <c r="P625" s="4"/>
      <c r="Q625" s="5"/>
      <c r="R625" s="6"/>
      <c r="S625" s="2"/>
      <c r="T625" s="2"/>
      <c r="U625" s="2"/>
      <c r="V625" s="2"/>
      <c r="W625" s="2"/>
    </row>
    <row r="626" spans="1:23" ht="12.75" customHeight="1">
      <c r="A626" s="2"/>
      <c r="B626" s="2"/>
      <c r="C626" s="2"/>
      <c r="D626" s="4"/>
      <c r="E626" s="4"/>
      <c r="F626" s="4"/>
      <c r="G626" s="3"/>
      <c r="H626" s="4"/>
      <c r="I626" s="3"/>
      <c r="J626" s="4"/>
      <c r="K626" s="3"/>
      <c r="L626" s="4"/>
      <c r="M626" s="5"/>
      <c r="N626" s="6"/>
      <c r="O626" s="3"/>
      <c r="P626" s="4"/>
      <c r="Q626" s="5"/>
      <c r="R626" s="6"/>
      <c r="S626" s="2"/>
      <c r="T626" s="2"/>
      <c r="U626" s="2"/>
      <c r="V626" s="2"/>
      <c r="W626" s="2"/>
    </row>
    <row r="627" spans="1:23" ht="12.75" customHeight="1">
      <c r="A627" s="2"/>
      <c r="B627" s="2"/>
      <c r="C627" s="2"/>
      <c r="D627" s="4"/>
      <c r="E627" s="4"/>
      <c r="F627" s="4"/>
      <c r="G627" s="3"/>
      <c r="H627" s="4"/>
      <c r="I627" s="3"/>
      <c r="J627" s="4"/>
      <c r="K627" s="3"/>
      <c r="L627" s="4"/>
      <c r="M627" s="5"/>
      <c r="N627" s="6"/>
      <c r="O627" s="3"/>
      <c r="P627" s="4"/>
      <c r="Q627" s="5"/>
      <c r="R627" s="6"/>
      <c r="S627" s="2"/>
      <c r="T627" s="2"/>
      <c r="U627" s="2"/>
      <c r="V627" s="2"/>
      <c r="W627" s="2"/>
    </row>
    <row r="628" spans="1:23" ht="12.75" customHeight="1">
      <c r="A628" s="2"/>
      <c r="B628" s="2"/>
      <c r="C628" s="2"/>
      <c r="D628" s="4"/>
      <c r="E628" s="4"/>
      <c r="F628" s="4"/>
      <c r="G628" s="3"/>
      <c r="H628" s="4"/>
      <c r="I628" s="3"/>
      <c r="J628" s="4"/>
      <c r="K628" s="3"/>
      <c r="L628" s="4"/>
      <c r="M628" s="5"/>
      <c r="N628" s="6"/>
      <c r="O628" s="3"/>
      <c r="P628" s="4"/>
      <c r="Q628" s="5"/>
      <c r="R628" s="6"/>
      <c r="S628" s="2"/>
      <c r="T628" s="2"/>
      <c r="U628" s="2"/>
      <c r="V628" s="2"/>
      <c r="W628" s="2"/>
    </row>
    <row r="629" spans="1:23" ht="12.75" customHeight="1">
      <c r="A629" s="2"/>
      <c r="B629" s="2"/>
      <c r="C629" s="2"/>
      <c r="D629" s="4"/>
      <c r="E629" s="4"/>
      <c r="F629" s="4"/>
      <c r="G629" s="3"/>
      <c r="H629" s="4"/>
      <c r="I629" s="3"/>
      <c r="J629" s="4"/>
      <c r="K629" s="3"/>
      <c r="L629" s="4"/>
      <c r="M629" s="5"/>
      <c r="N629" s="6"/>
      <c r="O629" s="3"/>
      <c r="P629" s="4"/>
      <c r="Q629" s="5"/>
      <c r="R629" s="6"/>
      <c r="S629" s="2"/>
      <c r="T629" s="2"/>
      <c r="U629" s="2"/>
      <c r="V629" s="2"/>
      <c r="W629" s="2"/>
    </row>
    <row r="630" spans="1:23" ht="12.75" customHeight="1">
      <c r="A630" s="2"/>
      <c r="B630" s="2"/>
      <c r="C630" s="2"/>
      <c r="D630" s="4"/>
      <c r="E630" s="4"/>
      <c r="F630" s="4"/>
      <c r="G630" s="3"/>
      <c r="H630" s="4"/>
      <c r="I630" s="3"/>
      <c r="J630" s="4"/>
      <c r="K630" s="3"/>
      <c r="L630" s="4"/>
      <c r="M630" s="5"/>
      <c r="N630" s="6"/>
      <c r="O630" s="3"/>
      <c r="P630" s="4"/>
      <c r="Q630" s="5"/>
      <c r="R630" s="6"/>
      <c r="S630" s="2"/>
      <c r="T630" s="2"/>
      <c r="U630" s="2"/>
      <c r="V630" s="2"/>
      <c r="W630" s="2"/>
    </row>
    <row r="631" spans="1:23" ht="12.75" customHeight="1">
      <c r="A631" s="2"/>
      <c r="B631" s="2"/>
      <c r="C631" s="2"/>
      <c r="D631" s="4"/>
      <c r="E631" s="4"/>
      <c r="F631" s="4"/>
      <c r="G631" s="3"/>
      <c r="H631" s="4"/>
      <c r="I631" s="3"/>
      <c r="J631" s="4"/>
      <c r="K631" s="3"/>
      <c r="L631" s="4"/>
      <c r="M631" s="5"/>
      <c r="N631" s="6"/>
      <c r="O631" s="3"/>
      <c r="P631" s="4"/>
      <c r="Q631" s="5"/>
      <c r="R631" s="6"/>
      <c r="S631" s="2"/>
      <c r="T631" s="2"/>
      <c r="U631" s="2"/>
      <c r="V631" s="2"/>
      <c r="W631" s="2"/>
    </row>
    <row r="632" spans="1:23" ht="12.75" customHeight="1">
      <c r="A632" s="2"/>
      <c r="B632" s="2"/>
      <c r="C632" s="2"/>
      <c r="D632" s="4"/>
      <c r="E632" s="4"/>
      <c r="F632" s="4"/>
      <c r="G632" s="3"/>
      <c r="H632" s="4"/>
      <c r="I632" s="3"/>
      <c r="J632" s="4"/>
      <c r="K632" s="3"/>
      <c r="L632" s="4"/>
      <c r="M632" s="5"/>
      <c r="N632" s="6"/>
      <c r="O632" s="3"/>
      <c r="P632" s="4"/>
      <c r="Q632" s="5"/>
      <c r="R632" s="6"/>
      <c r="S632" s="2"/>
      <c r="T632" s="2"/>
      <c r="U632" s="2"/>
      <c r="V632" s="2"/>
      <c r="W632" s="2"/>
    </row>
    <row r="633" spans="1:23" ht="12.75" customHeight="1">
      <c r="A633" s="2"/>
      <c r="B633" s="2"/>
      <c r="C633" s="2"/>
      <c r="D633" s="4"/>
      <c r="E633" s="4"/>
      <c r="F633" s="4"/>
      <c r="G633" s="3"/>
      <c r="H633" s="4"/>
      <c r="I633" s="3"/>
      <c r="J633" s="4"/>
      <c r="K633" s="3"/>
      <c r="L633" s="4"/>
      <c r="M633" s="5"/>
      <c r="N633" s="6"/>
      <c r="O633" s="3"/>
      <c r="P633" s="4"/>
      <c r="Q633" s="5"/>
      <c r="R633" s="6"/>
      <c r="S633" s="2"/>
      <c r="T633" s="2"/>
      <c r="U633" s="2"/>
      <c r="V633" s="2"/>
      <c r="W633" s="2"/>
    </row>
    <row r="634" spans="1:23" ht="12.75" customHeight="1">
      <c r="A634" s="2"/>
      <c r="B634" s="2"/>
      <c r="C634" s="2"/>
      <c r="D634" s="4"/>
      <c r="E634" s="4"/>
      <c r="F634" s="4"/>
      <c r="G634" s="3"/>
      <c r="H634" s="4"/>
      <c r="I634" s="3"/>
      <c r="J634" s="4"/>
      <c r="K634" s="3"/>
      <c r="L634" s="4"/>
      <c r="M634" s="5"/>
      <c r="N634" s="6"/>
      <c r="O634" s="3"/>
      <c r="P634" s="4"/>
      <c r="Q634" s="5"/>
      <c r="R634" s="6"/>
      <c r="S634" s="2"/>
      <c r="T634" s="2"/>
      <c r="U634" s="2"/>
      <c r="V634" s="2"/>
      <c r="W634" s="2"/>
    </row>
    <row r="635" spans="1:23" ht="12.75" customHeight="1">
      <c r="A635" s="2"/>
      <c r="B635" s="2"/>
      <c r="C635" s="2"/>
      <c r="D635" s="4"/>
      <c r="E635" s="4"/>
      <c r="F635" s="4"/>
      <c r="G635" s="3"/>
      <c r="H635" s="4"/>
      <c r="I635" s="3"/>
      <c r="J635" s="4"/>
      <c r="K635" s="3"/>
      <c r="L635" s="4"/>
      <c r="M635" s="5"/>
      <c r="N635" s="6"/>
      <c r="O635" s="3"/>
      <c r="P635" s="4"/>
      <c r="Q635" s="5"/>
      <c r="R635" s="6"/>
      <c r="S635" s="2"/>
      <c r="T635" s="2"/>
      <c r="U635" s="2"/>
      <c r="V635" s="2"/>
      <c r="W635" s="2"/>
    </row>
    <row r="636" spans="1:23" ht="12.75" customHeight="1">
      <c r="A636" s="2"/>
      <c r="B636" s="2"/>
      <c r="C636" s="2"/>
      <c r="D636" s="4"/>
      <c r="E636" s="4"/>
      <c r="F636" s="4"/>
      <c r="G636" s="3"/>
      <c r="H636" s="4"/>
      <c r="I636" s="3"/>
      <c r="J636" s="4"/>
      <c r="K636" s="3"/>
      <c r="L636" s="4"/>
      <c r="M636" s="5"/>
      <c r="N636" s="6"/>
      <c r="O636" s="3"/>
      <c r="P636" s="4"/>
      <c r="Q636" s="5"/>
      <c r="R636" s="6"/>
      <c r="S636" s="2"/>
      <c r="T636" s="2"/>
      <c r="U636" s="2"/>
      <c r="V636" s="2"/>
      <c r="W636" s="2"/>
    </row>
    <row r="637" spans="1:23" ht="12.75" customHeight="1">
      <c r="A637" s="2"/>
      <c r="B637" s="2"/>
      <c r="C637" s="2"/>
      <c r="D637" s="4"/>
      <c r="E637" s="4"/>
      <c r="F637" s="4"/>
      <c r="G637" s="3"/>
      <c r="H637" s="4"/>
      <c r="I637" s="3"/>
      <c r="J637" s="4"/>
      <c r="K637" s="3"/>
      <c r="L637" s="4"/>
      <c r="M637" s="5"/>
      <c r="N637" s="6"/>
      <c r="O637" s="3"/>
      <c r="P637" s="4"/>
      <c r="Q637" s="5"/>
      <c r="R637" s="6"/>
      <c r="S637" s="2"/>
      <c r="T637" s="2"/>
      <c r="U637" s="2"/>
      <c r="V637" s="2"/>
      <c r="W637" s="2"/>
    </row>
    <row r="638" spans="1:23" ht="12.75" customHeight="1">
      <c r="A638" s="2"/>
      <c r="B638" s="2"/>
      <c r="C638" s="2"/>
      <c r="D638" s="4"/>
      <c r="E638" s="4"/>
      <c r="F638" s="4"/>
      <c r="G638" s="3"/>
      <c r="H638" s="4"/>
      <c r="I638" s="3"/>
      <c r="J638" s="4"/>
      <c r="K638" s="3"/>
      <c r="L638" s="4"/>
      <c r="M638" s="5"/>
      <c r="N638" s="6"/>
      <c r="O638" s="3"/>
      <c r="P638" s="4"/>
      <c r="Q638" s="5"/>
      <c r="R638" s="6"/>
      <c r="S638" s="2"/>
      <c r="T638" s="2"/>
      <c r="U638" s="2"/>
      <c r="V638" s="2"/>
      <c r="W638" s="2"/>
    </row>
    <row r="639" spans="1:23" ht="12.75" customHeight="1">
      <c r="A639" s="2"/>
      <c r="B639" s="2"/>
      <c r="C639" s="2"/>
      <c r="D639" s="4"/>
      <c r="E639" s="4"/>
      <c r="F639" s="4"/>
      <c r="G639" s="3"/>
      <c r="H639" s="4"/>
      <c r="I639" s="3"/>
      <c r="J639" s="4"/>
      <c r="K639" s="3"/>
      <c r="L639" s="4"/>
      <c r="M639" s="5"/>
      <c r="N639" s="6"/>
      <c r="O639" s="3"/>
      <c r="P639" s="4"/>
      <c r="Q639" s="5"/>
      <c r="R639" s="6"/>
      <c r="S639" s="2"/>
      <c r="T639" s="2"/>
      <c r="U639" s="2"/>
      <c r="V639" s="2"/>
      <c r="W639" s="2"/>
    </row>
    <row r="640" spans="1:23" ht="12.75" customHeight="1">
      <c r="A640" s="2"/>
      <c r="B640" s="2"/>
      <c r="C640" s="2"/>
      <c r="D640" s="4"/>
      <c r="E640" s="4"/>
      <c r="F640" s="4"/>
      <c r="G640" s="3"/>
      <c r="H640" s="4"/>
      <c r="I640" s="3"/>
      <c r="J640" s="4"/>
      <c r="K640" s="3"/>
      <c r="L640" s="4"/>
      <c r="M640" s="5"/>
      <c r="N640" s="6"/>
      <c r="O640" s="3"/>
      <c r="P640" s="4"/>
      <c r="Q640" s="5"/>
      <c r="R640" s="6"/>
      <c r="S640" s="2"/>
      <c r="T640" s="2"/>
      <c r="U640" s="2"/>
      <c r="V640" s="2"/>
      <c r="W640" s="2"/>
    </row>
    <row r="641" spans="1:23" ht="12.75" customHeight="1">
      <c r="A641" s="2"/>
      <c r="B641" s="2"/>
      <c r="C641" s="2"/>
      <c r="D641" s="4"/>
      <c r="E641" s="4"/>
      <c r="F641" s="4"/>
      <c r="G641" s="3"/>
      <c r="H641" s="4"/>
      <c r="I641" s="3"/>
      <c r="J641" s="4"/>
      <c r="K641" s="3"/>
      <c r="L641" s="4"/>
      <c r="M641" s="5"/>
      <c r="N641" s="6"/>
      <c r="O641" s="3"/>
      <c r="P641" s="4"/>
      <c r="Q641" s="5"/>
      <c r="R641" s="6"/>
      <c r="S641" s="2"/>
      <c r="T641" s="2"/>
      <c r="U641" s="2"/>
      <c r="V641" s="2"/>
      <c r="W641" s="2"/>
    </row>
    <row r="642" spans="1:23" ht="12.75" customHeight="1">
      <c r="A642" s="2"/>
      <c r="B642" s="2"/>
      <c r="C642" s="2"/>
      <c r="D642" s="4"/>
      <c r="E642" s="4"/>
      <c r="F642" s="4"/>
      <c r="G642" s="3"/>
      <c r="H642" s="4"/>
      <c r="I642" s="3"/>
      <c r="J642" s="4"/>
      <c r="K642" s="3"/>
      <c r="L642" s="4"/>
      <c r="M642" s="5"/>
      <c r="N642" s="6"/>
      <c r="O642" s="3"/>
      <c r="P642" s="4"/>
      <c r="Q642" s="5"/>
      <c r="R642" s="6"/>
      <c r="S642" s="2"/>
      <c r="T642" s="2"/>
      <c r="U642" s="2"/>
      <c r="V642" s="2"/>
      <c r="W642" s="2"/>
    </row>
    <row r="643" spans="1:23" ht="12.75" customHeight="1">
      <c r="A643" s="2"/>
      <c r="B643" s="2"/>
      <c r="C643" s="2"/>
      <c r="D643" s="4"/>
      <c r="E643" s="4"/>
      <c r="F643" s="4"/>
      <c r="G643" s="3"/>
      <c r="H643" s="4"/>
      <c r="I643" s="3"/>
      <c r="J643" s="4"/>
      <c r="K643" s="3"/>
      <c r="L643" s="4"/>
      <c r="M643" s="5"/>
      <c r="N643" s="6"/>
      <c r="O643" s="3"/>
      <c r="P643" s="4"/>
      <c r="Q643" s="5"/>
      <c r="R643" s="6"/>
      <c r="S643" s="2"/>
      <c r="T643" s="2"/>
      <c r="U643" s="2"/>
      <c r="V643" s="2"/>
      <c r="W643" s="2"/>
    </row>
    <row r="644" spans="1:23" ht="12.75" customHeight="1">
      <c r="A644" s="2"/>
      <c r="B644" s="2"/>
      <c r="C644" s="2"/>
      <c r="D644" s="4"/>
      <c r="E644" s="4"/>
      <c r="F644" s="4"/>
      <c r="G644" s="3"/>
      <c r="H644" s="4"/>
      <c r="I644" s="3"/>
      <c r="J644" s="4"/>
      <c r="K644" s="3"/>
      <c r="L644" s="4"/>
      <c r="M644" s="5"/>
      <c r="N644" s="6"/>
      <c r="O644" s="3"/>
      <c r="P644" s="4"/>
      <c r="Q644" s="5"/>
      <c r="R644" s="6"/>
      <c r="S644" s="2"/>
      <c r="T644" s="2"/>
      <c r="U644" s="2"/>
      <c r="V644" s="2"/>
      <c r="W644" s="2"/>
    </row>
    <row r="645" spans="1:23" ht="12.75" customHeight="1">
      <c r="A645" s="2"/>
      <c r="B645" s="2"/>
      <c r="C645" s="2"/>
      <c r="D645" s="4"/>
      <c r="E645" s="4"/>
      <c r="F645" s="4"/>
      <c r="G645" s="3"/>
      <c r="H645" s="4"/>
      <c r="I645" s="3"/>
      <c r="J645" s="4"/>
      <c r="K645" s="3"/>
      <c r="L645" s="4"/>
      <c r="M645" s="5"/>
      <c r="N645" s="6"/>
      <c r="O645" s="3"/>
      <c r="P645" s="4"/>
      <c r="Q645" s="5"/>
      <c r="R645" s="6"/>
      <c r="S645" s="2"/>
      <c r="T645" s="2"/>
      <c r="U645" s="2"/>
      <c r="V645" s="2"/>
      <c r="W645" s="2"/>
    </row>
    <row r="646" spans="1:23" ht="12.75" customHeight="1">
      <c r="A646" s="2"/>
      <c r="B646" s="2"/>
      <c r="C646" s="2"/>
      <c r="D646" s="4"/>
      <c r="E646" s="4"/>
      <c r="F646" s="4"/>
      <c r="G646" s="3"/>
      <c r="H646" s="4"/>
      <c r="I646" s="3"/>
      <c r="J646" s="4"/>
      <c r="K646" s="3"/>
      <c r="L646" s="4"/>
      <c r="M646" s="5"/>
      <c r="N646" s="6"/>
      <c r="O646" s="3"/>
      <c r="P646" s="4"/>
      <c r="Q646" s="5"/>
      <c r="R646" s="6"/>
      <c r="S646" s="2"/>
      <c r="T646" s="2"/>
      <c r="U646" s="2"/>
      <c r="V646" s="2"/>
      <c r="W646" s="2"/>
    </row>
    <row r="647" spans="1:23" ht="12.75" customHeight="1">
      <c r="A647" s="2"/>
      <c r="B647" s="2"/>
      <c r="C647" s="2"/>
      <c r="D647" s="4"/>
      <c r="E647" s="4"/>
      <c r="F647" s="4"/>
      <c r="G647" s="3"/>
      <c r="H647" s="4"/>
      <c r="I647" s="3"/>
      <c r="J647" s="4"/>
      <c r="K647" s="3"/>
      <c r="L647" s="4"/>
      <c r="M647" s="5"/>
      <c r="N647" s="6"/>
      <c r="O647" s="3"/>
      <c r="P647" s="4"/>
      <c r="Q647" s="5"/>
      <c r="R647" s="6"/>
      <c r="S647" s="2"/>
      <c r="T647" s="2"/>
      <c r="U647" s="2"/>
      <c r="V647" s="2"/>
      <c r="W647" s="2"/>
    </row>
    <row r="648" spans="1:23" ht="12.75" customHeight="1">
      <c r="A648" s="2"/>
      <c r="B648" s="2"/>
      <c r="C648" s="2"/>
      <c r="D648" s="4"/>
      <c r="E648" s="4"/>
      <c r="F648" s="4"/>
      <c r="G648" s="3"/>
      <c r="H648" s="4"/>
      <c r="I648" s="3"/>
      <c r="J648" s="4"/>
      <c r="K648" s="3"/>
      <c r="L648" s="4"/>
      <c r="M648" s="5"/>
      <c r="N648" s="6"/>
      <c r="O648" s="3"/>
      <c r="P648" s="4"/>
      <c r="Q648" s="5"/>
      <c r="R648" s="6"/>
      <c r="S648" s="2"/>
      <c r="T648" s="2"/>
      <c r="U648" s="2"/>
      <c r="V648" s="2"/>
      <c r="W648" s="2"/>
    </row>
    <row r="649" spans="1:23" ht="12.75" customHeight="1">
      <c r="A649" s="2"/>
      <c r="B649" s="2"/>
      <c r="C649" s="2"/>
      <c r="D649" s="4"/>
      <c r="E649" s="4"/>
      <c r="F649" s="4"/>
      <c r="G649" s="3"/>
      <c r="H649" s="4"/>
      <c r="I649" s="3"/>
      <c r="J649" s="4"/>
      <c r="K649" s="3"/>
      <c r="L649" s="4"/>
      <c r="M649" s="5"/>
      <c r="N649" s="6"/>
      <c r="O649" s="3"/>
      <c r="P649" s="4"/>
      <c r="Q649" s="5"/>
      <c r="R649" s="6"/>
      <c r="S649" s="2"/>
      <c r="T649" s="2"/>
      <c r="U649" s="2"/>
      <c r="V649" s="2"/>
      <c r="W649" s="2"/>
    </row>
    <row r="650" spans="1:23" ht="12.75" customHeight="1">
      <c r="A650" s="2"/>
      <c r="B650" s="2"/>
      <c r="C650" s="2"/>
      <c r="D650" s="4"/>
      <c r="E650" s="4"/>
      <c r="F650" s="4"/>
      <c r="G650" s="3"/>
      <c r="H650" s="4"/>
      <c r="I650" s="3"/>
      <c r="J650" s="4"/>
      <c r="K650" s="3"/>
      <c r="L650" s="4"/>
      <c r="M650" s="5"/>
      <c r="N650" s="6"/>
      <c r="O650" s="3"/>
      <c r="P650" s="4"/>
      <c r="Q650" s="5"/>
      <c r="R650" s="6"/>
      <c r="S650" s="2"/>
      <c r="T650" s="2"/>
      <c r="U650" s="2"/>
      <c r="V650" s="2"/>
      <c r="W650" s="2"/>
    </row>
    <row r="651" spans="1:23" ht="12.75" customHeight="1">
      <c r="A651" s="2"/>
      <c r="B651" s="2"/>
      <c r="C651" s="2"/>
      <c r="D651" s="4"/>
      <c r="E651" s="4"/>
      <c r="F651" s="4"/>
      <c r="G651" s="3"/>
      <c r="H651" s="4"/>
      <c r="I651" s="3"/>
      <c r="J651" s="4"/>
      <c r="K651" s="3"/>
      <c r="L651" s="4"/>
      <c r="M651" s="5"/>
      <c r="N651" s="6"/>
      <c r="O651" s="3"/>
      <c r="P651" s="4"/>
      <c r="Q651" s="5"/>
      <c r="R651" s="6"/>
      <c r="S651" s="2"/>
      <c r="T651" s="2"/>
      <c r="U651" s="2"/>
      <c r="V651" s="2"/>
      <c r="W651" s="2"/>
    </row>
    <row r="652" spans="1:23" ht="12.75" customHeight="1">
      <c r="A652" s="2"/>
      <c r="B652" s="2"/>
      <c r="C652" s="2"/>
      <c r="D652" s="4"/>
      <c r="E652" s="4"/>
      <c r="F652" s="4"/>
      <c r="G652" s="3"/>
      <c r="H652" s="4"/>
      <c r="I652" s="3"/>
      <c r="J652" s="4"/>
      <c r="K652" s="3"/>
      <c r="L652" s="4"/>
      <c r="M652" s="5"/>
      <c r="N652" s="6"/>
      <c r="O652" s="3"/>
      <c r="P652" s="4"/>
      <c r="Q652" s="5"/>
      <c r="R652" s="6"/>
      <c r="S652" s="2"/>
      <c r="T652" s="2"/>
      <c r="U652" s="2"/>
      <c r="V652" s="2"/>
      <c r="W652" s="2"/>
    </row>
    <row r="653" spans="1:23" ht="12.75" customHeight="1">
      <c r="A653" s="2"/>
      <c r="B653" s="2"/>
      <c r="C653" s="2"/>
      <c r="D653" s="4"/>
      <c r="E653" s="4"/>
      <c r="F653" s="4"/>
      <c r="G653" s="3"/>
      <c r="H653" s="4"/>
      <c r="I653" s="3"/>
      <c r="J653" s="4"/>
      <c r="K653" s="3"/>
      <c r="L653" s="4"/>
      <c r="M653" s="5"/>
      <c r="N653" s="6"/>
      <c r="O653" s="3"/>
      <c r="P653" s="4"/>
      <c r="Q653" s="5"/>
      <c r="R653" s="6"/>
      <c r="S653" s="2"/>
      <c r="T653" s="2"/>
      <c r="U653" s="2"/>
      <c r="V653" s="2"/>
      <c r="W653" s="2"/>
    </row>
    <row r="654" spans="1:23" ht="12.75" customHeight="1">
      <c r="A654" s="2"/>
      <c r="B654" s="2"/>
      <c r="C654" s="2"/>
      <c r="D654" s="4"/>
      <c r="E654" s="4"/>
      <c r="F654" s="4"/>
      <c r="G654" s="3"/>
      <c r="H654" s="4"/>
      <c r="I654" s="3"/>
      <c r="J654" s="4"/>
      <c r="K654" s="3"/>
      <c r="L654" s="4"/>
      <c r="M654" s="5"/>
      <c r="N654" s="6"/>
      <c r="O654" s="3"/>
      <c r="P654" s="4"/>
      <c r="Q654" s="5"/>
      <c r="R654" s="6"/>
      <c r="S654" s="2"/>
      <c r="T654" s="2"/>
      <c r="U654" s="2"/>
      <c r="V654" s="2"/>
      <c r="W654" s="2"/>
    </row>
    <row r="655" spans="1:23" ht="12.75" customHeight="1">
      <c r="A655" s="2"/>
      <c r="B655" s="2"/>
      <c r="C655" s="2"/>
      <c r="D655" s="4"/>
      <c r="E655" s="4"/>
      <c r="F655" s="4"/>
      <c r="G655" s="3"/>
      <c r="H655" s="4"/>
      <c r="I655" s="3"/>
      <c r="J655" s="4"/>
      <c r="K655" s="3"/>
      <c r="L655" s="4"/>
      <c r="M655" s="5"/>
      <c r="N655" s="6"/>
      <c r="O655" s="3"/>
      <c r="P655" s="4"/>
      <c r="Q655" s="5"/>
      <c r="R655" s="6"/>
      <c r="S655" s="2"/>
      <c r="T655" s="2"/>
      <c r="U655" s="2"/>
      <c r="V655" s="2"/>
      <c r="W655" s="2"/>
    </row>
    <row r="656" spans="1:23" ht="12.75" customHeight="1">
      <c r="A656" s="2"/>
      <c r="B656" s="2"/>
      <c r="C656" s="2"/>
      <c r="D656" s="4"/>
      <c r="E656" s="4"/>
      <c r="F656" s="4"/>
      <c r="G656" s="3"/>
      <c r="H656" s="4"/>
      <c r="I656" s="3"/>
      <c r="J656" s="4"/>
      <c r="K656" s="3"/>
      <c r="L656" s="4"/>
      <c r="M656" s="5"/>
      <c r="N656" s="6"/>
      <c r="O656" s="3"/>
      <c r="P656" s="4"/>
      <c r="Q656" s="5"/>
      <c r="R656" s="6"/>
      <c r="S656" s="2"/>
      <c r="T656" s="2"/>
      <c r="U656" s="2"/>
      <c r="V656" s="2"/>
      <c r="W656" s="2"/>
    </row>
    <row r="657" spans="1:23" ht="12.75" customHeight="1">
      <c r="A657" s="2"/>
      <c r="B657" s="2"/>
      <c r="C657" s="2"/>
      <c r="D657" s="4"/>
      <c r="E657" s="4"/>
      <c r="F657" s="4"/>
      <c r="G657" s="3"/>
      <c r="H657" s="4"/>
      <c r="I657" s="3"/>
      <c r="J657" s="4"/>
      <c r="K657" s="3"/>
      <c r="L657" s="4"/>
      <c r="M657" s="5"/>
      <c r="N657" s="6"/>
      <c r="O657" s="3"/>
      <c r="P657" s="4"/>
      <c r="Q657" s="5"/>
      <c r="R657" s="6"/>
      <c r="S657" s="2"/>
      <c r="T657" s="2"/>
      <c r="U657" s="2"/>
      <c r="V657" s="2"/>
      <c r="W657" s="2"/>
    </row>
    <row r="658" spans="1:23" ht="12.75" customHeight="1">
      <c r="A658" s="2"/>
      <c r="B658" s="2"/>
      <c r="C658" s="2"/>
      <c r="D658" s="4"/>
      <c r="E658" s="4"/>
      <c r="F658" s="4"/>
      <c r="G658" s="3"/>
      <c r="H658" s="4"/>
      <c r="I658" s="3"/>
      <c r="J658" s="4"/>
      <c r="K658" s="3"/>
      <c r="L658" s="4"/>
      <c r="M658" s="5"/>
      <c r="N658" s="6"/>
      <c r="O658" s="3"/>
      <c r="P658" s="4"/>
      <c r="Q658" s="5"/>
      <c r="R658" s="6"/>
      <c r="S658" s="2"/>
      <c r="T658" s="2"/>
      <c r="U658" s="2"/>
      <c r="V658" s="2"/>
      <c r="W658" s="2"/>
    </row>
    <row r="659" spans="1:23" ht="12.75" customHeight="1">
      <c r="A659" s="2"/>
      <c r="B659" s="2"/>
      <c r="C659" s="2"/>
      <c r="D659" s="4"/>
      <c r="E659" s="4"/>
      <c r="F659" s="4"/>
      <c r="G659" s="3"/>
      <c r="H659" s="4"/>
      <c r="I659" s="3"/>
      <c r="J659" s="4"/>
      <c r="K659" s="3"/>
      <c r="L659" s="4"/>
      <c r="M659" s="5"/>
      <c r="N659" s="6"/>
      <c r="O659" s="3"/>
      <c r="P659" s="4"/>
      <c r="Q659" s="5"/>
      <c r="R659" s="6"/>
      <c r="S659" s="2"/>
      <c r="T659" s="2"/>
      <c r="U659" s="2"/>
      <c r="V659" s="2"/>
      <c r="W659" s="2"/>
    </row>
    <row r="660" spans="1:23" ht="12.75" customHeight="1">
      <c r="A660" s="2"/>
      <c r="B660" s="2"/>
      <c r="C660" s="2"/>
      <c r="D660" s="4"/>
      <c r="E660" s="4"/>
      <c r="F660" s="4"/>
      <c r="G660" s="3"/>
      <c r="H660" s="4"/>
      <c r="I660" s="3"/>
      <c r="J660" s="4"/>
      <c r="K660" s="3"/>
      <c r="L660" s="4"/>
      <c r="M660" s="5"/>
      <c r="N660" s="6"/>
      <c r="O660" s="3"/>
      <c r="P660" s="4"/>
      <c r="Q660" s="5"/>
      <c r="R660" s="6"/>
      <c r="S660" s="2"/>
      <c r="T660" s="2"/>
      <c r="U660" s="2"/>
      <c r="V660" s="2"/>
      <c r="W660" s="2"/>
    </row>
    <row r="661" spans="1:23" ht="12.75" customHeight="1">
      <c r="A661" s="2"/>
      <c r="B661" s="2"/>
      <c r="C661" s="2"/>
      <c r="D661" s="4"/>
      <c r="E661" s="4"/>
      <c r="F661" s="4"/>
      <c r="G661" s="3"/>
      <c r="H661" s="4"/>
      <c r="I661" s="3"/>
      <c r="J661" s="4"/>
      <c r="K661" s="3"/>
      <c r="L661" s="4"/>
      <c r="M661" s="5"/>
      <c r="N661" s="6"/>
      <c r="O661" s="3"/>
      <c r="P661" s="4"/>
      <c r="Q661" s="5"/>
      <c r="R661" s="6"/>
      <c r="S661" s="2"/>
      <c r="T661" s="2"/>
      <c r="U661" s="2"/>
      <c r="V661" s="2"/>
      <c r="W661" s="2"/>
    </row>
    <row r="662" spans="1:23" ht="12.75" customHeight="1">
      <c r="A662" s="2"/>
      <c r="B662" s="2"/>
      <c r="C662" s="2"/>
      <c r="D662" s="4"/>
      <c r="E662" s="4"/>
      <c r="F662" s="4"/>
      <c r="G662" s="3"/>
      <c r="H662" s="4"/>
      <c r="I662" s="3"/>
      <c r="J662" s="4"/>
      <c r="K662" s="3"/>
      <c r="L662" s="4"/>
      <c r="M662" s="5"/>
      <c r="N662" s="6"/>
      <c r="O662" s="3"/>
      <c r="P662" s="4"/>
      <c r="Q662" s="5"/>
      <c r="R662" s="6"/>
      <c r="S662" s="2"/>
      <c r="T662" s="2"/>
      <c r="U662" s="2"/>
      <c r="V662" s="2"/>
      <c r="W662" s="2"/>
    </row>
    <row r="663" spans="1:23" ht="12.75" customHeight="1">
      <c r="A663" s="2"/>
      <c r="B663" s="2"/>
      <c r="C663" s="2"/>
      <c r="D663" s="4"/>
      <c r="E663" s="4"/>
      <c r="F663" s="4"/>
      <c r="G663" s="3"/>
      <c r="H663" s="4"/>
      <c r="I663" s="3"/>
      <c r="J663" s="4"/>
      <c r="K663" s="3"/>
      <c r="L663" s="4"/>
      <c r="M663" s="5"/>
      <c r="N663" s="6"/>
      <c r="O663" s="3"/>
      <c r="P663" s="4"/>
      <c r="Q663" s="5"/>
      <c r="R663" s="6"/>
      <c r="S663" s="2"/>
      <c r="T663" s="2"/>
      <c r="U663" s="2"/>
      <c r="V663" s="2"/>
      <c r="W663" s="2"/>
    </row>
    <row r="664" spans="1:23" ht="12.75" customHeight="1">
      <c r="A664" s="2"/>
      <c r="B664" s="2"/>
      <c r="C664" s="2"/>
      <c r="D664" s="4"/>
      <c r="E664" s="4"/>
      <c r="F664" s="4"/>
      <c r="G664" s="3"/>
      <c r="H664" s="4"/>
      <c r="I664" s="3"/>
      <c r="J664" s="4"/>
      <c r="K664" s="3"/>
      <c r="L664" s="4"/>
      <c r="M664" s="5"/>
      <c r="N664" s="6"/>
      <c r="O664" s="3"/>
      <c r="P664" s="4"/>
      <c r="Q664" s="5"/>
      <c r="R664" s="6"/>
      <c r="S664" s="2"/>
      <c r="T664" s="2"/>
      <c r="U664" s="2"/>
      <c r="V664" s="2"/>
      <c r="W664" s="2"/>
    </row>
    <row r="665" spans="1:23" ht="12.75" customHeight="1">
      <c r="A665" s="2"/>
      <c r="B665" s="2"/>
      <c r="C665" s="2"/>
      <c r="D665" s="4"/>
      <c r="E665" s="4"/>
      <c r="F665" s="4"/>
      <c r="G665" s="3"/>
      <c r="H665" s="4"/>
      <c r="I665" s="3"/>
      <c r="J665" s="4"/>
      <c r="K665" s="3"/>
      <c r="L665" s="4"/>
      <c r="M665" s="5"/>
      <c r="N665" s="6"/>
      <c r="O665" s="3"/>
      <c r="P665" s="4"/>
      <c r="Q665" s="5"/>
      <c r="R665" s="6"/>
      <c r="S665" s="2"/>
      <c r="T665" s="2"/>
      <c r="U665" s="2"/>
      <c r="V665" s="2"/>
      <c r="W665" s="2"/>
    </row>
    <row r="666" spans="1:23" ht="12.75" customHeight="1">
      <c r="A666" s="2"/>
      <c r="B666" s="2"/>
      <c r="C666" s="2"/>
      <c r="D666" s="4"/>
      <c r="E666" s="4"/>
      <c r="F666" s="4"/>
      <c r="G666" s="3"/>
      <c r="H666" s="4"/>
      <c r="I666" s="3"/>
      <c r="J666" s="4"/>
      <c r="K666" s="3"/>
      <c r="L666" s="4"/>
      <c r="M666" s="5"/>
      <c r="N666" s="6"/>
      <c r="O666" s="3"/>
      <c r="P666" s="4"/>
      <c r="Q666" s="5"/>
      <c r="R666" s="6"/>
      <c r="S666" s="2"/>
      <c r="T666" s="2"/>
      <c r="U666" s="2"/>
      <c r="V666" s="2"/>
      <c r="W666" s="2"/>
    </row>
    <row r="667" spans="1:23" ht="12.75" customHeight="1">
      <c r="A667" s="2"/>
      <c r="B667" s="2"/>
      <c r="C667" s="2"/>
      <c r="D667" s="4"/>
      <c r="E667" s="4"/>
      <c r="F667" s="4"/>
      <c r="G667" s="3"/>
      <c r="H667" s="4"/>
      <c r="I667" s="3"/>
      <c r="J667" s="4"/>
      <c r="K667" s="3"/>
      <c r="L667" s="4"/>
      <c r="M667" s="5"/>
      <c r="N667" s="6"/>
      <c r="O667" s="3"/>
      <c r="P667" s="4"/>
      <c r="Q667" s="5"/>
      <c r="R667" s="6"/>
      <c r="S667" s="2"/>
      <c r="T667" s="2"/>
      <c r="U667" s="2"/>
      <c r="V667" s="2"/>
      <c r="W667" s="2"/>
    </row>
    <row r="668" spans="1:23" ht="12.75" customHeight="1">
      <c r="A668" s="2"/>
      <c r="B668" s="2"/>
      <c r="C668" s="2"/>
      <c r="D668" s="4"/>
      <c r="E668" s="4"/>
      <c r="F668" s="4"/>
      <c r="G668" s="3"/>
      <c r="H668" s="4"/>
      <c r="I668" s="3"/>
      <c r="J668" s="4"/>
      <c r="K668" s="3"/>
      <c r="L668" s="4"/>
      <c r="M668" s="5"/>
      <c r="N668" s="6"/>
      <c r="O668" s="3"/>
      <c r="P668" s="4"/>
      <c r="Q668" s="5"/>
      <c r="R668" s="6"/>
      <c r="S668" s="2"/>
      <c r="T668" s="2"/>
      <c r="U668" s="2"/>
      <c r="V668" s="2"/>
      <c r="W668" s="2"/>
    </row>
    <row r="669" spans="1:23" ht="12.75" customHeight="1">
      <c r="A669" s="2"/>
      <c r="B669" s="2"/>
      <c r="C669" s="2"/>
      <c r="D669" s="4"/>
      <c r="E669" s="4"/>
      <c r="F669" s="4"/>
      <c r="G669" s="3"/>
      <c r="H669" s="4"/>
      <c r="I669" s="3"/>
      <c r="J669" s="4"/>
      <c r="K669" s="3"/>
      <c r="L669" s="4"/>
      <c r="M669" s="5"/>
      <c r="N669" s="6"/>
      <c r="O669" s="3"/>
      <c r="P669" s="4"/>
      <c r="Q669" s="5"/>
      <c r="R669" s="6"/>
      <c r="S669" s="2"/>
      <c r="T669" s="2"/>
      <c r="U669" s="2"/>
      <c r="V669" s="2"/>
      <c r="W669" s="2"/>
    </row>
    <row r="670" spans="1:23" ht="12.75" customHeight="1">
      <c r="A670" s="2"/>
      <c r="B670" s="2"/>
      <c r="C670" s="2"/>
      <c r="D670" s="4"/>
      <c r="E670" s="4"/>
      <c r="F670" s="4"/>
      <c r="G670" s="3"/>
      <c r="H670" s="4"/>
      <c r="I670" s="3"/>
      <c r="J670" s="4"/>
      <c r="K670" s="3"/>
      <c r="L670" s="4"/>
      <c r="M670" s="5"/>
      <c r="N670" s="6"/>
      <c r="O670" s="3"/>
      <c r="P670" s="4"/>
      <c r="Q670" s="5"/>
      <c r="R670" s="6"/>
      <c r="S670" s="2"/>
      <c r="T670" s="2"/>
      <c r="U670" s="2"/>
      <c r="V670" s="2"/>
      <c r="W670" s="2"/>
    </row>
    <row r="671" spans="1:23" ht="12.75" customHeight="1">
      <c r="A671" s="2"/>
      <c r="B671" s="2"/>
      <c r="C671" s="2"/>
      <c r="D671" s="4"/>
      <c r="E671" s="4"/>
      <c r="F671" s="4"/>
      <c r="G671" s="3"/>
      <c r="H671" s="4"/>
      <c r="I671" s="3"/>
      <c r="J671" s="4"/>
      <c r="K671" s="3"/>
      <c r="L671" s="4"/>
      <c r="M671" s="5"/>
      <c r="N671" s="6"/>
      <c r="O671" s="3"/>
      <c r="P671" s="4"/>
      <c r="Q671" s="5"/>
      <c r="R671" s="6"/>
      <c r="S671" s="2"/>
      <c r="T671" s="2"/>
      <c r="U671" s="2"/>
      <c r="V671" s="2"/>
      <c r="W671" s="2"/>
    </row>
    <row r="672" spans="1:23" ht="12.75" customHeight="1">
      <c r="A672" s="2"/>
      <c r="B672" s="2"/>
      <c r="C672" s="2"/>
      <c r="D672" s="4"/>
      <c r="E672" s="4"/>
      <c r="F672" s="4"/>
      <c r="G672" s="3"/>
      <c r="H672" s="4"/>
      <c r="I672" s="3"/>
      <c r="J672" s="4"/>
      <c r="K672" s="3"/>
      <c r="L672" s="4"/>
      <c r="M672" s="5"/>
      <c r="N672" s="6"/>
      <c r="O672" s="3"/>
      <c r="P672" s="4"/>
      <c r="Q672" s="5"/>
      <c r="R672" s="6"/>
      <c r="S672" s="2"/>
      <c r="T672" s="2"/>
      <c r="U672" s="2"/>
      <c r="V672" s="2"/>
      <c r="W672" s="2"/>
    </row>
    <row r="673" spans="1:23" ht="12.75" customHeight="1">
      <c r="A673" s="2"/>
      <c r="B673" s="2"/>
      <c r="C673" s="2"/>
      <c r="D673" s="4"/>
      <c r="E673" s="4"/>
      <c r="F673" s="4"/>
      <c r="G673" s="3"/>
      <c r="H673" s="4"/>
      <c r="I673" s="3"/>
      <c r="J673" s="4"/>
      <c r="K673" s="3"/>
      <c r="L673" s="4"/>
      <c r="M673" s="5"/>
      <c r="N673" s="6"/>
      <c r="O673" s="3"/>
      <c r="P673" s="4"/>
      <c r="Q673" s="5"/>
      <c r="R673" s="6"/>
      <c r="S673" s="2"/>
      <c r="T673" s="2"/>
      <c r="U673" s="2"/>
      <c r="V673" s="2"/>
      <c r="W673" s="2"/>
    </row>
    <row r="674" spans="1:23" ht="12.75" customHeight="1">
      <c r="A674" s="2"/>
      <c r="B674" s="2"/>
      <c r="C674" s="2"/>
      <c r="D674" s="4"/>
      <c r="E674" s="4"/>
      <c r="F674" s="4"/>
      <c r="G674" s="3"/>
      <c r="H674" s="4"/>
      <c r="I674" s="3"/>
      <c r="J674" s="4"/>
      <c r="K674" s="3"/>
      <c r="L674" s="4"/>
      <c r="M674" s="5"/>
      <c r="N674" s="6"/>
      <c r="O674" s="3"/>
      <c r="P674" s="4"/>
      <c r="Q674" s="5"/>
      <c r="R674" s="6"/>
      <c r="S674" s="2"/>
      <c r="T674" s="2"/>
      <c r="U674" s="2"/>
      <c r="V674" s="2"/>
      <c r="W674" s="2"/>
    </row>
    <row r="675" spans="1:23" ht="12.75" customHeight="1">
      <c r="A675" s="2"/>
      <c r="B675" s="2"/>
      <c r="C675" s="2"/>
      <c r="D675" s="4"/>
      <c r="E675" s="4"/>
      <c r="F675" s="4"/>
      <c r="G675" s="3"/>
      <c r="H675" s="4"/>
      <c r="I675" s="3"/>
      <c r="J675" s="4"/>
      <c r="K675" s="3"/>
      <c r="L675" s="4"/>
      <c r="M675" s="5"/>
      <c r="N675" s="6"/>
      <c r="O675" s="3"/>
      <c r="P675" s="4"/>
      <c r="Q675" s="5"/>
      <c r="R675" s="6"/>
      <c r="S675" s="2"/>
      <c r="T675" s="2"/>
      <c r="U675" s="2"/>
      <c r="V675" s="2"/>
      <c r="W675" s="2"/>
    </row>
    <row r="676" spans="1:23" ht="12.75" customHeight="1">
      <c r="A676" s="2"/>
      <c r="B676" s="2"/>
      <c r="C676" s="2"/>
      <c r="D676" s="4"/>
      <c r="E676" s="4"/>
      <c r="F676" s="4"/>
      <c r="G676" s="3"/>
      <c r="H676" s="4"/>
      <c r="I676" s="3"/>
      <c r="J676" s="4"/>
      <c r="K676" s="3"/>
      <c r="L676" s="4"/>
      <c r="M676" s="5"/>
      <c r="N676" s="6"/>
      <c r="O676" s="3"/>
      <c r="P676" s="4"/>
      <c r="Q676" s="5"/>
      <c r="R676" s="6"/>
      <c r="S676" s="2"/>
      <c r="T676" s="2"/>
      <c r="U676" s="2"/>
      <c r="V676" s="2"/>
      <c r="W676" s="2"/>
    </row>
    <row r="677" spans="1:23" ht="12.75" customHeight="1">
      <c r="A677" s="2"/>
      <c r="B677" s="2"/>
      <c r="C677" s="2"/>
      <c r="D677" s="4"/>
      <c r="E677" s="4"/>
      <c r="F677" s="4"/>
      <c r="G677" s="3"/>
      <c r="H677" s="4"/>
      <c r="I677" s="3"/>
      <c r="J677" s="4"/>
      <c r="K677" s="3"/>
      <c r="L677" s="4"/>
      <c r="M677" s="5"/>
      <c r="N677" s="6"/>
      <c r="O677" s="3"/>
      <c r="P677" s="4"/>
      <c r="Q677" s="5"/>
      <c r="R677" s="6"/>
      <c r="S677" s="2"/>
      <c r="T677" s="2"/>
      <c r="U677" s="2"/>
      <c r="V677" s="2"/>
      <c r="W677" s="2"/>
    </row>
    <row r="678" spans="1:23" ht="12.75" customHeight="1">
      <c r="A678" s="2"/>
      <c r="B678" s="2"/>
      <c r="C678" s="2"/>
      <c r="D678" s="4"/>
      <c r="E678" s="4"/>
      <c r="F678" s="4"/>
      <c r="G678" s="3"/>
      <c r="H678" s="4"/>
      <c r="I678" s="3"/>
      <c r="J678" s="4"/>
      <c r="K678" s="3"/>
      <c r="L678" s="4"/>
      <c r="M678" s="5"/>
      <c r="N678" s="6"/>
      <c r="O678" s="3"/>
      <c r="P678" s="4"/>
      <c r="Q678" s="5"/>
      <c r="R678" s="6"/>
      <c r="S678" s="2"/>
      <c r="T678" s="2"/>
      <c r="U678" s="2"/>
      <c r="V678" s="2"/>
      <c r="W678" s="2"/>
    </row>
    <row r="679" spans="1:23" ht="12.75" customHeight="1">
      <c r="A679" s="2"/>
      <c r="B679" s="2"/>
      <c r="C679" s="2"/>
      <c r="D679" s="4"/>
      <c r="E679" s="4"/>
      <c r="F679" s="4"/>
      <c r="G679" s="3"/>
      <c r="H679" s="4"/>
      <c r="I679" s="3"/>
      <c r="J679" s="4"/>
      <c r="K679" s="3"/>
      <c r="L679" s="4"/>
      <c r="M679" s="5"/>
      <c r="N679" s="6"/>
      <c r="O679" s="3"/>
      <c r="P679" s="4"/>
      <c r="Q679" s="5"/>
      <c r="R679" s="6"/>
      <c r="S679" s="2"/>
      <c r="T679" s="2"/>
      <c r="U679" s="2"/>
      <c r="V679" s="2"/>
      <c r="W679" s="2"/>
    </row>
    <row r="680" spans="1:23" ht="12.75" customHeight="1">
      <c r="A680" s="2"/>
      <c r="B680" s="2"/>
      <c r="C680" s="2"/>
      <c r="D680" s="4"/>
      <c r="E680" s="4"/>
      <c r="F680" s="4"/>
      <c r="G680" s="3"/>
      <c r="H680" s="4"/>
      <c r="I680" s="3"/>
      <c r="J680" s="4"/>
      <c r="K680" s="3"/>
      <c r="L680" s="4"/>
      <c r="M680" s="5"/>
      <c r="N680" s="6"/>
      <c r="O680" s="3"/>
      <c r="P680" s="4"/>
      <c r="Q680" s="5"/>
      <c r="R680" s="6"/>
      <c r="S680" s="2"/>
      <c r="T680" s="2"/>
      <c r="U680" s="2"/>
      <c r="V680" s="2"/>
      <c r="W680" s="2"/>
    </row>
    <row r="681" spans="1:23" ht="12.75" customHeight="1">
      <c r="A681" s="2"/>
      <c r="B681" s="2"/>
      <c r="C681" s="2"/>
      <c r="D681" s="4"/>
      <c r="E681" s="4"/>
      <c r="F681" s="4"/>
      <c r="G681" s="3"/>
      <c r="H681" s="4"/>
      <c r="I681" s="3"/>
      <c r="J681" s="4"/>
      <c r="K681" s="3"/>
      <c r="L681" s="4"/>
      <c r="M681" s="5"/>
      <c r="N681" s="6"/>
      <c r="O681" s="3"/>
      <c r="P681" s="4"/>
      <c r="Q681" s="5"/>
      <c r="R681" s="6"/>
      <c r="S681" s="2"/>
      <c r="T681" s="2"/>
      <c r="U681" s="2"/>
      <c r="V681" s="2"/>
      <c r="W681" s="2"/>
    </row>
    <row r="682" spans="1:23" ht="12.75" customHeight="1">
      <c r="A682" s="2"/>
      <c r="B682" s="2"/>
      <c r="C682" s="2"/>
      <c r="D682" s="4"/>
      <c r="E682" s="4"/>
      <c r="F682" s="4"/>
      <c r="G682" s="3"/>
      <c r="H682" s="4"/>
      <c r="I682" s="3"/>
      <c r="J682" s="4"/>
      <c r="K682" s="3"/>
      <c r="L682" s="4"/>
      <c r="M682" s="5"/>
      <c r="N682" s="6"/>
      <c r="O682" s="3"/>
      <c r="P682" s="4"/>
      <c r="Q682" s="5"/>
      <c r="R682" s="6"/>
      <c r="S682" s="2"/>
      <c r="T682" s="2"/>
      <c r="U682" s="2"/>
      <c r="V682" s="2"/>
      <c r="W682" s="2"/>
    </row>
    <row r="683" spans="1:23" ht="12.75" customHeight="1">
      <c r="A683" s="2"/>
      <c r="B683" s="2"/>
      <c r="C683" s="2"/>
      <c r="D683" s="4"/>
      <c r="E683" s="4"/>
      <c r="F683" s="4"/>
      <c r="G683" s="3"/>
      <c r="H683" s="4"/>
      <c r="I683" s="3"/>
      <c r="J683" s="4"/>
      <c r="K683" s="3"/>
      <c r="L683" s="4"/>
      <c r="M683" s="5"/>
      <c r="N683" s="6"/>
      <c r="O683" s="3"/>
      <c r="P683" s="4"/>
      <c r="Q683" s="5"/>
      <c r="R683" s="6"/>
      <c r="S683" s="2"/>
      <c r="T683" s="2"/>
      <c r="U683" s="2"/>
      <c r="V683" s="2"/>
      <c r="W683" s="2"/>
    </row>
    <row r="684" spans="1:23" ht="12.75" customHeight="1">
      <c r="A684" s="2"/>
      <c r="B684" s="2"/>
      <c r="C684" s="2"/>
      <c r="D684" s="4"/>
      <c r="E684" s="4"/>
      <c r="F684" s="4"/>
      <c r="G684" s="3"/>
      <c r="H684" s="4"/>
      <c r="I684" s="3"/>
      <c r="J684" s="4"/>
      <c r="K684" s="3"/>
      <c r="L684" s="4"/>
      <c r="M684" s="5"/>
      <c r="N684" s="6"/>
      <c r="O684" s="3"/>
      <c r="P684" s="4"/>
      <c r="Q684" s="5"/>
      <c r="R684" s="6"/>
      <c r="S684" s="2"/>
      <c r="T684" s="2"/>
      <c r="U684" s="2"/>
      <c r="V684" s="2"/>
      <c r="W684" s="2"/>
    </row>
    <row r="685" spans="1:23" ht="12.75" customHeight="1">
      <c r="A685" s="2"/>
      <c r="B685" s="2"/>
      <c r="C685" s="2"/>
      <c r="D685" s="4"/>
      <c r="E685" s="4"/>
      <c r="F685" s="4"/>
      <c r="G685" s="3"/>
      <c r="H685" s="4"/>
      <c r="I685" s="3"/>
      <c r="J685" s="4"/>
      <c r="K685" s="3"/>
      <c r="L685" s="4"/>
      <c r="M685" s="5"/>
      <c r="N685" s="6"/>
      <c r="O685" s="3"/>
      <c r="P685" s="4"/>
      <c r="Q685" s="5"/>
      <c r="R685" s="6"/>
      <c r="S685" s="2"/>
      <c r="T685" s="2"/>
      <c r="U685" s="2"/>
      <c r="V685" s="2"/>
      <c r="W685" s="2"/>
    </row>
    <row r="686" spans="1:23" ht="12.75" customHeight="1">
      <c r="A686" s="2"/>
      <c r="B686" s="2"/>
      <c r="C686" s="2"/>
      <c r="D686" s="4"/>
      <c r="E686" s="4"/>
      <c r="F686" s="4"/>
      <c r="G686" s="3"/>
      <c r="H686" s="4"/>
      <c r="I686" s="3"/>
      <c r="J686" s="4"/>
      <c r="K686" s="3"/>
      <c r="L686" s="4"/>
      <c r="M686" s="5"/>
      <c r="N686" s="6"/>
      <c r="O686" s="3"/>
      <c r="P686" s="4"/>
      <c r="Q686" s="5"/>
      <c r="R686" s="6"/>
      <c r="S686" s="2"/>
      <c r="T686" s="2"/>
      <c r="U686" s="2"/>
      <c r="V686" s="2"/>
      <c r="W686" s="2"/>
    </row>
    <row r="687" spans="1:23" ht="12.75" customHeight="1">
      <c r="A687" s="2"/>
      <c r="B687" s="2"/>
      <c r="C687" s="2"/>
      <c r="D687" s="4"/>
      <c r="E687" s="4"/>
      <c r="F687" s="4"/>
      <c r="G687" s="3"/>
      <c r="H687" s="4"/>
      <c r="I687" s="3"/>
      <c r="J687" s="4"/>
      <c r="K687" s="3"/>
      <c r="L687" s="4"/>
      <c r="M687" s="5"/>
      <c r="N687" s="6"/>
      <c r="O687" s="3"/>
      <c r="P687" s="4"/>
      <c r="Q687" s="5"/>
      <c r="R687" s="6"/>
      <c r="S687" s="2"/>
      <c r="T687" s="2"/>
      <c r="U687" s="2"/>
      <c r="V687" s="2"/>
      <c r="W687" s="2"/>
    </row>
    <row r="688" spans="1:23" ht="12.75" customHeight="1">
      <c r="A688" s="2"/>
      <c r="B688" s="2"/>
      <c r="C688" s="2"/>
      <c r="D688" s="4"/>
      <c r="E688" s="4"/>
      <c r="F688" s="4"/>
      <c r="G688" s="3"/>
      <c r="H688" s="4"/>
      <c r="I688" s="3"/>
      <c r="J688" s="4"/>
      <c r="K688" s="3"/>
      <c r="L688" s="4"/>
      <c r="M688" s="5"/>
      <c r="N688" s="6"/>
      <c r="O688" s="3"/>
      <c r="P688" s="4"/>
      <c r="Q688" s="5"/>
      <c r="R688" s="6"/>
      <c r="S688" s="2"/>
      <c r="T688" s="2"/>
      <c r="U688" s="2"/>
      <c r="V688" s="2"/>
      <c r="W688" s="2"/>
    </row>
    <row r="689" spans="1:23" ht="12.75" customHeight="1">
      <c r="A689" s="2"/>
      <c r="B689" s="2"/>
      <c r="C689" s="2"/>
      <c r="D689" s="4"/>
      <c r="E689" s="4"/>
      <c r="F689" s="4"/>
      <c r="G689" s="3"/>
      <c r="H689" s="4"/>
      <c r="I689" s="3"/>
      <c r="J689" s="4"/>
      <c r="K689" s="3"/>
      <c r="L689" s="4"/>
      <c r="M689" s="5"/>
      <c r="N689" s="6"/>
      <c r="O689" s="3"/>
      <c r="P689" s="4"/>
      <c r="Q689" s="5"/>
      <c r="R689" s="6"/>
      <c r="S689" s="2"/>
      <c r="T689" s="2"/>
      <c r="U689" s="2"/>
      <c r="V689" s="2"/>
      <c r="W689" s="2"/>
    </row>
    <row r="690" spans="1:23" ht="12.75" customHeight="1">
      <c r="A690" s="2"/>
      <c r="B690" s="2"/>
      <c r="C690" s="2"/>
      <c r="D690" s="4"/>
      <c r="E690" s="4"/>
      <c r="F690" s="4"/>
      <c r="G690" s="3"/>
      <c r="H690" s="4"/>
      <c r="I690" s="3"/>
      <c r="J690" s="4"/>
      <c r="K690" s="3"/>
      <c r="L690" s="4"/>
      <c r="M690" s="5"/>
      <c r="N690" s="6"/>
      <c r="O690" s="3"/>
      <c r="P690" s="4"/>
      <c r="Q690" s="5"/>
      <c r="R690" s="6"/>
      <c r="S690" s="2"/>
      <c r="T690" s="2"/>
      <c r="U690" s="2"/>
      <c r="V690" s="2"/>
      <c r="W690" s="2"/>
    </row>
    <row r="691" spans="1:23" ht="12.75" customHeight="1">
      <c r="A691" s="2"/>
      <c r="B691" s="2"/>
      <c r="C691" s="2"/>
      <c r="D691" s="4"/>
      <c r="E691" s="4"/>
      <c r="F691" s="4"/>
      <c r="G691" s="3"/>
      <c r="H691" s="4"/>
      <c r="I691" s="3"/>
      <c r="J691" s="4"/>
      <c r="K691" s="3"/>
      <c r="L691" s="4"/>
      <c r="M691" s="5"/>
      <c r="N691" s="6"/>
      <c r="O691" s="3"/>
      <c r="P691" s="4"/>
      <c r="Q691" s="5"/>
      <c r="R691" s="6"/>
      <c r="S691" s="2"/>
      <c r="T691" s="2"/>
      <c r="U691" s="2"/>
      <c r="V691" s="2"/>
      <c r="W691" s="2"/>
    </row>
    <row r="692" spans="1:23" ht="12.75" customHeight="1">
      <c r="A692" s="2"/>
      <c r="B692" s="2"/>
      <c r="C692" s="2"/>
      <c r="D692" s="4"/>
      <c r="E692" s="4"/>
      <c r="F692" s="4"/>
      <c r="G692" s="3"/>
      <c r="H692" s="4"/>
      <c r="I692" s="3"/>
      <c r="J692" s="4"/>
      <c r="K692" s="3"/>
      <c r="L692" s="4"/>
      <c r="M692" s="5"/>
      <c r="N692" s="6"/>
      <c r="O692" s="3"/>
      <c r="P692" s="4"/>
      <c r="Q692" s="5"/>
      <c r="R692" s="6"/>
      <c r="S692" s="2"/>
      <c r="T692" s="2"/>
      <c r="U692" s="2"/>
      <c r="V692" s="2"/>
      <c r="W692" s="2"/>
    </row>
    <row r="693" spans="1:23" ht="12.75" customHeight="1">
      <c r="A693" s="2"/>
      <c r="B693" s="2"/>
      <c r="C693" s="2"/>
      <c r="D693" s="4"/>
      <c r="E693" s="4"/>
      <c r="F693" s="4"/>
      <c r="G693" s="3"/>
      <c r="H693" s="4"/>
      <c r="I693" s="3"/>
      <c r="J693" s="4"/>
      <c r="K693" s="3"/>
      <c r="L693" s="4"/>
      <c r="M693" s="5"/>
      <c r="N693" s="6"/>
      <c r="O693" s="3"/>
      <c r="P693" s="4"/>
      <c r="Q693" s="5"/>
      <c r="R693" s="6"/>
      <c r="S693" s="2"/>
      <c r="T693" s="2"/>
      <c r="U693" s="2"/>
      <c r="V693" s="2"/>
      <c r="W693" s="2"/>
    </row>
    <row r="694" spans="1:23" ht="12.75" customHeight="1">
      <c r="A694" s="2"/>
      <c r="B694" s="2"/>
      <c r="C694" s="2"/>
      <c r="D694" s="4"/>
      <c r="E694" s="4"/>
      <c r="F694" s="4"/>
      <c r="G694" s="3"/>
      <c r="H694" s="4"/>
      <c r="I694" s="3"/>
      <c r="J694" s="4"/>
      <c r="K694" s="3"/>
      <c r="L694" s="4"/>
      <c r="M694" s="5"/>
      <c r="N694" s="6"/>
      <c r="O694" s="3"/>
      <c r="P694" s="4"/>
      <c r="Q694" s="5"/>
      <c r="R694" s="6"/>
      <c r="S694" s="2"/>
      <c r="T694" s="2"/>
      <c r="U694" s="2"/>
      <c r="V694" s="2"/>
      <c r="W694" s="2"/>
    </row>
    <row r="695" spans="1:23" ht="12.75" customHeight="1">
      <c r="A695" s="2"/>
      <c r="B695" s="2"/>
      <c r="C695" s="2"/>
      <c r="D695" s="4"/>
      <c r="E695" s="4"/>
      <c r="F695" s="4"/>
      <c r="G695" s="3"/>
      <c r="H695" s="4"/>
      <c r="I695" s="3"/>
      <c r="J695" s="4"/>
      <c r="K695" s="3"/>
      <c r="L695" s="4"/>
      <c r="M695" s="5"/>
      <c r="N695" s="6"/>
      <c r="O695" s="3"/>
      <c r="P695" s="4"/>
      <c r="Q695" s="5"/>
      <c r="R695" s="6"/>
      <c r="S695" s="2"/>
      <c r="T695" s="2"/>
      <c r="U695" s="2"/>
      <c r="V695" s="2"/>
      <c r="W695" s="2"/>
    </row>
    <row r="696" spans="1:23" ht="12.75" customHeight="1">
      <c r="A696" s="2"/>
      <c r="B696" s="2"/>
      <c r="C696" s="2"/>
      <c r="D696" s="4"/>
      <c r="E696" s="4"/>
      <c r="F696" s="4"/>
      <c r="G696" s="3"/>
      <c r="H696" s="4"/>
      <c r="I696" s="3"/>
      <c r="J696" s="4"/>
      <c r="K696" s="3"/>
      <c r="L696" s="4"/>
      <c r="M696" s="5"/>
      <c r="N696" s="6"/>
      <c r="O696" s="3"/>
      <c r="P696" s="4"/>
      <c r="Q696" s="5"/>
      <c r="R696" s="6"/>
      <c r="S696" s="2"/>
      <c r="T696" s="2"/>
      <c r="U696" s="2"/>
      <c r="V696" s="2"/>
      <c r="W696" s="2"/>
    </row>
    <row r="697" spans="1:23" ht="12.75" customHeight="1">
      <c r="A697" s="2"/>
      <c r="B697" s="2"/>
      <c r="C697" s="2"/>
      <c r="D697" s="4"/>
      <c r="E697" s="4"/>
      <c r="F697" s="4"/>
      <c r="G697" s="3"/>
      <c r="H697" s="4"/>
      <c r="I697" s="3"/>
      <c r="J697" s="4"/>
      <c r="K697" s="3"/>
      <c r="L697" s="4"/>
      <c r="M697" s="5"/>
      <c r="N697" s="6"/>
      <c r="O697" s="3"/>
      <c r="P697" s="4"/>
      <c r="Q697" s="5"/>
      <c r="R697" s="6"/>
      <c r="S697" s="2"/>
      <c r="T697" s="2"/>
      <c r="U697" s="2"/>
      <c r="V697" s="2"/>
      <c r="W697" s="2"/>
    </row>
    <row r="698" spans="1:23" ht="12.75" customHeight="1">
      <c r="A698" s="2"/>
      <c r="B698" s="2"/>
      <c r="C698" s="2"/>
      <c r="D698" s="4"/>
      <c r="E698" s="4"/>
      <c r="F698" s="4"/>
      <c r="G698" s="3"/>
      <c r="H698" s="4"/>
      <c r="I698" s="3"/>
      <c r="J698" s="4"/>
      <c r="K698" s="3"/>
      <c r="L698" s="4"/>
      <c r="M698" s="5"/>
      <c r="N698" s="6"/>
      <c r="O698" s="3"/>
      <c r="P698" s="4"/>
      <c r="Q698" s="5"/>
      <c r="R698" s="6"/>
      <c r="S698" s="2"/>
      <c r="T698" s="2"/>
      <c r="U698" s="2"/>
      <c r="V698" s="2"/>
      <c r="W698" s="2"/>
    </row>
    <row r="699" spans="1:23" ht="12.75" customHeight="1">
      <c r="A699" s="2"/>
      <c r="B699" s="2"/>
      <c r="C699" s="2"/>
      <c r="D699" s="4"/>
      <c r="E699" s="4"/>
      <c r="F699" s="4"/>
      <c r="G699" s="3"/>
      <c r="H699" s="4"/>
      <c r="I699" s="3"/>
      <c r="J699" s="4"/>
      <c r="K699" s="3"/>
      <c r="L699" s="4"/>
      <c r="M699" s="5"/>
      <c r="N699" s="6"/>
      <c r="O699" s="3"/>
      <c r="P699" s="4"/>
      <c r="Q699" s="5"/>
      <c r="R699" s="6"/>
      <c r="S699" s="2"/>
      <c r="T699" s="2"/>
      <c r="U699" s="2"/>
      <c r="V699" s="2"/>
      <c r="W699" s="2"/>
    </row>
    <row r="700" spans="1:23" ht="12.75" customHeight="1">
      <c r="A700" s="2"/>
      <c r="B700" s="2"/>
      <c r="C700" s="2"/>
      <c r="D700" s="4"/>
      <c r="E700" s="4"/>
      <c r="F700" s="4"/>
      <c r="G700" s="3"/>
      <c r="H700" s="4"/>
      <c r="I700" s="3"/>
      <c r="J700" s="4"/>
      <c r="K700" s="3"/>
      <c r="L700" s="4"/>
      <c r="M700" s="5"/>
      <c r="N700" s="6"/>
      <c r="O700" s="3"/>
      <c r="P700" s="4"/>
      <c r="Q700" s="5"/>
      <c r="R700" s="6"/>
      <c r="S700" s="2"/>
      <c r="T700" s="2"/>
      <c r="U700" s="2"/>
      <c r="V700" s="2"/>
      <c r="W700" s="2"/>
    </row>
    <row r="701" spans="1:23" ht="12.75" customHeight="1">
      <c r="A701" s="2"/>
      <c r="B701" s="2"/>
      <c r="C701" s="2"/>
      <c r="D701" s="4"/>
      <c r="E701" s="4"/>
      <c r="F701" s="4"/>
      <c r="G701" s="3"/>
      <c r="H701" s="4"/>
      <c r="I701" s="3"/>
      <c r="J701" s="4"/>
      <c r="K701" s="3"/>
      <c r="L701" s="4"/>
      <c r="M701" s="5"/>
      <c r="N701" s="6"/>
      <c r="O701" s="3"/>
      <c r="P701" s="4"/>
      <c r="Q701" s="5"/>
      <c r="R701" s="6"/>
      <c r="S701" s="2"/>
      <c r="T701" s="2"/>
      <c r="U701" s="2"/>
      <c r="V701" s="2"/>
      <c r="W701" s="2"/>
    </row>
    <row r="702" spans="1:23" ht="12.75" customHeight="1">
      <c r="A702" s="2"/>
      <c r="B702" s="2"/>
      <c r="C702" s="2"/>
      <c r="D702" s="4"/>
      <c r="E702" s="4"/>
      <c r="F702" s="4"/>
      <c r="G702" s="3"/>
      <c r="H702" s="4"/>
      <c r="I702" s="3"/>
      <c r="J702" s="4"/>
      <c r="K702" s="3"/>
      <c r="L702" s="4"/>
      <c r="M702" s="5"/>
      <c r="N702" s="6"/>
      <c r="O702" s="3"/>
      <c r="P702" s="4"/>
      <c r="Q702" s="5"/>
      <c r="R702" s="6"/>
      <c r="S702" s="2"/>
      <c r="T702" s="2"/>
      <c r="U702" s="2"/>
      <c r="V702" s="2"/>
      <c r="W702" s="2"/>
    </row>
    <row r="703" spans="1:23" ht="12.75" customHeight="1">
      <c r="A703" s="2"/>
      <c r="B703" s="2"/>
      <c r="C703" s="2"/>
      <c r="D703" s="4"/>
      <c r="E703" s="4"/>
      <c r="F703" s="4"/>
      <c r="G703" s="3"/>
      <c r="H703" s="4"/>
      <c r="I703" s="3"/>
      <c r="J703" s="4"/>
      <c r="K703" s="3"/>
      <c r="L703" s="4"/>
      <c r="M703" s="5"/>
      <c r="N703" s="6"/>
      <c r="O703" s="3"/>
      <c r="P703" s="4"/>
      <c r="Q703" s="5"/>
      <c r="R703" s="6"/>
      <c r="S703" s="2"/>
      <c r="T703" s="2"/>
      <c r="U703" s="2"/>
      <c r="V703" s="2"/>
      <c r="W703" s="2"/>
    </row>
    <row r="704" spans="1:23" ht="12.75" customHeight="1">
      <c r="A704" s="2"/>
      <c r="B704" s="2"/>
      <c r="C704" s="2"/>
      <c r="D704" s="4"/>
      <c r="E704" s="4"/>
      <c r="F704" s="4"/>
      <c r="G704" s="3"/>
      <c r="H704" s="4"/>
      <c r="I704" s="3"/>
      <c r="J704" s="4"/>
      <c r="K704" s="3"/>
      <c r="L704" s="4"/>
      <c r="M704" s="5"/>
      <c r="N704" s="6"/>
      <c r="O704" s="3"/>
      <c r="P704" s="4"/>
      <c r="Q704" s="5"/>
      <c r="R704" s="6"/>
      <c r="S704" s="2"/>
      <c r="T704" s="2"/>
      <c r="U704" s="2"/>
      <c r="V704" s="2"/>
      <c r="W704" s="2"/>
    </row>
    <row r="705" spans="1:23" ht="12.75" customHeight="1">
      <c r="A705" s="2"/>
      <c r="B705" s="2"/>
      <c r="C705" s="2"/>
      <c r="D705" s="4"/>
      <c r="E705" s="4"/>
      <c r="F705" s="4"/>
      <c r="G705" s="3"/>
      <c r="H705" s="4"/>
      <c r="I705" s="3"/>
      <c r="J705" s="4"/>
      <c r="K705" s="3"/>
      <c r="L705" s="4"/>
      <c r="M705" s="5"/>
      <c r="N705" s="6"/>
      <c r="O705" s="3"/>
      <c r="P705" s="4"/>
      <c r="Q705" s="5"/>
      <c r="R705" s="6"/>
      <c r="S705" s="2"/>
      <c r="T705" s="2"/>
      <c r="U705" s="2"/>
      <c r="V705" s="2"/>
      <c r="W705" s="2"/>
    </row>
    <row r="706" spans="1:23" ht="12.75" customHeight="1">
      <c r="A706" s="2"/>
      <c r="B706" s="2"/>
      <c r="C706" s="2"/>
      <c r="D706" s="4"/>
      <c r="E706" s="4"/>
      <c r="F706" s="4"/>
      <c r="G706" s="3"/>
      <c r="H706" s="4"/>
      <c r="I706" s="3"/>
      <c r="J706" s="4"/>
      <c r="K706" s="3"/>
      <c r="L706" s="4"/>
      <c r="M706" s="5"/>
      <c r="N706" s="6"/>
      <c r="O706" s="3"/>
      <c r="P706" s="4"/>
      <c r="Q706" s="5"/>
      <c r="R706" s="6"/>
      <c r="S706" s="2"/>
      <c r="T706" s="2"/>
      <c r="U706" s="2"/>
      <c r="V706" s="2"/>
      <c r="W706" s="2"/>
    </row>
    <row r="707" spans="1:23" ht="12.75" customHeight="1">
      <c r="A707" s="2"/>
      <c r="B707" s="2"/>
      <c r="C707" s="2"/>
      <c r="D707" s="4"/>
      <c r="E707" s="4"/>
      <c r="F707" s="4"/>
      <c r="G707" s="3"/>
      <c r="H707" s="4"/>
      <c r="I707" s="3"/>
      <c r="J707" s="4"/>
      <c r="K707" s="3"/>
      <c r="L707" s="4"/>
      <c r="M707" s="5"/>
      <c r="N707" s="6"/>
      <c r="O707" s="3"/>
      <c r="P707" s="4"/>
      <c r="Q707" s="5"/>
      <c r="R707" s="6"/>
      <c r="S707" s="2"/>
      <c r="T707" s="2"/>
      <c r="U707" s="2"/>
      <c r="V707" s="2"/>
      <c r="W707" s="2"/>
    </row>
    <row r="708" spans="1:23" ht="12.75" customHeight="1">
      <c r="A708" s="2"/>
      <c r="B708" s="2"/>
      <c r="C708" s="2"/>
      <c r="D708" s="4"/>
      <c r="E708" s="4"/>
      <c r="F708" s="4"/>
      <c r="G708" s="3"/>
      <c r="H708" s="4"/>
      <c r="I708" s="3"/>
      <c r="J708" s="4"/>
      <c r="K708" s="3"/>
      <c r="L708" s="4"/>
      <c r="M708" s="5"/>
      <c r="N708" s="6"/>
      <c r="O708" s="3"/>
      <c r="P708" s="4"/>
      <c r="Q708" s="5"/>
      <c r="R708" s="6"/>
      <c r="S708" s="2"/>
      <c r="T708" s="2"/>
      <c r="U708" s="2"/>
      <c r="V708" s="2"/>
      <c r="W708" s="2"/>
    </row>
    <row r="709" spans="1:23" ht="12.75" customHeight="1">
      <c r="A709" s="2"/>
      <c r="B709" s="2"/>
      <c r="C709" s="2"/>
      <c r="D709" s="4"/>
      <c r="E709" s="4"/>
      <c r="F709" s="4"/>
      <c r="G709" s="3"/>
      <c r="H709" s="4"/>
      <c r="I709" s="3"/>
      <c r="J709" s="4"/>
      <c r="K709" s="3"/>
      <c r="L709" s="4"/>
      <c r="M709" s="5"/>
      <c r="N709" s="6"/>
      <c r="O709" s="3"/>
      <c r="P709" s="4"/>
      <c r="Q709" s="5"/>
      <c r="R709" s="6"/>
      <c r="S709" s="2"/>
      <c r="T709" s="2"/>
      <c r="U709" s="2"/>
      <c r="V709" s="2"/>
      <c r="W709" s="2"/>
    </row>
    <row r="710" spans="1:23" ht="12.75" customHeight="1">
      <c r="A710" s="2"/>
      <c r="B710" s="2"/>
      <c r="C710" s="2"/>
      <c r="D710" s="4"/>
      <c r="E710" s="4"/>
      <c r="F710" s="4"/>
      <c r="G710" s="3"/>
      <c r="H710" s="4"/>
      <c r="I710" s="3"/>
      <c r="J710" s="4"/>
      <c r="K710" s="3"/>
      <c r="L710" s="4"/>
      <c r="M710" s="5"/>
      <c r="N710" s="6"/>
      <c r="O710" s="3"/>
      <c r="P710" s="4"/>
      <c r="Q710" s="5"/>
      <c r="R710" s="6"/>
      <c r="S710" s="2"/>
      <c r="T710" s="2"/>
      <c r="U710" s="2"/>
      <c r="V710" s="2"/>
      <c r="W710" s="2"/>
    </row>
    <row r="711" spans="1:23" ht="12.75" customHeight="1">
      <c r="A711" s="2"/>
      <c r="B711" s="2"/>
      <c r="C711" s="2"/>
      <c r="D711" s="4"/>
      <c r="E711" s="4"/>
      <c r="F711" s="4"/>
      <c r="G711" s="3"/>
      <c r="H711" s="4"/>
      <c r="I711" s="3"/>
      <c r="J711" s="4"/>
      <c r="K711" s="3"/>
      <c r="L711" s="4"/>
      <c r="M711" s="5"/>
      <c r="N711" s="6"/>
      <c r="O711" s="3"/>
      <c r="P711" s="4"/>
      <c r="Q711" s="5"/>
      <c r="R711" s="6"/>
      <c r="S711" s="2"/>
      <c r="T711" s="2"/>
      <c r="U711" s="2"/>
      <c r="V711" s="2"/>
      <c r="W711" s="2"/>
    </row>
    <row r="712" spans="1:23" ht="12.75" customHeight="1">
      <c r="A712" s="2"/>
      <c r="B712" s="2"/>
      <c r="C712" s="2"/>
      <c r="D712" s="4"/>
      <c r="E712" s="4"/>
      <c r="F712" s="4"/>
      <c r="G712" s="3"/>
      <c r="H712" s="4"/>
      <c r="I712" s="3"/>
      <c r="J712" s="4"/>
      <c r="K712" s="3"/>
      <c r="L712" s="4"/>
      <c r="M712" s="5"/>
      <c r="N712" s="6"/>
      <c r="O712" s="3"/>
      <c r="P712" s="4"/>
      <c r="Q712" s="5"/>
      <c r="R712" s="6"/>
      <c r="S712" s="2"/>
      <c r="T712" s="2"/>
      <c r="U712" s="2"/>
      <c r="V712" s="2"/>
      <c r="W712" s="2"/>
    </row>
    <row r="713" spans="1:23" ht="12.75" customHeight="1">
      <c r="A713" s="2"/>
      <c r="B713" s="2"/>
      <c r="C713" s="2"/>
      <c r="D713" s="4"/>
      <c r="E713" s="4"/>
      <c r="F713" s="4"/>
      <c r="G713" s="3"/>
      <c r="H713" s="4"/>
      <c r="I713" s="3"/>
      <c r="J713" s="4"/>
      <c r="K713" s="3"/>
      <c r="L713" s="4"/>
      <c r="M713" s="5"/>
      <c r="N713" s="6"/>
      <c r="O713" s="3"/>
      <c r="P713" s="4"/>
      <c r="Q713" s="5"/>
      <c r="R713" s="6"/>
      <c r="S713" s="2"/>
      <c r="T713" s="2"/>
      <c r="U713" s="2"/>
      <c r="V713" s="2"/>
      <c r="W713" s="2"/>
    </row>
    <row r="714" spans="1:23" ht="12.75" customHeight="1">
      <c r="A714" s="2"/>
      <c r="B714" s="2"/>
      <c r="C714" s="2"/>
      <c r="D714" s="4"/>
      <c r="E714" s="4"/>
      <c r="F714" s="4"/>
      <c r="G714" s="3"/>
      <c r="H714" s="4"/>
      <c r="I714" s="3"/>
      <c r="J714" s="4"/>
      <c r="K714" s="3"/>
      <c r="L714" s="4"/>
      <c r="M714" s="5"/>
      <c r="N714" s="6"/>
      <c r="O714" s="3"/>
      <c r="P714" s="4"/>
      <c r="Q714" s="5"/>
      <c r="R714" s="6"/>
      <c r="S714" s="2"/>
      <c r="T714" s="2"/>
      <c r="U714" s="2"/>
      <c r="V714" s="2"/>
      <c r="W714" s="2"/>
    </row>
    <row r="715" spans="1:23" ht="12.75" customHeight="1">
      <c r="A715" s="2"/>
      <c r="B715" s="2"/>
      <c r="C715" s="2"/>
      <c r="D715" s="4"/>
      <c r="E715" s="4"/>
      <c r="F715" s="4"/>
      <c r="G715" s="3"/>
      <c r="H715" s="4"/>
      <c r="I715" s="3"/>
      <c r="J715" s="4"/>
      <c r="K715" s="3"/>
      <c r="L715" s="4"/>
      <c r="M715" s="5"/>
      <c r="N715" s="6"/>
      <c r="O715" s="3"/>
      <c r="P715" s="4"/>
      <c r="Q715" s="5"/>
      <c r="R715" s="6"/>
      <c r="S715" s="2"/>
      <c r="T715" s="2"/>
      <c r="U715" s="2"/>
      <c r="V715" s="2"/>
      <c r="W715" s="2"/>
    </row>
    <row r="716" spans="1:23" ht="12.75" customHeight="1">
      <c r="A716" s="2"/>
      <c r="B716" s="2"/>
      <c r="C716" s="2"/>
      <c r="D716" s="4"/>
      <c r="E716" s="4"/>
      <c r="F716" s="4"/>
      <c r="G716" s="3"/>
      <c r="H716" s="4"/>
      <c r="I716" s="3"/>
      <c r="J716" s="4"/>
      <c r="K716" s="3"/>
      <c r="L716" s="4"/>
      <c r="M716" s="5"/>
      <c r="N716" s="6"/>
      <c r="O716" s="3"/>
      <c r="P716" s="4"/>
      <c r="Q716" s="5"/>
      <c r="R716" s="6"/>
      <c r="S716" s="2"/>
      <c r="T716" s="2"/>
      <c r="U716" s="2"/>
      <c r="V716" s="2"/>
      <c r="W716" s="2"/>
    </row>
    <row r="717" spans="1:23" ht="12.75" customHeight="1">
      <c r="A717" s="2"/>
      <c r="B717" s="2"/>
      <c r="C717" s="2"/>
      <c r="D717" s="4"/>
      <c r="E717" s="4"/>
      <c r="F717" s="4"/>
      <c r="G717" s="3"/>
      <c r="H717" s="4"/>
      <c r="I717" s="3"/>
      <c r="J717" s="4"/>
      <c r="K717" s="3"/>
      <c r="L717" s="4"/>
      <c r="M717" s="5"/>
      <c r="N717" s="6"/>
      <c r="O717" s="3"/>
      <c r="P717" s="4"/>
      <c r="Q717" s="5"/>
      <c r="R717" s="6"/>
      <c r="S717" s="2"/>
      <c r="T717" s="2"/>
      <c r="U717" s="2"/>
      <c r="V717" s="2"/>
      <c r="W717" s="2"/>
    </row>
    <row r="718" spans="1:23" ht="12.75" customHeight="1">
      <c r="A718" s="2"/>
      <c r="B718" s="2"/>
      <c r="C718" s="2"/>
      <c r="D718" s="4"/>
      <c r="E718" s="4"/>
      <c r="F718" s="4"/>
      <c r="G718" s="3"/>
      <c r="H718" s="4"/>
      <c r="I718" s="3"/>
      <c r="J718" s="4"/>
      <c r="K718" s="3"/>
      <c r="L718" s="4"/>
      <c r="M718" s="5"/>
      <c r="N718" s="6"/>
      <c r="O718" s="3"/>
      <c r="P718" s="4"/>
      <c r="Q718" s="5"/>
      <c r="R718" s="6"/>
      <c r="S718" s="2"/>
      <c r="T718" s="2"/>
      <c r="U718" s="2"/>
      <c r="V718" s="2"/>
      <c r="W718" s="2"/>
    </row>
    <row r="719" spans="1:23" ht="12.75" customHeight="1">
      <c r="A719" s="2"/>
      <c r="B719" s="2"/>
      <c r="C719" s="2"/>
      <c r="D719" s="4"/>
      <c r="E719" s="4"/>
      <c r="F719" s="4"/>
      <c r="G719" s="3"/>
      <c r="H719" s="4"/>
      <c r="I719" s="3"/>
      <c r="J719" s="4"/>
      <c r="K719" s="3"/>
      <c r="L719" s="4"/>
      <c r="M719" s="5"/>
      <c r="N719" s="6"/>
      <c r="O719" s="3"/>
      <c r="P719" s="4"/>
      <c r="Q719" s="5"/>
      <c r="R719" s="6"/>
      <c r="S719" s="2"/>
      <c r="T719" s="2"/>
      <c r="U719" s="2"/>
      <c r="V719" s="2"/>
      <c r="W719" s="2"/>
    </row>
    <row r="720" spans="1:23" ht="12.75" customHeight="1">
      <c r="A720" s="2"/>
      <c r="B720" s="2"/>
      <c r="C720" s="2"/>
      <c r="D720" s="4"/>
      <c r="E720" s="4"/>
      <c r="F720" s="4"/>
      <c r="G720" s="3"/>
      <c r="H720" s="4"/>
      <c r="I720" s="3"/>
      <c r="J720" s="4"/>
      <c r="K720" s="3"/>
      <c r="L720" s="4"/>
      <c r="M720" s="5"/>
      <c r="N720" s="6"/>
      <c r="O720" s="3"/>
      <c r="P720" s="4"/>
      <c r="Q720" s="5"/>
      <c r="R720" s="6"/>
      <c r="S720" s="2"/>
      <c r="T720" s="2"/>
      <c r="U720" s="2"/>
      <c r="V720" s="2"/>
      <c r="W720" s="2"/>
    </row>
    <row r="721" spans="1:23" ht="12.75" customHeight="1">
      <c r="A721" s="2"/>
      <c r="B721" s="2"/>
      <c r="C721" s="2"/>
      <c r="D721" s="4"/>
      <c r="E721" s="4"/>
      <c r="F721" s="4"/>
      <c r="G721" s="3"/>
      <c r="H721" s="4"/>
      <c r="I721" s="3"/>
      <c r="J721" s="4"/>
      <c r="K721" s="3"/>
      <c r="L721" s="4"/>
      <c r="M721" s="5"/>
      <c r="N721" s="6"/>
      <c r="O721" s="3"/>
      <c r="P721" s="4"/>
      <c r="Q721" s="5"/>
      <c r="R721" s="6"/>
      <c r="S721" s="2"/>
      <c r="T721" s="2"/>
      <c r="U721" s="2"/>
      <c r="V721" s="2"/>
      <c r="W721" s="2"/>
    </row>
    <row r="722" spans="1:23" ht="12.75" customHeight="1">
      <c r="A722" s="2"/>
      <c r="B722" s="2"/>
      <c r="C722" s="2"/>
      <c r="D722" s="4"/>
      <c r="E722" s="4"/>
      <c r="F722" s="4"/>
      <c r="G722" s="3"/>
      <c r="H722" s="4"/>
      <c r="I722" s="3"/>
      <c r="J722" s="4"/>
      <c r="K722" s="3"/>
      <c r="L722" s="4"/>
      <c r="M722" s="5"/>
      <c r="N722" s="6"/>
      <c r="O722" s="3"/>
      <c r="P722" s="4"/>
      <c r="Q722" s="5"/>
      <c r="R722" s="6"/>
      <c r="S722" s="2"/>
      <c r="T722" s="2"/>
      <c r="U722" s="2"/>
      <c r="V722" s="2"/>
      <c r="W722" s="2"/>
    </row>
    <row r="723" spans="1:23" ht="12.75" customHeight="1">
      <c r="A723" s="2"/>
      <c r="B723" s="2"/>
      <c r="C723" s="2"/>
      <c r="D723" s="4"/>
      <c r="E723" s="4"/>
      <c r="F723" s="4"/>
      <c r="G723" s="3"/>
      <c r="H723" s="4"/>
      <c r="I723" s="3"/>
      <c r="J723" s="4"/>
      <c r="K723" s="3"/>
      <c r="L723" s="4"/>
      <c r="M723" s="5"/>
      <c r="N723" s="6"/>
      <c r="O723" s="3"/>
      <c r="P723" s="4"/>
      <c r="Q723" s="5"/>
      <c r="R723" s="6"/>
      <c r="S723" s="2"/>
      <c r="T723" s="2"/>
      <c r="U723" s="2"/>
      <c r="V723" s="2"/>
      <c r="W723" s="2"/>
    </row>
    <row r="724" spans="1:23" ht="12.75" customHeight="1">
      <c r="A724" s="2"/>
      <c r="B724" s="2"/>
      <c r="C724" s="2"/>
      <c r="D724" s="4"/>
      <c r="E724" s="4"/>
      <c r="F724" s="4"/>
      <c r="G724" s="3"/>
      <c r="H724" s="4"/>
      <c r="I724" s="3"/>
      <c r="J724" s="4"/>
      <c r="K724" s="3"/>
      <c r="L724" s="4"/>
      <c r="M724" s="5"/>
      <c r="N724" s="6"/>
      <c r="O724" s="3"/>
      <c r="P724" s="4"/>
      <c r="Q724" s="5"/>
      <c r="R724" s="6"/>
      <c r="S724" s="2"/>
      <c r="T724" s="2"/>
      <c r="U724" s="2"/>
      <c r="V724" s="2"/>
      <c r="W724" s="2"/>
    </row>
    <row r="725" spans="1:23" ht="12.75" customHeight="1">
      <c r="A725" s="2"/>
      <c r="B725" s="2"/>
      <c r="C725" s="2"/>
      <c r="D725" s="4"/>
      <c r="E725" s="4"/>
      <c r="F725" s="4"/>
      <c r="G725" s="3"/>
      <c r="H725" s="4"/>
      <c r="I725" s="3"/>
      <c r="J725" s="4"/>
      <c r="K725" s="3"/>
      <c r="L725" s="4"/>
      <c r="M725" s="5"/>
      <c r="N725" s="6"/>
      <c r="O725" s="3"/>
      <c r="P725" s="4"/>
      <c r="Q725" s="5"/>
      <c r="R725" s="6"/>
      <c r="S725" s="2"/>
      <c r="T725" s="2"/>
      <c r="U725" s="2"/>
      <c r="V725" s="2"/>
      <c r="W725" s="2"/>
    </row>
    <row r="726" spans="1:23" ht="12.75" customHeight="1">
      <c r="A726" s="2"/>
      <c r="B726" s="2"/>
      <c r="C726" s="2"/>
      <c r="D726" s="4"/>
      <c r="E726" s="4"/>
      <c r="F726" s="4"/>
      <c r="G726" s="3"/>
      <c r="H726" s="4"/>
      <c r="I726" s="3"/>
      <c r="J726" s="4"/>
      <c r="K726" s="3"/>
      <c r="L726" s="4"/>
      <c r="M726" s="5"/>
      <c r="N726" s="6"/>
      <c r="O726" s="3"/>
      <c r="P726" s="4"/>
      <c r="Q726" s="5"/>
      <c r="R726" s="6"/>
      <c r="S726" s="2"/>
      <c r="T726" s="2"/>
      <c r="U726" s="2"/>
      <c r="V726" s="2"/>
      <c r="W726" s="2"/>
    </row>
    <row r="727" spans="1:23" ht="12.75" customHeight="1">
      <c r="A727" s="2"/>
      <c r="B727" s="2"/>
      <c r="C727" s="2"/>
      <c r="D727" s="4"/>
      <c r="E727" s="4"/>
      <c r="F727" s="4"/>
      <c r="G727" s="3"/>
      <c r="H727" s="4"/>
      <c r="I727" s="3"/>
      <c r="J727" s="4"/>
      <c r="K727" s="3"/>
      <c r="L727" s="4"/>
      <c r="M727" s="5"/>
      <c r="N727" s="6"/>
      <c r="O727" s="3"/>
      <c r="P727" s="4"/>
      <c r="Q727" s="5"/>
      <c r="R727" s="6"/>
      <c r="S727" s="2"/>
      <c r="T727" s="2"/>
      <c r="U727" s="2"/>
      <c r="V727" s="2"/>
      <c r="W727" s="2"/>
    </row>
    <row r="728" spans="1:23" ht="12.75" customHeight="1">
      <c r="A728" s="2"/>
      <c r="B728" s="2"/>
      <c r="C728" s="2"/>
      <c r="D728" s="4"/>
      <c r="E728" s="4"/>
      <c r="F728" s="4"/>
      <c r="G728" s="3"/>
      <c r="H728" s="4"/>
      <c r="I728" s="3"/>
      <c r="J728" s="4"/>
      <c r="K728" s="3"/>
      <c r="L728" s="4"/>
      <c r="M728" s="5"/>
      <c r="N728" s="6"/>
      <c r="O728" s="3"/>
      <c r="P728" s="4"/>
      <c r="Q728" s="5"/>
      <c r="R728" s="6"/>
      <c r="S728" s="2"/>
      <c r="T728" s="2"/>
      <c r="U728" s="2"/>
      <c r="V728" s="2"/>
      <c r="W728" s="2"/>
    </row>
    <row r="729" spans="1:23" ht="12.75" customHeight="1">
      <c r="A729" s="2"/>
      <c r="B729" s="2"/>
      <c r="C729" s="2"/>
      <c r="D729" s="4"/>
      <c r="E729" s="4"/>
      <c r="F729" s="4"/>
      <c r="G729" s="3"/>
      <c r="H729" s="4"/>
      <c r="I729" s="3"/>
      <c r="J729" s="4"/>
      <c r="K729" s="3"/>
      <c r="L729" s="4"/>
      <c r="M729" s="5"/>
      <c r="N729" s="6"/>
      <c r="O729" s="3"/>
      <c r="P729" s="4"/>
      <c r="Q729" s="5"/>
      <c r="R729" s="6"/>
      <c r="S729" s="2"/>
      <c r="T729" s="2"/>
      <c r="U729" s="2"/>
      <c r="V729" s="2"/>
      <c r="W729" s="2"/>
    </row>
    <row r="730" spans="1:23" ht="12.75" customHeight="1">
      <c r="A730" s="2"/>
      <c r="B730" s="2"/>
      <c r="C730" s="2"/>
      <c r="D730" s="4"/>
      <c r="E730" s="4"/>
      <c r="F730" s="4"/>
      <c r="G730" s="3"/>
      <c r="H730" s="4"/>
      <c r="I730" s="3"/>
      <c r="J730" s="4"/>
      <c r="K730" s="3"/>
      <c r="L730" s="4"/>
      <c r="M730" s="5"/>
      <c r="N730" s="6"/>
      <c r="O730" s="3"/>
      <c r="P730" s="4"/>
      <c r="Q730" s="5"/>
      <c r="R730" s="6"/>
      <c r="S730" s="2"/>
      <c r="T730" s="2"/>
      <c r="U730" s="2"/>
      <c r="V730" s="2"/>
      <c r="W730" s="2"/>
    </row>
    <row r="731" spans="1:23" ht="12.75" customHeight="1">
      <c r="A731" s="2"/>
      <c r="B731" s="2"/>
      <c r="C731" s="2"/>
      <c r="D731" s="4"/>
      <c r="E731" s="4"/>
      <c r="F731" s="4"/>
      <c r="G731" s="3"/>
      <c r="H731" s="4"/>
      <c r="I731" s="3"/>
      <c r="J731" s="4"/>
      <c r="K731" s="3"/>
      <c r="L731" s="4"/>
      <c r="M731" s="5"/>
      <c r="N731" s="6"/>
      <c r="O731" s="3"/>
      <c r="P731" s="4"/>
      <c r="Q731" s="5"/>
      <c r="R731" s="6"/>
      <c r="S731" s="2"/>
      <c r="T731" s="2"/>
      <c r="U731" s="2"/>
      <c r="V731" s="2"/>
      <c r="W731" s="2"/>
    </row>
    <row r="732" spans="1:23" ht="12.75" customHeight="1">
      <c r="A732" s="2"/>
      <c r="B732" s="2"/>
      <c r="C732" s="2"/>
      <c r="D732" s="4"/>
      <c r="E732" s="4"/>
      <c r="F732" s="4"/>
      <c r="G732" s="3"/>
      <c r="H732" s="4"/>
      <c r="I732" s="3"/>
      <c r="J732" s="4"/>
      <c r="K732" s="3"/>
      <c r="L732" s="4"/>
      <c r="M732" s="5"/>
      <c r="N732" s="6"/>
      <c r="O732" s="3"/>
      <c r="P732" s="4"/>
      <c r="Q732" s="5"/>
      <c r="R732" s="6"/>
      <c r="S732" s="2"/>
      <c r="T732" s="2"/>
      <c r="U732" s="2"/>
      <c r="V732" s="2"/>
      <c r="W732" s="2"/>
    </row>
    <row r="733" spans="1:23" ht="12.75" customHeight="1">
      <c r="A733" s="2"/>
      <c r="B733" s="2"/>
      <c r="C733" s="2"/>
      <c r="D733" s="4"/>
      <c r="E733" s="4"/>
      <c r="F733" s="4"/>
      <c r="G733" s="3"/>
      <c r="H733" s="4"/>
      <c r="I733" s="3"/>
      <c r="J733" s="4"/>
      <c r="K733" s="3"/>
      <c r="L733" s="4"/>
      <c r="M733" s="5"/>
      <c r="N733" s="6"/>
      <c r="O733" s="3"/>
      <c r="P733" s="4"/>
      <c r="Q733" s="5"/>
      <c r="R733" s="6"/>
      <c r="S733" s="2"/>
      <c r="T733" s="2"/>
      <c r="U733" s="2"/>
      <c r="V733" s="2"/>
      <c r="W733" s="2"/>
    </row>
    <row r="734" spans="1:23" ht="12.75" customHeight="1">
      <c r="A734" s="2"/>
      <c r="B734" s="2"/>
      <c r="C734" s="2"/>
      <c r="D734" s="4"/>
      <c r="E734" s="4"/>
      <c r="F734" s="4"/>
      <c r="G734" s="3"/>
      <c r="H734" s="4"/>
      <c r="I734" s="3"/>
      <c r="J734" s="4"/>
      <c r="K734" s="3"/>
      <c r="L734" s="4"/>
      <c r="M734" s="5"/>
      <c r="N734" s="6"/>
      <c r="O734" s="3"/>
      <c r="P734" s="4"/>
      <c r="Q734" s="5"/>
      <c r="R734" s="6"/>
      <c r="S734" s="2"/>
      <c r="T734" s="2"/>
      <c r="U734" s="2"/>
      <c r="V734" s="2"/>
      <c r="W734" s="2"/>
    </row>
    <row r="735" spans="1:23" ht="12.75" customHeight="1">
      <c r="A735" s="2"/>
      <c r="B735" s="2"/>
      <c r="C735" s="2"/>
      <c r="D735" s="4"/>
      <c r="E735" s="4"/>
      <c r="F735" s="4"/>
      <c r="G735" s="3"/>
      <c r="H735" s="4"/>
      <c r="I735" s="3"/>
      <c r="J735" s="4"/>
      <c r="K735" s="3"/>
      <c r="L735" s="4"/>
      <c r="M735" s="5"/>
      <c r="N735" s="6"/>
      <c r="O735" s="3"/>
      <c r="P735" s="4"/>
      <c r="Q735" s="5"/>
      <c r="R735" s="6"/>
      <c r="S735" s="2"/>
      <c r="T735" s="2"/>
      <c r="U735" s="2"/>
      <c r="V735" s="2"/>
      <c r="W735" s="2"/>
    </row>
    <row r="736" spans="1:23" ht="12.75" customHeight="1">
      <c r="A736" s="2"/>
      <c r="B736" s="2"/>
      <c r="C736" s="2"/>
      <c r="D736" s="4"/>
      <c r="E736" s="4"/>
      <c r="F736" s="4"/>
      <c r="G736" s="3"/>
      <c r="H736" s="4"/>
      <c r="I736" s="3"/>
      <c r="J736" s="4"/>
      <c r="K736" s="3"/>
      <c r="L736" s="4"/>
      <c r="M736" s="5"/>
      <c r="N736" s="6"/>
      <c r="O736" s="3"/>
      <c r="P736" s="4"/>
      <c r="Q736" s="5"/>
      <c r="R736" s="6"/>
      <c r="S736" s="2"/>
      <c r="T736" s="2"/>
      <c r="U736" s="2"/>
      <c r="V736" s="2"/>
      <c r="W736" s="2"/>
    </row>
    <row r="737" spans="1:23" ht="12.75" customHeight="1">
      <c r="A737" s="2"/>
      <c r="B737" s="2"/>
      <c r="C737" s="2"/>
      <c r="D737" s="4"/>
      <c r="E737" s="4"/>
      <c r="F737" s="4"/>
      <c r="G737" s="3"/>
      <c r="H737" s="4"/>
      <c r="I737" s="3"/>
      <c r="J737" s="4"/>
      <c r="K737" s="3"/>
      <c r="L737" s="4"/>
      <c r="M737" s="5"/>
      <c r="N737" s="6"/>
      <c r="O737" s="3"/>
      <c r="P737" s="4"/>
      <c r="Q737" s="5"/>
      <c r="R737" s="6"/>
      <c r="S737" s="2"/>
      <c r="T737" s="2"/>
      <c r="U737" s="2"/>
      <c r="V737" s="2"/>
      <c r="W737" s="2"/>
    </row>
    <row r="738" spans="1:23" ht="12.75" customHeight="1">
      <c r="A738" s="2"/>
      <c r="B738" s="2"/>
      <c r="C738" s="2"/>
      <c r="D738" s="4"/>
      <c r="E738" s="4"/>
      <c r="F738" s="4"/>
      <c r="G738" s="3"/>
      <c r="H738" s="4"/>
      <c r="I738" s="3"/>
      <c r="J738" s="4"/>
      <c r="K738" s="3"/>
      <c r="L738" s="4"/>
      <c r="M738" s="5"/>
      <c r="N738" s="6"/>
      <c r="O738" s="3"/>
      <c r="P738" s="4"/>
      <c r="Q738" s="5"/>
      <c r="R738" s="6"/>
      <c r="S738" s="2"/>
      <c r="T738" s="2"/>
      <c r="U738" s="2"/>
      <c r="V738" s="2"/>
      <c r="W738" s="2"/>
    </row>
    <row r="739" spans="1:23" ht="12.75" customHeight="1">
      <c r="A739" s="2"/>
      <c r="B739" s="2"/>
      <c r="C739" s="2"/>
      <c r="D739" s="4"/>
      <c r="E739" s="4"/>
      <c r="F739" s="4"/>
      <c r="G739" s="3"/>
      <c r="H739" s="4"/>
      <c r="I739" s="3"/>
      <c r="J739" s="4"/>
      <c r="K739" s="3"/>
      <c r="L739" s="4"/>
      <c r="M739" s="5"/>
      <c r="N739" s="6"/>
      <c r="O739" s="3"/>
      <c r="P739" s="4"/>
      <c r="Q739" s="5"/>
      <c r="R739" s="6"/>
      <c r="S739" s="2"/>
      <c r="T739" s="2"/>
      <c r="U739" s="2"/>
      <c r="V739" s="2"/>
      <c r="W739" s="2"/>
    </row>
    <row r="740" spans="1:23" ht="12.75" customHeight="1">
      <c r="A740" s="2"/>
      <c r="B740" s="2"/>
      <c r="C740" s="2"/>
      <c r="D740" s="4"/>
      <c r="E740" s="4"/>
      <c r="F740" s="4"/>
      <c r="G740" s="3"/>
      <c r="H740" s="4"/>
      <c r="I740" s="3"/>
      <c r="J740" s="4"/>
      <c r="K740" s="3"/>
      <c r="L740" s="4"/>
      <c r="M740" s="5"/>
      <c r="N740" s="6"/>
      <c r="O740" s="3"/>
      <c r="P740" s="4"/>
      <c r="Q740" s="5"/>
      <c r="R740" s="6"/>
      <c r="S740" s="2"/>
      <c r="T740" s="2"/>
      <c r="U740" s="2"/>
      <c r="V740" s="2"/>
      <c r="W740" s="2"/>
    </row>
    <row r="741" spans="1:23" ht="12.75" customHeight="1">
      <c r="A741" s="2"/>
      <c r="B741" s="2"/>
      <c r="C741" s="2"/>
      <c r="D741" s="4"/>
      <c r="E741" s="4"/>
      <c r="F741" s="4"/>
      <c r="G741" s="3"/>
      <c r="H741" s="4"/>
      <c r="I741" s="3"/>
      <c r="J741" s="4"/>
      <c r="K741" s="3"/>
      <c r="L741" s="4"/>
      <c r="M741" s="5"/>
      <c r="N741" s="6"/>
      <c r="O741" s="3"/>
      <c r="P741" s="4"/>
      <c r="Q741" s="5"/>
      <c r="R741" s="6"/>
      <c r="S741" s="2"/>
      <c r="T741" s="2"/>
      <c r="U741" s="2"/>
      <c r="V741" s="2"/>
      <c r="W741" s="2"/>
    </row>
    <row r="742" spans="1:23" ht="12.75" customHeight="1">
      <c r="A742" s="2"/>
      <c r="B742" s="2"/>
      <c r="C742" s="2"/>
      <c r="D742" s="4"/>
      <c r="E742" s="4"/>
      <c r="F742" s="4"/>
      <c r="G742" s="3"/>
      <c r="H742" s="4"/>
      <c r="I742" s="3"/>
      <c r="J742" s="4"/>
      <c r="K742" s="3"/>
      <c r="L742" s="4"/>
      <c r="M742" s="5"/>
      <c r="N742" s="6"/>
      <c r="O742" s="3"/>
      <c r="P742" s="4"/>
      <c r="Q742" s="5"/>
      <c r="R742" s="6"/>
      <c r="S742" s="2"/>
      <c r="T742" s="2"/>
      <c r="U742" s="2"/>
      <c r="V742" s="2"/>
      <c r="W742" s="2"/>
    </row>
    <row r="743" spans="1:23" ht="12.75" customHeight="1">
      <c r="A743" s="2"/>
      <c r="B743" s="2"/>
      <c r="C743" s="2"/>
      <c r="D743" s="4"/>
      <c r="E743" s="4"/>
      <c r="F743" s="4"/>
      <c r="G743" s="3"/>
      <c r="H743" s="4"/>
      <c r="I743" s="3"/>
      <c r="J743" s="4"/>
      <c r="K743" s="3"/>
      <c r="L743" s="4"/>
      <c r="M743" s="5"/>
      <c r="N743" s="6"/>
      <c r="O743" s="3"/>
      <c r="P743" s="4"/>
      <c r="Q743" s="5"/>
      <c r="R743" s="6"/>
      <c r="S743" s="2"/>
      <c r="T743" s="2"/>
      <c r="U743" s="2"/>
      <c r="V743" s="2"/>
      <c r="W743" s="2"/>
    </row>
    <row r="744" spans="1:23" ht="12.75" customHeight="1">
      <c r="A744" s="2"/>
      <c r="B744" s="2"/>
      <c r="C744" s="2"/>
      <c r="D744" s="4"/>
      <c r="E744" s="4"/>
      <c r="F744" s="4"/>
      <c r="G744" s="3"/>
      <c r="H744" s="4"/>
      <c r="I744" s="3"/>
      <c r="J744" s="4"/>
      <c r="K744" s="3"/>
      <c r="L744" s="4"/>
      <c r="M744" s="5"/>
      <c r="N744" s="6"/>
      <c r="O744" s="3"/>
      <c r="P744" s="4"/>
      <c r="Q744" s="5"/>
      <c r="R744" s="6"/>
      <c r="S744" s="2"/>
      <c r="T744" s="2"/>
      <c r="U744" s="2"/>
      <c r="V744" s="2"/>
      <c r="W744" s="2"/>
    </row>
    <row r="745" spans="1:23" ht="12.75" customHeight="1">
      <c r="A745" s="2"/>
      <c r="B745" s="2"/>
      <c r="C745" s="2"/>
      <c r="D745" s="4"/>
      <c r="E745" s="4"/>
      <c r="F745" s="4"/>
      <c r="G745" s="3"/>
      <c r="H745" s="4"/>
      <c r="I745" s="3"/>
      <c r="J745" s="4"/>
      <c r="K745" s="3"/>
      <c r="L745" s="4"/>
      <c r="M745" s="5"/>
      <c r="N745" s="6"/>
      <c r="O745" s="3"/>
      <c r="P745" s="4"/>
      <c r="Q745" s="5"/>
      <c r="R745" s="6"/>
      <c r="S745" s="2"/>
      <c r="T745" s="2"/>
      <c r="U745" s="2"/>
      <c r="V745" s="2"/>
      <c r="W745" s="2"/>
    </row>
    <row r="746" spans="1:23" ht="12.75" customHeight="1">
      <c r="A746" s="2"/>
      <c r="B746" s="2"/>
      <c r="C746" s="2"/>
      <c r="D746" s="4"/>
      <c r="E746" s="4"/>
      <c r="F746" s="4"/>
      <c r="G746" s="3"/>
      <c r="H746" s="4"/>
      <c r="I746" s="3"/>
      <c r="J746" s="4"/>
      <c r="K746" s="3"/>
      <c r="L746" s="4"/>
      <c r="M746" s="5"/>
      <c r="N746" s="6"/>
      <c r="O746" s="3"/>
      <c r="P746" s="4"/>
      <c r="Q746" s="5"/>
      <c r="R746" s="6"/>
      <c r="S746" s="2"/>
      <c r="T746" s="2"/>
      <c r="U746" s="2"/>
      <c r="V746" s="2"/>
      <c r="W746" s="2"/>
    </row>
    <row r="747" spans="1:23" ht="12.75" customHeight="1">
      <c r="A747" s="2"/>
      <c r="B747" s="2"/>
      <c r="C747" s="2"/>
      <c r="D747" s="4"/>
      <c r="E747" s="4"/>
      <c r="F747" s="4"/>
      <c r="G747" s="3"/>
      <c r="H747" s="4"/>
      <c r="I747" s="3"/>
      <c r="J747" s="4"/>
      <c r="K747" s="3"/>
      <c r="L747" s="4"/>
      <c r="M747" s="5"/>
      <c r="N747" s="6"/>
      <c r="O747" s="3"/>
      <c r="P747" s="4"/>
      <c r="Q747" s="5"/>
      <c r="R747" s="6"/>
      <c r="S747" s="2"/>
      <c r="T747" s="2"/>
      <c r="U747" s="2"/>
      <c r="V747" s="2"/>
      <c r="W747" s="2"/>
    </row>
    <row r="748" spans="1:23" ht="12.75" customHeight="1">
      <c r="A748" s="2"/>
      <c r="B748" s="2"/>
      <c r="C748" s="2"/>
      <c r="D748" s="4"/>
      <c r="E748" s="4"/>
      <c r="F748" s="4"/>
      <c r="G748" s="3"/>
      <c r="H748" s="4"/>
      <c r="I748" s="3"/>
      <c r="J748" s="4"/>
      <c r="K748" s="3"/>
      <c r="L748" s="4"/>
      <c r="M748" s="5"/>
      <c r="N748" s="6"/>
      <c r="O748" s="3"/>
      <c r="P748" s="4"/>
      <c r="Q748" s="5"/>
      <c r="R748" s="6"/>
      <c r="S748" s="2"/>
      <c r="T748" s="2"/>
      <c r="U748" s="2"/>
      <c r="V748" s="2"/>
      <c r="W748" s="2"/>
    </row>
    <row r="749" spans="1:23" ht="12.75" customHeight="1">
      <c r="A749" s="2"/>
      <c r="B749" s="2"/>
      <c r="C749" s="2"/>
      <c r="D749" s="4"/>
      <c r="E749" s="4"/>
      <c r="F749" s="4"/>
      <c r="G749" s="3"/>
      <c r="H749" s="4"/>
      <c r="I749" s="3"/>
      <c r="J749" s="4"/>
      <c r="K749" s="3"/>
      <c r="L749" s="4"/>
      <c r="M749" s="5"/>
      <c r="N749" s="6"/>
      <c r="O749" s="3"/>
      <c r="P749" s="4"/>
      <c r="Q749" s="5"/>
      <c r="R749" s="6"/>
      <c r="S749" s="2"/>
      <c r="T749" s="2"/>
      <c r="U749" s="2"/>
      <c r="V749" s="2"/>
      <c r="W749" s="2"/>
    </row>
    <row r="750" spans="1:23" ht="12.75" customHeight="1">
      <c r="A750" s="2"/>
      <c r="B750" s="2"/>
      <c r="C750" s="2"/>
      <c r="D750" s="4"/>
      <c r="E750" s="4"/>
      <c r="F750" s="4"/>
      <c r="G750" s="3"/>
      <c r="H750" s="4"/>
      <c r="I750" s="3"/>
      <c r="J750" s="4"/>
      <c r="K750" s="3"/>
      <c r="L750" s="4"/>
      <c r="M750" s="5"/>
      <c r="N750" s="6"/>
      <c r="O750" s="3"/>
      <c r="P750" s="4"/>
      <c r="Q750" s="5"/>
      <c r="R750" s="6"/>
      <c r="S750" s="2"/>
      <c r="T750" s="2"/>
      <c r="U750" s="2"/>
      <c r="V750" s="2"/>
      <c r="W750" s="2"/>
    </row>
    <row r="751" spans="1:23" ht="12.75" customHeight="1">
      <c r="A751" s="2"/>
      <c r="B751" s="2"/>
      <c r="C751" s="2"/>
      <c r="D751" s="4"/>
      <c r="E751" s="4"/>
      <c r="F751" s="4"/>
      <c r="G751" s="3"/>
      <c r="H751" s="4"/>
      <c r="I751" s="3"/>
      <c r="J751" s="4"/>
      <c r="K751" s="3"/>
      <c r="L751" s="4"/>
      <c r="M751" s="5"/>
      <c r="N751" s="6"/>
      <c r="O751" s="3"/>
      <c r="P751" s="4"/>
      <c r="Q751" s="5"/>
      <c r="R751" s="6"/>
      <c r="S751" s="2"/>
      <c r="T751" s="2"/>
      <c r="U751" s="2"/>
      <c r="V751" s="2"/>
      <c r="W751" s="2"/>
    </row>
    <row r="752" spans="1:23" ht="12.75" customHeight="1">
      <c r="A752" s="2"/>
      <c r="B752" s="2"/>
      <c r="C752" s="2"/>
      <c r="D752" s="4"/>
      <c r="E752" s="4"/>
      <c r="F752" s="4"/>
      <c r="G752" s="3"/>
      <c r="H752" s="4"/>
      <c r="I752" s="3"/>
      <c r="J752" s="4"/>
      <c r="K752" s="3"/>
      <c r="L752" s="4"/>
      <c r="M752" s="5"/>
      <c r="N752" s="6"/>
      <c r="O752" s="3"/>
      <c r="P752" s="4"/>
      <c r="Q752" s="5"/>
      <c r="R752" s="6"/>
      <c r="S752" s="2"/>
      <c r="T752" s="2"/>
      <c r="U752" s="2"/>
      <c r="V752" s="2"/>
      <c r="W752" s="2"/>
    </row>
    <row r="753" spans="1:23" ht="12.75" customHeight="1">
      <c r="A753" s="2"/>
      <c r="B753" s="2"/>
      <c r="C753" s="2"/>
      <c r="D753" s="4"/>
      <c r="E753" s="4"/>
      <c r="F753" s="4"/>
      <c r="G753" s="3"/>
      <c r="H753" s="4"/>
      <c r="I753" s="3"/>
      <c r="J753" s="4"/>
      <c r="K753" s="3"/>
      <c r="L753" s="4"/>
      <c r="M753" s="5"/>
      <c r="N753" s="6"/>
      <c r="O753" s="3"/>
      <c r="P753" s="4"/>
      <c r="Q753" s="5"/>
      <c r="R753" s="6"/>
      <c r="S753" s="2"/>
      <c r="T753" s="2"/>
      <c r="U753" s="2"/>
      <c r="V753" s="2"/>
      <c r="W753" s="2"/>
    </row>
    <row r="754" spans="1:23" ht="12.75" customHeight="1">
      <c r="A754" s="2"/>
      <c r="B754" s="2"/>
      <c r="C754" s="2"/>
      <c r="D754" s="4"/>
      <c r="E754" s="4"/>
      <c r="F754" s="4"/>
      <c r="G754" s="3"/>
      <c r="H754" s="4"/>
      <c r="I754" s="3"/>
      <c r="J754" s="4"/>
      <c r="K754" s="3"/>
      <c r="L754" s="4"/>
      <c r="M754" s="5"/>
      <c r="N754" s="6"/>
      <c r="O754" s="3"/>
      <c r="P754" s="4"/>
      <c r="Q754" s="5"/>
      <c r="R754" s="6"/>
      <c r="S754" s="2"/>
      <c r="T754" s="2"/>
      <c r="U754" s="2"/>
      <c r="V754" s="2"/>
      <c r="W754" s="2"/>
    </row>
    <row r="755" spans="1:23" ht="12.75" customHeight="1">
      <c r="A755" s="2"/>
      <c r="B755" s="2"/>
      <c r="C755" s="2"/>
      <c r="D755" s="4"/>
      <c r="E755" s="4"/>
      <c r="F755" s="4"/>
      <c r="G755" s="3"/>
      <c r="H755" s="4"/>
      <c r="I755" s="3"/>
      <c r="J755" s="4"/>
      <c r="K755" s="3"/>
      <c r="L755" s="4"/>
      <c r="M755" s="5"/>
      <c r="N755" s="6"/>
      <c r="O755" s="3"/>
      <c r="P755" s="4"/>
      <c r="Q755" s="5"/>
      <c r="R755" s="6"/>
      <c r="S755" s="2"/>
      <c r="T755" s="2"/>
      <c r="U755" s="2"/>
      <c r="V755" s="2"/>
      <c r="W755" s="2"/>
    </row>
    <row r="756" spans="1:23" ht="12.75" customHeight="1">
      <c r="A756" s="2"/>
      <c r="B756" s="2"/>
      <c r="C756" s="2"/>
      <c r="D756" s="4"/>
      <c r="E756" s="4"/>
      <c r="F756" s="4"/>
      <c r="G756" s="3"/>
      <c r="H756" s="4"/>
      <c r="I756" s="3"/>
      <c r="J756" s="4"/>
      <c r="K756" s="3"/>
      <c r="L756" s="4"/>
      <c r="M756" s="5"/>
      <c r="N756" s="6"/>
      <c r="O756" s="3"/>
      <c r="P756" s="4"/>
      <c r="Q756" s="5"/>
      <c r="R756" s="6"/>
      <c r="S756" s="2"/>
      <c r="T756" s="2"/>
      <c r="U756" s="2"/>
      <c r="V756" s="2"/>
      <c r="W756" s="2"/>
    </row>
    <row r="757" spans="1:23" ht="12.75" customHeight="1">
      <c r="A757" s="2"/>
      <c r="B757" s="2"/>
      <c r="C757" s="2"/>
      <c r="D757" s="4"/>
      <c r="E757" s="4"/>
      <c r="F757" s="4"/>
      <c r="G757" s="3"/>
      <c r="H757" s="4"/>
      <c r="I757" s="3"/>
      <c r="J757" s="4"/>
      <c r="K757" s="3"/>
      <c r="L757" s="4"/>
      <c r="M757" s="5"/>
      <c r="N757" s="6"/>
      <c r="O757" s="3"/>
      <c r="P757" s="4"/>
      <c r="Q757" s="5"/>
      <c r="R757" s="6"/>
      <c r="S757" s="2"/>
      <c r="T757" s="2"/>
      <c r="U757" s="2"/>
      <c r="V757" s="2"/>
      <c r="W757" s="2"/>
    </row>
    <row r="758" spans="1:23" ht="12.75" customHeight="1">
      <c r="A758" s="2"/>
      <c r="B758" s="2"/>
      <c r="C758" s="2"/>
      <c r="D758" s="4"/>
      <c r="E758" s="4"/>
      <c r="F758" s="4"/>
      <c r="G758" s="3"/>
      <c r="H758" s="4"/>
      <c r="I758" s="3"/>
      <c r="J758" s="4"/>
      <c r="K758" s="3"/>
      <c r="L758" s="4"/>
      <c r="M758" s="5"/>
      <c r="N758" s="6"/>
      <c r="O758" s="3"/>
      <c r="P758" s="4"/>
      <c r="Q758" s="5"/>
      <c r="R758" s="6"/>
      <c r="S758" s="2"/>
      <c r="T758" s="2"/>
      <c r="U758" s="2"/>
      <c r="V758" s="2"/>
      <c r="W758" s="2"/>
    </row>
    <row r="759" spans="1:23" ht="12.75" customHeight="1">
      <c r="A759" s="2"/>
      <c r="B759" s="2"/>
      <c r="C759" s="2"/>
      <c r="D759" s="4"/>
      <c r="E759" s="4"/>
      <c r="F759" s="4"/>
      <c r="G759" s="3"/>
      <c r="H759" s="4"/>
      <c r="I759" s="3"/>
      <c r="J759" s="4"/>
      <c r="K759" s="3"/>
      <c r="L759" s="4"/>
      <c r="M759" s="5"/>
      <c r="N759" s="6"/>
      <c r="O759" s="3"/>
      <c r="P759" s="4"/>
      <c r="Q759" s="5"/>
      <c r="R759" s="6"/>
      <c r="S759" s="2"/>
      <c r="T759" s="2"/>
      <c r="U759" s="2"/>
      <c r="V759" s="2"/>
      <c r="W759" s="2"/>
    </row>
    <row r="760" spans="1:23" ht="12.75" customHeight="1">
      <c r="A760" s="2"/>
      <c r="B760" s="2"/>
      <c r="C760" s="2"/>
      <c r="D760" s="4"/>
      <c r="E760" s="4"/>
      <c r="F760" s="4"/>
      <c r="G760" s="3"/>
      <c r="H760" s="4"/>
      <c r="I760" s="3"/>
      <c r="J760" s="4"/>
      <c r="K760" s="3"/>
      <c r="L760" s="4"/>
      <c r="M760" s="5"/>
      <c r="N760" s="6"/>
      <c r="O760" s="3"/>
      <c r="P760" s="4"/>
      <c r="Q760" s="5"/>
      <c r="R760" s="6"/>
      <c r="S760" s="2"/>
      <c r="T760" s="2"/>
      <c r="U760" s="2"/>
      <c r="V760" s="2"/>
      <c r="W760" s="2"/>
    </row>
    <row r="761" spans="1:23" ht="12.75" customHeight="1">
      <c r="A761" s="2"/>
      <c r="B761" s="2"/>
      <c r="C761" s="2"/>
      <c r="D761" s="4"/>
      <c r="E761" s="4"/>
      <c r="F761" s="4"/>
      <c r="G761" s="3"/>
      <c r="H761" s="4"/>
      <c r="I761" s="3"/>
      <c r="J761" s="4"/>
      <c r="K761" s="3"/>
      <c r="L761" s="4"/>
      <c r="M761" s="5"/>
      <c r="N761" s="6"/>
      <c r="O761" s="3"/>
      <c r="P761" s="4"/>
      <c r="Q761" s="5"/>
      <c r="R761" s="6"/>
      <c r="S761" s="2"/>
      <c r="T761" s="2"/>
      <c r="U761" s="2"/>
      <c r="V761" s="2"/>
      <c r="W761" s="2"/>
    </row>
    <row r="762" spans="1:23" ht="12.75" customHeight="1">
      <c r="A762" s="2"/>
      <c r="B762" s="2"/>
      <c r="C762" s="2"/>
      <c r="D762" s="4"/>
      <c r="E762" s="4"/>
      <c r="F762" s="4"/>
      <c r="G762" s="3"/>
      <c r="H762" s="4"/>
      <c r="I762" s="3"/>
      <c r="J762" s="4"/>
      <c r="K762" s="3"/>
      <c r="L762" s="4"/>
      <c r="M762" s="5"/>
      <c r="N762" s="6"/>
      <c r="O762" s="3"/>
      <c r="P762" s="4"/>
      <c r="Q762" s="5"/>
      <c r="R762" s="6"/>
      <c r="S762" s="2"/>
      <c r="T762" s="2"/>
      <c r="U762" s="2"/>
      <c r="V762" s="2"/>
      <c r="W762" s="2"/>
    </row>
    <row r="763" spans="1:23" ht="12.75" customHeight="1">
      <c r="A763" s="2"/>
      <c r="B763" s="2"/>
      <c r="C763" s="2"/>
      <c r="D763" s="4"/>
      <c r="E763" s="4"/>
      <c r="F763" s="4"/>
      <c r="G763" s="3"/>
      <c r="H763" s="4"/>
      <c r="I763" s="3"/>
      <c r="J763" s="4"/>
      <c r="K763" s="3"/>
      <c r="L763" s="4"/>
      <c r="M763" s="5"/>
      <c r="N763" s="6"/>
      <c r="O763" s="3"/>
      <c r="P763" s="4"/>
      <c r="Q763" s="5"/>
      <c r="R763" s="6"/>
      <c r="S763" s="2"/>
      <c r="T763" s="2"/>
      <c r="U763" s="2"/>
      <c r="V763" s="2"/>
      <c r="W763" s="2"/>
    </row>
    <row r="764" spans="1:23" ht="12.75" customHeight="1">
      <c r="A764" s="2"/>
      <c r="B764" s="2"/>
      <c r="C764" s="2"/>
      <c r="D764" s="4"/>
      <c r="E764" s="4"/>
      <c r="F764" s="4"/>
      <c r="G764" s="3"/>
      <c r="H764" s="4"/>
      <c r="I764" s="3"/>
      <c r="J764" s="4"/>
      <c r="K764" s="3"/>
      <c r="L764" s="4"/>
      <c r="M764" s="5"/>
      <c r="N764" s="6"/>
      <c r="O764" s="3"/>
      <c r="P764" s="4"/>
      <c r="Q764" s="5"/>
      <c r="R764" s="6"/>
      <c r="S764" s="2"/>
      <c r="T764" s="2"/>
      <c r="U764" s="2"/>
      <c r="V764" s="2"/>
      <c r="W764" s="2"/>
    </row>
    <row r="765" spans="1:23" ht="12.75" customHeight="1">
      <c r="A765" s="2"/>
      <c r="B765" s="2"/>
      <c r="C765" s="2"/>
      <c r="D765" s="4"/>
      <c r="E765" s="4"/>
      <c r="F765" s="4"/>
      <c r="G765" s="3"/>
      <c r="H765" s="4"/>
      <c r="I765" s="3"/>
      <c r="J765" s="4"/>
      <c r="K765" s="3"/>
      <c r="L765" s="4"/>
      <c r="M765" s="5"/>
      <c r="N765" s="6"/>
      <c r="O765" s="3"/>
      <c r="P765" s="4"/>
      <c r="Q765" s="5"/>
      <c r="R765" s="6"/>
      <c r="S765" s="2"/>
      <c r="T765" s="2"/>
      <c r="U765" s="2"/>
      <c r="V765" s="2"/>
      <c r="W765" s="2"/>
    </row>
    <row r="766" spans="1:23" ht="12.75" customHeight="1">
      <c r="A766" s="2"/>
      <c r="B766" s="2"/>
      <c r="C766" s="2"/>
      <c r="D766" s="4"/>
      <c r="E766" s="4"/>
      <c r="F766" s="4"/>
      <c r="G766" s="3"/>
      <c r="H766" s="4"/>
      <c r="I766" s="3"/>
      <c r="J766" s="4"/>
      <c r="K766" s="3"/>
      <c r="L766" s="4"/>
      <c r="M766" s="5"/>
      <c r="N766" s="6"/>
      <c r="O766" s="3"/>
      <c r="P766" s="4"/>
      <c r="Q766" s="5"/>
      <c r="R766" s="6"/>
      <c r="S766" s="2"/>
      <c r="T766" s="2"/>
      <c r="U766" s="2"/>
      <c r="V766" s="2"/>
      <c r="W766" s="2"/>
    </row>
    <row r="767" spans="1:23" ht="12.75" customHeight="1">
      <c r="A767" s="2"/>
      <c r="B767" s="2"/>
      <c r="C767" s="2"/>
      <c r="D767" s="4"/>
      <c r="E767" s="4"/>
      <c r="F767" s="4"/>
      <c r="G767" s="3"/>
      <c r="H767" s="4"/>
      <c r="I767" s="3"/>
      <c r="J767" s="4"/>
      <c r="K767" s="3"/>
      <c r="L767" s="4"/>
      <c r="M767" s="5"/>
      <c r="N767" s="6"/>
      <c r="O767" s="3"/>
      <c r="P767" s="4"/>
      <c r="Q767" s="5"/>
      <c r="R767" s="6"/>
      <c r="S767" s="2"/>
      <c r="T767" s="2"/>
      <c r="U767" s="2"/>
      <c r="V767" s="2"/>
      <c r="W767" s="2"/>
    </row>
    <row r="768" spans="1:23" ht="12.75" customHeight="1">
      <c r="A768" s="2"/>
      <c r="B768" s="2"/>
      <c r="C768" s="2"/>
      <c r="D768" s="4"/>
      <c r="E768" s="4"/>
      <c r="F768" s="4"/>
      <c r="G768" s="3"/>
      <c r="H768" s="4"/>
      <c r="I768" s="3"/>
      <c r="J768" s="4"/>
      <c r="K768" s="3"/>
      <c r="L768" s="4"/>
      <c r="M768" s="5"/>
      <c r="N768" s="6"/>
      <c r="O768" s="3"/>
      <c r="P768" s="4"/>
      <c r="Q768" s="5"/>
      <c r="R768" s="6"/>
      <c r="S768" s="2"/>
      <c r="T768" s="2"/>
      <c r="U768" s="2"/>
      <c r="V768" s="2"/>
      <c r="W768" s="2"/>
    </row>
    <row r="769" spans="1:23" ht="12.75" customHeight="1">
      <c r="A769" s="2"/>
      <c r="B769" s="2"/>
      <c r="C769" s="2"/>
      <c r="D769" s="4"/>
      <c r="E769" s="4"/>
      <c r="F769" s="4"/>
      <c r="G769" s="3"/>
      <c r="H769" s="4"/>
      <c r="I769" s="3"/>
      <c r="J769" s="4"/>
      <c r="K769" s="3"/>
      <c r="L769" s="4"/>
      <c r="M769" s="5"/>
      <c r="N769" s="6"/>
      <c r="O769" s="3"/>
      <c r="P769" s="4"/>
      <c r="Q769" s="5"/>
      <c r="R769" s="6"/>
      <c r="S769" s="2"/>
      <c r="T769" s="2"/>
      <c r="U769" s="2"/>
      <c r="V769" s="2"/>
      <c r="W769" s="2"/>
    </row>
    <row r="770" spans="1:23" ht="12.75" customHeight="1">
      <c r="A770" s="2"/>
      <c r="B770" s="2"/>
      <c r="C770" s="2"/>
      <c r="D770" s="4"/>
      <c r="E770" s="4"/>
      <c r="F770" s="4"/>
      <c r="G770" s="3"/>
      <c r="H770" s="4"/>
      <c r="I770" s="3"/>
      <c r="J770" s="4"/>
      <c r="K770" s="3"/>
      <c r="L770" s="4"/>
      <c r="M770" s="5"/>
      <c r="N770" s="6"/>
      <c r="O770" s="3"/>
      <c r="P770" s="4"/>
      <c r="Q770" s="5"/>
      <c r="R770" s="6"/>
      <c r="S770" s="2"/>
      <c r="T770" s="2"/>
      <c r="U770" s="2"/>
      <c r="V770" s="2"/>
      <c r="W770" s="2"/>
    </row>
    <row r="771" spans="1:23" ht="12.75" customHeight="1">
      <c r="A771" s="2"/>
      <c r="B771" s="2"/>
      <c r="C771" s="2"/>
      <c r="D771" s="4"/>
      <c r="E771" s="4"/>
      <c r="F771" s="4"/>
      <c r="G771" s="3"/>
      <c r="H771" s="4"/>
      <c r="I771" s="3"/>
      <c r="J771" s="4"/>
      <c r="K771" s="3"/>
      <c r="L771" s="4"/>
      <c r="M771" s="5"/>
      <c r="N771" s="6"/>
      <c r="O771" s="3"/>
      <c r="P771" s="4"/>
      <c r="Q771" s="5"/>
      <c r="R771" s="6"/>
      <c r="S771" s="2"/>
      <c r="T771" s="2"/>
      <c r="U771" s="2"/>
      <c r="V771" s="2"/>
      <c r="W771" s="2"/>
    </row>
    <row r="772" spans="1:23" ht="12.75" customHeight="1">
      <c r="A772" s="2"/>
      <c r="B772" s="2"/>
      <c r="C772" s="2"/>
      <c r="D772" s="4"/>
      <c r="E772" s="4"/>
      <c r="F772" s="4"/>
      <c r="G772" s="3"/>
      <c r="H772" s="4"/>
      <c r="I772" s="3"/>
      <c r="J772" s="4"/>
      <c r="K772" s="3"/>
      <c r="L772" s="4"/>
      <c r="M772" s="5"/>
      <c r="N772" s="6"/>
      <c r="O772" s="3"/>
      <c r="P772" s="4"/>
      <c r="Q772" s="5"/>
      <c r="R772" s="6"/>
      <c r="S772" s="2"/>
      <c r="T772" s="2"/>
      <c r="U772" s="2"/>
      <c r="V772" s="2"/>
      <c r="W772" s="2"/>
    </row>
    <row r="773" spans="1:23" ht="12.75" customHeight="1">
      <c r="A773" s="2"/>
      <c r="B773" s="2"/>
      <c r="C773" s="2"/>
      <c r="D773" s="4"/>
      <c r="E773" s="4"/>
      <c r="F773" s="4"/>
      <c r="G773" s="3"/>
      <c r="H773" s="4"/>
      <c r="I773" s="3"/>
      <c r="J773" s="4"/>
      <c r="K773" s="3"/>
      <c r="L773" s="4"/>
      <c r="M773" s="5"/>
      <c r="N773" s="6"/>
      <c r="O773" s="3"/>
      <c r="P773" s="4"/>
      <c r="Q773" s="5"/>
      <c r="R773" s="6"/>
      <c r="S773" s="2"/>
      <c r="T773" s="2"/>
      <c r="U773" s="2"/>
      <c r="V773" s="2"/>
      <c r="W773" s="2"/>
    </row>
    <row r="774" spans="1:23" ht="12.75" customHeight="1">
      <c r="A774" s="2"/>
      <c r="B774" s="2"/>
      <c r="C774" s="2"/>
      <c r="D774" s="4"/>
      <c r="E774" s="4"/>
      <c r="F774" s="4"/>
      <c r="G774" s="3"/>
      <c r="H774" s="4"/>
      <c r="I774" s="3"/>
      <c r="J774" s="4"/>
      <c r="K774" s="3"/>
      <c r="L774" s="4"/>
      <c r="M774" s="5"/>
      <c r="N774" s="6"/>
      <c r="O774" s="3"/>
      <c r="P774" s="4"/>
      <c r="Q774" s="5"/>
      <c r="R774" s="6"/>
      <c r="S774" s="2"/>
      <c r="T774" s="2"/>
      <c r="U774" s="2"/>
      <c r="V774" s="2"/>
      <c r="W774" s="2"/>
    </row>
    <row r="775" spans="1:23" ht="12.75" customHeight="1">
      <c r="A775" s="2"/>
      <c r="B775" s="2"/>
      <c r="C775" s="2"/>
      <c r="D775" s="4"/>
      <c r="E775" s="4"/>
      <c r="F775" s="4"/>
      <c r="G775" s="3"/>
      <c r="H775" s="4"/>
      <c r="I775" s="3"/>
      <c r="J775" s="4"/>
      <c r="K775" s="3"/>
      <c r="L775" s="4"/>
      <c r="M775" s="5"/>
      <c r="N775" s="6"/>
      <c r="O775" s="3"/>
      <c r="P775" s="4"/>
      <c r="Q775" s="5"/>
      <c r="R775" s="6"/>
      <c r="S775" s="2"/>
      <c r="T775" s="2"/>
      <c r="U775" s="2"/>
      <c r="V775" s="2"/>
      <c r="W775" s="2"/>
    </row>
    <row r="776" spans="1:23" ht="12.75" customHeight="1">
      <c r="A776" s="2"/>
      <c r="B776" s="2"/>
      <c r="C776" s="2"/>
      <c r="D776" s="4"/>
      <c r="E776" s="4"/>
      <c r="F776" s="4"/>
      <c r="G776" s="3"/>
      <c r="H776" s="4"/>
      <c r="I776" s="3"/>
      <c r="J776" s="4"/>
      <c r="K776" s="3"/>
      <c r="L776" s="4"/>
      <c r="M776" s="5"/>
      <c r="N776" s="6"/>
      <c r="O776" s="3"/>
      <c r="P776" s="4"/>
      <c r="Q776" s="5"/>
      <c r="R776" s="6"/>
      <c r="S776" s="2"/>
      <c r="T776" s="2"/>
      <c r="U776" s="2"/>
      <c r="V776" s="2"/>
      <c r="W776" s="2"/>
    </row>
    <row r="777" spans="1:23" ht="12.75" customHeight="1">
      <c r="A777" s="2"/>
      <c r="B777" s="2"/>
      <c r="C777" s="2"/>
      <c r="D777" s="4"/>
      <c r="E777" s="4"/>
      <c r="F777" s="4"/>
      <c r="G777" s="3"/>
      <c r="H777" s="4"/>
      <c r="I777" s="3"/>
      <c r="J777" s="4"/>
      <c r="K777" s="3"/>
      <c r="L777" s="4"/>
      <c r="M777" s="5"/>
      <c r="N777" s="6"/>
      <c r="O777" s="3"/>
      <c r="P777" s="4"/>
      <c r="Q777" s="5"/>
      <c r="R777" s="6"/>
      <c r="S777" s="2"/>
      <c r="T777" s="2"/>
      <c r="U777" s="2"/>
      <c r="V777" s="2"/>
      <c r="W777" s="2"/>
    </row>
    <row r="778" spans="1:23" ht="12.75" customHeight="1">
      <c r="A778" s="2"/>
      <c r="B778" s="2"/>
      <c r="C778" s="2"/>
      <c r="D778" s="4"/>
      <c r="E778" s="4"/>
      <c r="F778" s="4"/>
      <c r="G778" s="3"/>
      <c r="H778" s="4"/>
      <c r="I778" s="3"/>
      <c r="J778" s="4"/>
      <c r="K778" s="3"/>
      <c r="L778" s="4"/>
      <c r="M778" s="5"/>
      <c r="N778" s="6"/>
      <c r="O778" s="3"/>
      <c r="P778" s="4"/>
      <c r="Q778" s="5"/>
      <c r="R778" s="6"/>
      <c r="S778" s="2"/>
      <c r="T778" s="2"/>
      <c r="U778" s="2"/>
      <c r="V778" s="2"/>
      <c r="W778" s="2"/>
    </row>
    <row r="779" spans="1:23" ht="12.75" customHeight="1">
      <c r="A779" s="2"/>
      <c r="B779" s="2"/>
      <c r="C779" s="2"/>
      <c r="D779" s="4"/>
      <c r="E779" s="4"/>
      <c r="F779" s="4"/>
      <c r="G779" s="3"/>
      <c r="H779" s="4"/>
      <c r="I779" s="3"/>
      <c r="J779" s="4"/>
      <c r="K779" s="3"/>
      <c r="L779" s="4"/>
      <c r="M779" s="5"/>
      <c r="N779" s="6"/>
      <c r="O779" s="3"/>
      <c r="P779" s="4"/>
      <c r="Q779" s="5"/>
      <c r="R779" s="6"/>
      <c r="S779" s="2"/>
      <c r="T779" s="2"/>
      <c r="U779" s="2"/>
      <c r="V779" s="2"/>
      <c r="W779" s="2"/>
    </row>
    <row r="780" spans="1:23" ht="12.75" customHeight="1">
      <c r="A780" s="2"/>
      <c r="B780" s="2"/>
      <c r="C780" s="2"/>
      <c r="D780" s="4"/>
      <c r="E780" s="4"/>
      <c r="F780" s="4"/>
      <c r="G780" s="3"/>
      <c r="H780" s="4"/>
      <c r="I780" s="3"/>
      <c r="J780" s="4"/>
      <c r="K780" s="3"/>
      <c r="L780" s="4"/>
      <c r="M780" s="5"/>
      <c r="N780" s="6"/>
      <c r="O780" s="3"/>
      <c r="P780" s="4"/>
      <c r="Q780" s="5"/>
      <c r="R780" s="6"/>
      <c r="S780" s="2"/>
      <c r="T780" s="2"/>
      <c r="U780" s="2"/>
      <c r="V780" s="2"/>
      <c r="W780" s="2"/>
    </row>
    <row r="781" spans="1:23" ht="12.75" customHeight="1">
      <c r="A781" s="2"/>
      <c r="B781" s="2"/>
      <c r="C781" s="2"/>
      <c r="D781" s="4"/>
      <c r="E781" s="4"/>
      <c r="F781" s="4"/>
      <c r="G781" s="3"/>
      <c r="H781" s="4"/>
      <c r="I781" s="3"/>
      <c r="J781" s="4"/>
      <c r="K781" s="3"/>
      <c r="L781" s="4"/>
      <c r="M781" s="5"/>
      <c r="N781" s="6"/>
      <c r="O781" s="3"/>
      <c r="P781" s="4"/>
      <c r="Q781" s="5"/>
      <c r="R781" s="6"/>
      <c r="S781" s="2"/>
      <c r="T781" s="2"/>
      <c r="U781" s="2"/>
      <c r="V781" s="2"/>
      <c r="W781" s="2"/>
    </row>
    <row r="782" spans="1:23" ht="12.75" customHeight="1">
      <c r="A782" s="2"/>
      <c r="B782" s="2"/>
      <c r="C782" s="2"/>
      <c r="D782" s="4"/>
      <c r="E782" s="4"/>
      <c r="F782" s="4"/>
      <c r="G782" s="3"/>
      <c r="H782" s="4"/>
      <c r="I782" s="3"/>
      <c r="J782" s="4"/>
      <c r="K782" s="3"/>
      <c r="L782" s="4"/>
      <c r="M782" s="5"/>
      <c r="N782" s="6"/>
      <c r="O782" s="3"/>
      <c r="P782" s="4"/>
      <c r="Q782" s="5"/>
      <c r="R782" s="6"/>
      <c r="S782" s="2"/>
      <c r="T782" s="2"/>
      <c r="U782" s="2"/>
      <c r="V782" s="2"/>
      <c r="W782" s="2"/>
    </row>
    <row r="783" spans="1:23" ht="12.75" customHeight="1">
      <c r="A783" s="2"/>
      <c r="B783" s="2"/>
      <c r="C783" s="2"/>
      <c r="D783" s="4"/>
      <c r="E783" s="4"/>
      <c r="F783" s="4"/>
      <c r="G783" s="3"/>
      <c r="H783" s="4"/>
      <c r="I783" s="3"/>
      <c r="J783" s="4"/>
      <c r="K783" s="3"/>
      <c r="L783" s="4"/>
      <c r="M783" s="5"/>
      <c r="N783" s="6"/>
      <c r="O783" s="3"/>
      <c r="P783" s="4"/>
      <c r="Q783" s="5"/>
      <c r="R783" s="6"/>
      <c r="S783" s="2"/>
      <c r="T783" s="2"/>
      <c r="U783" s="2"/>
      <c r="V783" s="2"/>
      <c r="W783" s="2"/>
    </row>
    <row r="784" spans="1:23" ht="12.75" customHeight="1">
      <c r="A784" s="2"/>
      <c r="B784" s="2"/>
      <c r="C784" s="2"/>
      <c r="D784" s="4"/>
      <c r="E784" s="4"/>
      <c r="F784" s="4"/>
      <c r="G784" s="3"/>
      <c r="H784" s="4"/>
      <c r="I784" s="3"/>
      <c r="J784" s="4"/>
      <c r="K784" s="3"/>
      <c r="L784" s="4"/>
      <c r="M784" s="5"/>
      <c r="N784" s="6"/>
      <c r="O784" s="3"/>
      <c r="P784" s="4"/>
      <c r="Q784" s="5"/>
      <c r="R784" s="6"/>
      <c r="S784" s="2"/>
      <c r="T784" s="2"/>
      <c r="U784" s="2"/>
      <c r="V784" s="2"/>
      <c r="W784" s="2"/>
    </row>
    <row r="785" spans="1:23" ht="12.75" customHeight="1">
      <c r="A785" s="2"/>
      <c r="B785" s="2"/>
      <c r="C785" s="2"/>
      <c r="D785" s="4"/>
      <c r="E785" s="4"/>
      <c r="F785" s="4"/>
      <c r="G785" s="3"/>
      <c r="H785" s="4"/>
      <c r="I785" s="3"/>
      <c r="J785" s="4"/>
      <c r="K785" s="3"/>
      <c r="L785" s="4"/>
      <c r="M785" s="5"/>
      <c r="N785" s="6"/>
      <c r="O785" s="3"/>
      <c r="P785" s="4"/>
      <c r="Q785" s="5"/>
      <c r="R785" s="6"/>
      <c r="S785" s="2"/>
      <c r="T785" s="2"/>
      <c r="U785" s="2"/>
      <c r="V785" s="2"/>
      <c r="W785" s="2"/>
    </row>
    <row r="786" spans="1:23" ht="12.75" customHeight="1">
      <c r="A786" s="2"/>
      <c r="B786" s="2"/>
      <c r="C786" s="2"/>
      <c r="D786" s="4"/>
      <c r="E786" s="4"/>
      <c r="F786" s="4"/>
      <c r="G786" s="3"/>
      <c r="H786" s="4"/>
      <c r="I786" s="3"/>
      <c r="J786" s="4"/>
      <c r="K786" s="3"/>
      <c r="L786" s="4"/>
      <c r="M786" s="5"/>
      <c r="N786" s="6"/>
      <c r="O786" s="3"/>
      <c r="P786" s="4"/>
      <c r="Q786" s="5"/>
      <c r="R786" s="6"/>
      <c r="S786" s="2"/>
      <c r="T786" s="2"/>
      <c r="U786" s="2"/>
      <c r="V786" s="2"/>
      <c r="W786" s="2"/>
    </row>
    <row r="787" spans="1:23" ht="12.75" customHeight="1">
      <c r="A787" s="2"/>
      <c r="B787" s="2"/>
      <c r="C787" s="2"/>
      <c r="D787" s="4"/>
      <c r="E787" s="4"/>
      <c r="F787" s="4"/>
      <c r="G787" s="3"/>
      <c r="H787" s="4"/>
      <c r="I787" s="3"/>
      <c r="J787" s="4"/>
      <c r="K787" s="3"/>
      <c r="L787" s="4"/>
      <c r="M787" s="5"/>
      <c r="N787" s="6"/>
      <c r="O787" s="3"/>
      <c r="P787" s="4"/>
      <c r="Q787" s="5"/>
      <c r="R787" s="6"/>
      <c r="S787" s="2"/>
      <c r="T787" s="2"/>
      <c r="U787" s="2"/>
      <c r="V787" s="2"/>
      <c r="W787" s="2"/>
    </row>
    <row r="788" spans="1:23" ht="12.75" customHeight="1">
      <c r="A788" s="2"/>
      <c r="B788" s="2"/>
      <c r="C788" s="2"/>
      <c r="D788" s="4"/>
      <c r="E788" s="4"/>
      <c r="F788" s="4"/>
      <c r="G788" s="3"/>
      <c r="H788" s="4"/>
      <c r="I788" s="3"/>
      <c r="J788" s="4"/>
      <c r="K788" s="3"/>
      <c r="L788" s="4"/>
      <c r="M788" s="5"/>
      <c r="N788" s="6"/>
      <c r="O788" s="3"/>
      <c r="P788" s="4"/>
      <c r="Q788" s="5"/>
      <c r="R788" s="6"/>
      <c r="S788" s="2"/>
      <c r="T788" s="2"/>
      <c r="U788" s="2"/>
      <c r="V788" s="2"/>
      <c r="W788" s="2"/>
    </row>
    <row r="789" spans="1:23" ht="12.75" customHeight="1">
      <c r="A789" s="2"/>
      <c r="B789" s="2"/>
      <c r="C789" s="2"/>
      <c r="D789" s="4"/>
      <c r="E789" s="4"/>
      <c r="F789" s="4"/>
      <c r="G789" s="3"/>
      <c r="H789" s="4"/>
      <c r="I789" s="3"/>
      <c r="J789" s="4"/>
      <c r="K789" s="3"/>
      <c r="L789" s="4"/>
      <c r="M789" s="5"/>
      <c r="N789" s="6"/>
      <c r="O789" s="3"/>
      <c r="P789" s="4"/>
      <c r="Q789" s="5"/>
      <c r="R789" s="6"/>
      <c r="S789" s="2"/>
      <c r="T789" s="2"/>
      <c r="U789" s="2"/>
      <c r="V789" s="2"/>
      <c r="W789" s="2"/>
    </row>
    <row r="790" spans="1:23" ht="12.75" customHeight="1">
      <c r="A790" s="2"/>
      <c r="B790" s="2"/>
      <c r="C790" s="2"/>
      <c r="D790" s="4"/>
      <c r="E790" s="4"/>
      <c r="F790" s="4"/>
      <c r="G790" s="3"/>
      <c r="H790" s="4"/>
      <c r="I790" s="3"/>
      <c r="J790" s="4"/>
      <c r="K790" s="3"/>
      <c r="L790" s="4"/>
      <c r="M790" s="5"/>
      <c r="N790" s="6"/>
      <c r="O790" s="3"/>
      <c r="P790" s="4"/>
      <c r="Q790" s="5"/>
      <c r="R790" s="6"/>
      <c r="S790" s="2"/>
      <c r="T790" s="2"/>
      <c r="U790" s="2"/>
      <c r="V790" s="2"/>
      <c r="W790" s="2"/>
    </row>
    <row r="791" spans="1:23" ht="12.75" customHeight="1">
      <c r="A791" s="2"/>
      <c r="B791" s="2"/>
      <c r="C791" s="2"/>
      <c r="D791" s="4"/>
      <c r="E791" s="4"/>
      <c r="F791" s="4"/>
      <c r="G791" s="3"/>
      <c r="H791" s="4"/>
      <c r="I791" s="3"/>
      <c r="J791" s="4"/>
      <c r="K791" s="3"/>
      <c r="L791" s="4"/>
      <c r="M791" s="5"/>
      <c r="N791" s="6"/>
      <c r="O791" s="3"/>
      <c r="P791" s="4"/>
      <c r="Q791" s="5"/>
      <c r="R791" s="6"/>
      <c r="S791" s="2"/>
      <c r="T791" s="2"/>
      <c r="U791" s="2"/>
      <c r="V791" s="2"/>
      <c r="W791" s="2"/>
    </row>
    <row r="792" spans="1:23" ht="12.75" customHeight="1">
      <c r="A792" s="2"/>
      <c r="B792" s="2"/>
      <c r="C792" s="2"/>
      <c r="D792" s="4"/>
      <c r="E792" s="4"/>
      <c r="F792" s="4"/>
      <c r="G792" s="3"/>
      <c r="H792" s="4"/>
      <c r="I792" s="3"/>
      <c r="J792" s="4"/>
      <c r="K792" s="3"/>
      <c r="L792" s="4"/>
      <c r="M792" s="5"/>
      <c r="N792" s="6"/>
      <c r="O792" s="3"/>
      <c r="P792" s="4"/>
      <c r="Q792" s="5"/>
      <c r="R792" s="6"/>
      <c r="S792" s="2"/>
      <c r="T792" s="2"/>
      <c r="U792" s="2"/>
      <c r="V792" s="2"/>
      <c r="W792" s="2"/>
    </row>
    <row r="793" spans="1:23" ht="12.75" customHeight="1">
      <c r="A793" s="2"/>
      <c r="B793" s="2"/>
      <c r="C793" s="2"/>
      <c r="D793" s="4"/>
      <c r="E793" s="4"/>
      <c r="F793" s="4"/>
      <c r="G793" s="3"/>
      <c r="H793" s="4"/>
      <c r="I793" s="3"/>
      <c r="J793" s="4"/>
      <c r="K793" s="3"/>
      <c r="L793" s="4"/>
      <c r="M793" s="5"/>
      <c r="N793" s="6"/>
      <c r="O793" s="3"/>
      <c r="P793" s="4"/>
      <c r="Q793" s="5"/>
      <c r="R793" s="6"/>
      <c r="S793" s="2"/>
      <c r="T793" s="2"/>
      <c r="U793" s="2"/>
      <c r="V793" s="2"/>
      <c r="W793" s="2"/>
    </row>
    <row r="794" spans="1:23" ht="12.75" customHeight="1">
      <c r="A794" s="2"/>
      <c r="B794" s="2"/>
      <c r="C794" s="2"/>
      <c r="D794" s="4"/>
      <c r="E794" s="4"/>
      <c r="F794" s="4"/>
      <c r="G794" s="3"/>
      <c r="H794" s="4"/>
      <c r="I794" s="3"/>
      <c r="J794" s="4"/>
      <c r="K794" s="3"/>
      <c r="L794" s="4"/>
      <c r="M794" s="5"/>
      <c r="N794" s="6"/>
      <c r="O794" s="3"/>
      <c r="P794" s="4"/>
      <c r="Q794" s="5"/>
      <c r="R794" s="6"/>
      <c r="S794" s="2"/>
      <c r="T794" s="2"/>
      <c r="U794" s="2"/>
      <c r="V794" s="2"/>
      <c r="W794" s="2"/>
    </row>
    <row r="795" spans="1:23" ht="12.75" customHeight="1">
      <c r="A795" s="2"/>
      <c r="B795" s="2"/>
      <c r="C795" s="2"/>
      <c r="D795" s="4"/>
      <c r="E795" s="4"/>
      <c r="F795" s="4"/>
      <c r="G795" s="3"/>
      <c r="H795" s="4"/>
      <c r="I795" s="3"/>
      <c r="J795" s="4"/>
      <c r="K795" s="3"/>
      <c r="L795" s="4"/>
      <c r="M795" s="5"/>
      <c r="N795" s="6"/>
      <c r="O795" s="3"/>
      <c r="P795" s="4"/>
      <c r="Q795" s="5"/>
      <c r="R795" s="6"/>
      <c r="S795" s="2"/>
      <c r="T795" s="2"/>
      <c r="U795" s="2"/>
      <c r="V795" s="2"/>
      <c r="W795" s="2"/>
    </row>
    <row r="796" spans="1:23" ht="12.75" customHeight="1">
      <c r="A796" s="2"/>
      <c r="B796" s="2"/>
      <c r="C796" s="2"/>
      <c r="D796" s="4"/>
      <c r="E796" s="4"/>
      <c r="F796" s="4"/>
      <c r="G796" s="3"/>
      <c r="H796" s="4"/>
      <c r="I796" s="3"/>
      <c r="J796" s="4"/>
      <c r="K796" s="3"/>
      <c r="L796" s="4"/>
      <c r="M796" s="5"/>
      <c r="N796" s="6"/>
      <c r="O796" s="3"/>
      <c r="P796" s="4"/>
      <c r="Q796" s="5"/>
      <c r="R796" s="6"/>
      <c r="S796" s="2"/>
      <c r="T796" s="2"/>
      <c r="U796" s="2"/>
      <c r="V796" s="2"/>
      <c r="W796" s="2"/>
    </row>
    <row r="797" spans="1:23" ht="12.75" customHeight="1">
      <c r="A797" s="2"/>
      <c r="B797" s="2"/>
      <c r="C797" s="2"/>
      <c r="D797" s="4"/>
      <c r="E797" s="4"/>
      <c r="F797" s="4"/>
      <c r="G797" s="3"/>
      <c r="H797" s="4"/>
      <c r="I797" s="3"/>
      <c r="J797" s="4"/>
      <c r="K797" s="3"/>
      <c r="L797" s="4"/>
      <c r="M797" s="5"/>
      <c r="N797" s="6"/>
      <c r="O797" s="3"/>
      <c r="P797" s="4"/>
      <c r="Q797" s="5"/>
      <c r="R797" s="6"/>
      <c r="S797" s="2"/>
      <c r="T797" s="2"/>
      <c r="U797" s="2"/>
      <c r="V797" s="2"/>
      <c r="W797" s="2"/>
    </row>
    <row r="798" spans="1:23" ht="12.75" customHeight="1">
      <c r="A798" s="2"/>
      <c r="B798" s="2"/>
      <c r="C798" s="2"/>
      <c r="D798" s="4"/>
      <c r="E798" s="4"/>
      <c r="F798" s="4"/>
      <c r="G798" s="3"/>
      <c r="H798" s="4"/>
      <c r="I798" s="3"/>
      <c r="J798" s="4"/>
      <c r="K798" s="3"/>
      <c r="L798" s="4"/>
      <c r="M798" s="5"/>
      <c r="N798" s="6"/>
      <c r="O798" s="3"/>
      <c r="P798" s="4"/>
      <c r="Q798" s="5"/>
      <c r="R798" s="6"/>
      <c r="S798" s="2"/>
      <c r="T798" s="2"/>
      <c r="U798" s="2"/>
      <c r="V798" s="2"/>
      <c r="W798" s="2"/>
    </row>
    <row r="799" spans="1:23" ht="12.75" customHeight="1">
      <c r="A799" s="2"/>
      <c r="B799" s="2"/>
      <c r="C799" s="2"/>
      <c r="D799" s="4"/>
      <c r="E799" s="4"/>
      <c r="F799" s="4"/>
      <c r="G799" s="3"/>
      <c r="H799" s="4"/>
      <c r="I799" s="3"/>
      <c r="J799" s="4"/>
      <c r="K799" s="3"/>
      <c r="L799" s="4"/>
      <c r="M799" s="5"/>
      <c r="N799" s="6"/>
      <c r="O799" s="3"/>
      <c r="P799" s="4"/>
      <c r="Q799" s="5"/>
      <c r="R799" s="6"/>
      <c r="S799" s="2"/>
      <c r="T799" s="2"/>
      <c r="U799" s="2"/>
      <c r="V799" s="2"/>
      <c r="W799" s="2"/>
    </row>
    <row r="800" spans="1:23" ht="12.75" customHeight="1">
      <c r="A800" s="2"/>
      <c r="B800" s="2"/>
      <c r="C800" s="2"/>
      <c r="D800" s="4"/>
      <c r="E800" s="4"/>
      <c r="F800" s="4"/>
      <c r="G800" s="3"/>
      <c r="H800" s="4"/>
      <c r="I800" s="3"/>
      <c r="J800" s="4"/>
      <c r="K800" s="3"/>
      <c r="L800" s="4"/>
      <c r="M800" s="5"/>
      <c r="N800" s="6"/>
      <c r="O800" s="3"/>
      <c r="P800" s="4"/>
      <c r="Q800" s="5"/>
      <c r="R800" s="6"/>
      <c r="S800" s="2"/>
      <c r="T800" s="2"/>
      <c r="U800" s="2"/>
      <c r="V800" s="2"/>
      <c r="W800" s="2"/>
    </row>
    <row r="801" spans="1:23" ht="12.75" customHeight="1">
      <c r="A801" s="2"/>
      <c r="B801" s="2"/>
      <c r="C801" s="2"/>
      <c r="D801" s="4"/>
      <c r="E801" s="4"/>
      <c r="F801" s="4"/>
      <c r="G801" s="3"/>
      <c r="H801" s="4"/>
      <c r="I801" s="3"/>
      <c r="J801" s="4"/>
      <c r="K801" s="3"/>
      <c r="L801" s="4"/>
      <c r="M801" s="5"/>
      <c r="N801" s="6"/>
      <c r="O801" s="3"/>
      <c r="P801" s="4"/>
      <c r="Q801" s="5"/>
      <c r="R801" s="6"/>
      <c r="S801" s="2"/>
      <c r="T801" s="2"/>
      <c r="U801" s="2"/>
      <c r="V801" s="2"/>
      <c r="W801" s="2"/>
    </row>
    <row r="802" spans="1:23" ht="12.75" customHeight="1">
      <c r="A802" s="2"/>
      <c r="B802" s="2"/>
      <c r="C802" s="2"/>
      <c r="D802" s="4"/>
      <c r="E802" s="4"/>
      <c r="F802" s="4"/>
      <c r="G802" s="3"/>
      <c r="H802" s="4"/>
      <c r="I802" s="3"/>
      <c r="J802" s="4"/>
      <c r="K802" s="3"/>
      <c r="L802" s="4"/>
      <c r="M802" s="5"/>
      <c r="N802" s="6"/>
      <c r="O802" s="3"/>
      <c r="P802" s="4"/>
      <c r="Q802" s="5"/>
      <c r="R802" s="6"/>
      <c r="S802" s="2"/>
      <c r="T802" s="2"/>
      <c r="U802" s="2"/>
      <c r="V802" s="2"/>
      <c r="W802" s="2"/>
    </row>
    <row r="803" spans="1:23" ht="12.75" customHeight="1">
      <c r="A803" s="2"/>
      <c r="B803" s="2"/>
      <c r="C803" s="2"/>
      <c r="D803" s="4"/>
      <c r="E803" s="4"/>
      <c r="F803" s="4"/>
      <c r="G803" s="3"/>
      <c r="H803" s="4"/>
      <c r="I803" s="3"/>
      <c r="J803" s="4"/>
      <c r="K803" s="3"/>
      <c r="L803" s="4"/>
      <c r="M803" s="5"/>
      <c r="N803" s="6"/>
      <c r="O803" s="3"/>
      <c r="P803" s="4"/>
      <c r="Q803" s="5"/>
      <c r="R803" s="6"/>
      <c r="S803" s="2"/>
      <c r="T803" s="2"/>
      <c r="U803" s="2"/>
      <c r="V803" s="2"/>
      <c r="W803" s="2"/>
    </row>
    <row r="804" spans="1:23" ht="12.75" customHeight="1">
      <c r="A804" s="2"/>
      <c r="B804" s="2"/>
      <c r="C804" s="2"/>
      <c r="D804" s="4"/>
      <c r="E804" s="4"/>
      <c r="F804" s="4"/>
      <c r="G804" s="3"/>
      <c r="H804" s="4"/>
      <c r="I804" s="3"/>
      <c r="J804" s="4"/>
      <c r="K804" s="3"/>
      <c r="L804" s="4"/>
      <c r="M804" s="5"/>
      <c r="N804" s="6"/>
      <c r="O804" s="3"/>
      <c r="P804" s="4"/>
      <c r="Q804" s="5"/>
      <c r="R804" s="6"/>
      <c r="S804" s="2"/>
      <c r="T804" s="2"/>
      <c r="U804" s="2"/>
      <c r="V804" s="2"/>
      <c r="W804" s="2"/>
    </row>
    <row r="805" spans="1:23" ht="12.75" customHeight="1">
      <c r="A805" s="2"/>
      <c r="B805" s="2"/>
      <c r="C805" s="2"/>
      <c r="D805" s="4"/>
      <c r="E805" s="4"/>
      <c r="F805" s="4"/>
      <c r="G805" s="3"/>
      <c r="H805" s="4"/>
      <c r="I805" s="3"/>
      <c r="J805" s="4"/>
      <c r="K805" s="3"/>
      <c r="L805" s="4"/>
      <c r="M805" s="5"/>
      <c r="N805" s="6"/>
      <c r="O805" s="3"/>
      <c r="P805" s="4"/>
      <c r="Q805" s="5"/>
      <c r="R805" s="6"/>
      <c r="S805" s="2"/>
      <c r="T805" s="2"/>
      <c r="U805" s="2"/>
      <c r="V805" s="2"/>
      <c r="W805" s="2"/>
    </row>
    <row r="806" spans="1:23" ht="12.75" customHeight="1">
      <c r="A806" s="2"/>
      <c r="B806" s="2"/>
      <c r="C806" s="2"/>
      <c r="D806" s="4"/>
      <c r="E806" s="4"/>
      <c r="F806" s="4"/>
      <c r="G806" s="3"/>
      <c r="H806" s="4"/>
      <c r="I806" s="3"/>
      <c r="J806" s="4"/>
      <c r="K806" s="3"/>
      <c r="L806" s="4"/>
      <c r="M806" s="5"/>
      <c r="N806" s="6"/>
      <c r="O806" s="3"/>
      <c r="P806" s="4"/>
      <c r="Q806" s="5"/>
      <c r="R806" s="6"/>
      <c r="S806" s="2"/>
      <c r="T806" s="2"/>
      <c r="U806" s="2"/>
      <c r="V806" s="2"/>
      <c r="W806" s="2"/>
    </row>
    <row r="807" spans="1:23" ht="12.75" customHeight="1">
      <c r="A807" s="2"/>
      <c r="B807" s="2"/>
      <c r="C807" s="2"/>
      <c r="D807" s="4"/>
      <c r="E807" s="4"/>
      <c r="F807" s="4"/>
      <c r="G807" s="3"/>
      <c r="H807" s="4"/>
      <c r="I807" s="3"/>
      <c r="J807" s="4"/>
      <c r="K807" s="3"/>
      <c r="L807" s="4"/>
      <c r="M807" s="5"/>
      <c r="N807" s="6"/>
      <c r="O807" s="3"/>
      <c r="P807" s="4"/>
      <c r="Q807" s="5"/>
      <c r="R807" s="6"/>
      <c r="S807" s="2"/>
      <c r="T807" s="2"/>
      <c r="U807" s="2"/>
      <c r="V807" s="2"/>
      <c r="W807" s="2"/>
    </row>
    <row r="808" spans="1:23" ht="12.75" customHeight="1">
      <c r="A808" s="2"/>
      <c r="B808" s="2"/>
      <c r="C808" s="2"/>
      <c r="D808" s="4"/>
      <c r="E808" s="4"/>
      <c r="F808" s="4"/>
      <c r="G808" s="3"/>
      <c r="H808" s="4"/>
      <c r="I808" s="3"/>
      <c r="J808" s="4"/>
      <c r="K808" s="3"/>
      <c r="L808" s="4"/>
      <c r="M808" s="5"/>
      <c r="N808" s="6"/>
      <c r="O808" s="3"/>
      <c r="P808" s="4"/>
      <c r="Q808" s="5"/>
      <c r="R808" s="6"/>
      <c r="S808" s="2"/>
      <c r="T808" s="2"/>
      <c r="U808" s="2"/>
      <c r="V808" s="2"/>
      <c r="W808" s="2"/>
    </row>
    <row r="809" spans="1:23" ht="12.75" customHeight="1">
      <c r="A809" s="2"/>
      <c r="B809" s="2"/>
      <c r="C809" s="2"/>
      <c r="D809" s="4"/>
      <c r="E809" s="4"/>
      <c r="F809" s="4"/>
      <c r="G809" s="3"/>
      <c r="H809" s="4"/>
      <c r="I809" s="3"/>
      <c r="J809" s="4"/>
      <c r="K809" s="3"/>
      <c r="L809" s="4"/>
      <c r="M809" s="5"/>
      <c r="N809" s="6"/>
      <c r="O809" s="3"/>
      <c r="P809" s="4"/>
      <c r="Q809" s="5"/>
      <c r="R809" s="6"/>
      <c r="S809" s="2"/>
      <c r="T809" s="2"/>
      <c r="U809" s="2"/>
      <c r="V809" s="2"/>
      <c r="W809" s="2"/>
    </row>
    <row r="810" spans="1:23" ht="12.75" customHeight="1">
      <c r="A810" s="2"/>
      <c r="B810" s="2"/>
      <c r="C810" s="2"/>
      <c r="D810" s="4"/>
      <c r="E810" s="4"/>
      <c r="F810" s="4"/>
      <c r="G810" s="3"/>
      <c r="H810" s="4"/>
      <c r="I810" s="3"/>
      <c r="J810" s="4"/>
      <c r="K810" s="3"/>
      <c r="L810" s="4"/>
      <c r="M810" s="5"/>
      <c r="N810" s="6"/>
      <c r="O810" s="3"/>
      <c r="P810" s="4"/>
      <c r="Q810" s="5"/>
      <c r="R810" s="6"/>
      <c r="S810" s="2"/>
      <c r="T810" s="2"/>
      <c r="U810" s="2"/>
      <c r="V810" s="2"/>
      <c r="W810" s="2"/>
    </row>
    <row r="811" spans="1:23" ht="12.75" customHeight="1">
      <c r="A811" s="2"/>
      <c r="B811" s="2"/>
      <c r="C811" s="2"/>
      <c r="D811" s="4"/>
      <c r="E811" s="4"/>
      <c r="F811" s="4"/>
      <c r="G811" s="3"/>
      <c r="H811" s="4"/>
      <c r="I811" s="3"/>
      <c r="J811" s="4"/>
      <c r="K811" s="3"/>
      <c r="L811" s="4"/>
      <c r="M811" s="5"/>
      <c r="N811" s="6"/>
      <c r="O811" s="3"/>
      <c r="P811" s="4"/>
      <c r="Q811" s="5"/>
      <c r="R811" s="6"/>
      <c r="S811" s="2"/>
      <c r="T811" s="2"/>
      <c r="U811" s="2"/>
      <c r="V811" s="2"/>
      <c r="W811" s="2"/>
    </row>
    <row r="812" spans="1:23" ht="12.75" customHeight="1">
      <c r="A812" s="2"/>
      <c r="B812" s="2"/>
      <c r="C812" s="2"/>
      <c r="D812" s="4"/>
      <c r="E812" s="4"/>
      <c r="F812" s="4"/>
      <c r="G812" s="3"/>
      <c r="H812" s="4"/>
      <c r="I812" s="3"/>
      <c r="J812" s="4"/>
      <c r="K812" s="3"/>
      <c r="L812" s="4"/>
      <c r="M812" s="5"/>
      <c r="N812" s="6"/>
      <c r="O812" s="3"/>
      <c r="P812" s="4"/>
      <c r="Q812" s="5"/>
      <c r="R812" s="6"/>
      <c r="S812" s="2"/>
      <c r="T812" s="2"/>
      <c r="U812" s="2"/>
      <c r="V812" s="2"/>
      <c r="W812" s="2"/>
    </row>
    <row r="813" spans="1:23" ht="12.75" customHeight="1">
      <c r="A813" s="2"/>
      <c r="B813" s="2"/>
      <c r="C813" s="2"/>
      <c r="D813" s="4"/>
      <c r="E813" s="4"/>
      <c r="F813" s="4"/>
      <c r="G813" s="3"/>
      <c r="H813" s="4"/>
      <c r="I813" s="3"/>
      <c r="J813" s="4"/>
      <c r="K813" s="3"/>
      <c r="L813" s="4"/>
      <c r="M813" s="5"/>
      <c r="N813" s="6"/>
      <c r="O813" s="3"/>
      <c r="P813" s="4"/>
      <c r="Q813" s="5"/>
      <c r="R813" s="6"/>
      <c r="S813" s="2"/>
      <c r="T813" s="2"/>
      <c r="U813" s="2"/>
      <c r="V813" s="2"/>
      <c r="W813" s="2"/>
    </row>
    <row r="814" spans="1:23" ht="12.75" customHeight="1">
      <c r="A814" s="2"/>
      <c r="B814" s="2"/>
      <c r="C814" s="2"/>
      <c r="D814" s="4"/>
      <c r="E814" s="4"/>
      <c r="F814" s="4"/>
      <c r="G814" s="3"/>
      <c r="H814" s="4"/>
      <c r="I814" s="3"/>
      <c r="J814" s="4"/>
      <c r="K814" s="3"/>
      <c r="L814" s="4"/>
      <c r="M814" s="5"/>
      <c r="N814" s="6"/>
      <c r="O814" s="3"/>
      <c r="P814" s="4"/>
      <c r="Q814" s="5"/>
      <c r="R814" s="6"/>
      <c r="S814" s="2"/>
      <c r="T814" s="2"/>
      <c r="U814" s="2"/>
      <c r="V814" s="2"/>
      <c r="W814" s="2"/>
    </row>
    <row r="815" spans="1:23" ht="12.75" customHeight="1">
      <c r="A815" s="2"/>
      <c r="B815" s="2"/>
      <c r="C815" s="2"/>
      <c r="D815" s="4"/>
      <c r="E815" s="4"/>
      <c r="F815" s="4"/>
      <c r="G815" s="3"/>
      <c r="H815" s="4"/>
      <c r="I815" s="3"/>
      <c r="J815" s="4"/>
      <c r="K815" s="3"/>
      <c r="L815" s="4"/>
      <c r="M815" s="5"/>
      <c r="N815" s="6"/>
      <c r="O815" s="3"/>
      <c r="P815" s="4"/>
      <c r="Q815" s="5"/>
      <c r="R815" s="6"/>
      <c r="S815" s="2"/>
      <c r="T815" s="2"/>
      <c r="U815" s="2"/>
      <c r="V815" s="2"/>
      <c r="W815" s="2"/>
    </row>
    <row r="816" spans="1:23" ht="12.75" customHeight="1">
      <c r="A816" s="2"/>
      <c r="B816" s="2"/>
      <c r="C816" s="2"/>
      <c r="D816" s="4"/>
      <c r="E816" s="4"/>
      <c r="F816" s="4"/>
      <c r="G816" s="3"/>
      <c r="H816" s="4"/>
      <c r="I816" s="3"/>
      <c r="J816" s="4"/>
      <c r="K816" s="3"/>
      <c r="L816" s="4"/>
      <c r="M816" s="5"/>
      <c r="N816" s="6"/>
      <c r="O816" s="3"/>
      <c r="P816" s="4"/>
      <c r="Q816" s="5"/>
      <c r="R816" s="6"/>
      <c r="S816" s="2"/>
      <c r="T816" s="2"/>
      <c r="U816" s="2"/>
      <c r="V816" s="2"/>
      <c r="W816" s="2"/>
    </row>
    <row r="817" spans="1:23" ht="12.75" customHeight="1">
      <c r="A817" s="2"/>
      <c r="B817" s="2"/>
      <c r="C817" s="2"/>
      <c r="D817" s="4"/>
      <c r="E817" s="4"/>
      <c r="F817" s="4"/>
      <c r="G817" s="3"/>
      <c r="H817" s="4"/>
      <c r="I817" s="3"/>
      <c r="J817" s="4"/>
      <c r="K817" s="3"/>
      <c r="L817" s="4"/>
      <c r="M817" s="5"/>
      <c r="N817" s="6"/>
      <c r="O817" s="3"/>
      <c r="P817" s="4"/>
      <c r="Q817" s="5"/>
      <c r="R817" s="6"/>
      <c r="S817" s="2"/>
      <c r="T817" s="2"/>
      <c r="U817" s="2"/>
      <c r="V817" s="2"/>
      <c r="W817" s="2"/>
    </row>
    <row r="818" spans="1:23" ht="12.75" customHeight="1">
      <c r="A818" s="2"/>
      <c r="B818" s="2"/>
      <c r="C818" s="2"/>
      <c r="D818" s="4"/>
      <c r="E818" s="4"/>
      <c r="F818" s="4"/>
      <c r="G818" s="3"/>
      <c r="H818" s="4"/>
      <c r="I818" s="3"/>
      <c r="J818" s="4"/>
      <c r="K818" s="3"/>
      <c r="L818" s="4"/>
      <c r="M818" s="5"/>
      <c r="N818" s="6"/>
      <c r="O818" s="3"/>
      <c r="P818" s="4"/>
      <c r="Q818" s="5"/>
      <c r="R818" s="6"/>
      <c r="S818" s="2"/>
      <c r="T818" s="2"/>
      <c r="U818" s="2"/>
      <c r="V818" s="2"/>
      <c r="W818" s="2"/>
    </row>
    <row r="819" spans="1:23" ht="12.75" customHeight="1">
      <c r="A819" s="2"/>
      <c r="B819" s="2"/>
      <c r="C819" s="2"/>
      <c r="D819" s="4"/>
      <c r="E819" s="4"/>
      <c r="F819" s="4"/>
      <c r="G819" s="3"/>
      <c r="H819" s="4"/>
      <c r="I819" s="3"/>
      <c r="J819" s="4"/>
      <c r="K819" s="3"/>
      <c r="L819" s="4"/>
      <c r="M819" s="5"/>
      <c r="N819" s="6"/>
      <c r="O819" s="3"/>
      <c r="P819" s="4"/>
      <c r="Q819" s="5"/>
      <c r="R819" s="6"/>
      <c r="S819" s="2"/>
      <c r="T819" s="2"/>
      <c r="U819" s="2"/>
      <c r="V819" s="2"/>
      <c r="W819" s="2"/>
    </row>
    <row r="820" spans="1:23" ht="12.75" customHeight="1">
      <c r="A820" s="2"/>
      <c r="B820" s="2"/>
      <c r="C820" s="2"/>
      <c r="D820" s="4"/>
      <c r="E820" s="4"/>
      <c r="F820" s="4"/>
      <c r="G820" s="3"/>
      <c r="H820" s="4"/>
      <c r="I820" s="3"/>
      <c r="J820" s="4"/>
      <c r="K820" s="3"/>
      <c r="L820" s="4"/>
      <c r="M820" s="5"/>
      <c r="N820" s="6"/>
      <c r="O820" s="3"/>
      <c r="P820" s="4"/>
      <c r="Q820" s="5"/>
      <c r="R820" s="6"/>
      <c r="S820" s="2"/>
      <c r="T820" s="2"/>
      <c r="U820" s="2"/>
      <c r="V820" s="2"/>
      <c r="W820" s="2"/>
    </row>
    <row r="821" spans="1:23" ht="12.75" customHeight="1">
      <c r="A821" s="2"/>
      <c r="B821" s="2"/>
      <c r="C821" s="2"/>
      <c r="D821" s="4"/>
      <c r="E821" s="4"/>
      <c r="F821" s="4"/>
      <c r="G821" s="3"/>
      <c r="H821" s="4"/>
      <c r="I821" s="3"/>
      <c r="J821" s="4"/>
      <c r="K821" s="3"/>
      <c r="L821" s="4"/>
      <c r="M821" s="5"/>
      <c r="N821" s="6"/>
      <c r="O821" s="3"/>
      <c r="P821" s="4"/>
      <c r="Q821" s="5"/>
      <c r="R821" s="6"/>
      <c r="S821" s="2"/>
      <c r="T821" s="2"/>
      <c r="U821" s="2"/>
      <c r="V821" s="2"/>
      <c r="W821" s="2"/>
    </row>
    <row r="822" spans="1:23" ht="12.75" customHeight="1">
      <c r="A822" s="2"/>
      <c r="B822" s="2"/>
      <c r="C822" s="2"/>
      <c r="D822" s="4"/>
      <c r="E822" s="4"/>
      <c r="F822" s="4"/>
      <c r="G822" s="3"/>
      <c r="H822" s="4"/>
      <c r="I822" s="3"/>
      <c r="J822" s="4"/>
      <c r="K822" s="3"/>
      <c r="L822" s="4"/>
      <c r="M822" s="5"/>
      <c r="N822" s="6"/>
      <c r="O822" s="3"/>
      <c r="P822" s="4"/>
      <c r="Q822" s="5"/>
      <c r="R822" s="6"/>
      <c r="S822" s="2"/>
      <c r="T822" s="2"/>
      <c r="U822" s="2"/>
      <c r="V822" s="2"/>
      <c r="W822" s="2"/>
    </row>
    <row r="823" spans="1:23" ht="12.75" customHeight="1">
      <c r="A823" s="2"/>
      <c r="B823" s="2"/>
      <c r="C823" s="2"/>
      <c r="D823" s="4"/>
      <c r="E823" s="4"/>
      <c r="F823" s="4"/>
      <c r="G823" s="3"/>
      <c r="H823" s="4"/>
      <c r="I823" s="3"/>
      <c r="J823" s="4"/>
      <c r="K823" s="3"/>
      <c r="L823" s="4"/>
      <c r="M823" s="5"/>
      <c r="N823" s="6"/>
      <c r="O823" s="3"/>
      <c r="P823" s="4"/>
      <c r="Q823" s="5"/>
      <c r="R823" s="6"/>
      <c r="S823" s="2"/>
      <c r="T823" s="2"/>
      <c r="U823" s="2"/>
      <c r="V823" s="2"/>
      <c r="W823" s="2"/>
    </row>
    <row r="824" spans="1:23" ht="12.75" customHeight="1">
      <c r="A824" s="2"/>
      <c r="B824" s="2"/>
      <c r="C824" s="2"/>
      <c r="D824" s="4"/>
      <c r="E824" s="4"/>
      <c r="F824" s="4"/>
      <c r="G824" s="3"/>
      <c r="H824" s="4"/>
      <c r="I824" s="3"/>
      <c r="J824" s="4"/>
      <c r="K824" s="3"/>
      <c r="L824" s="4"/>
      <c r="M824" s="5"/>
      <c r="N824" s="6"/>
      <c r="O824" s="3"/>
      <c r="P824" s="4"/>
      <c r="Q824" s="5"/>
      <c r="R824" s="6"/>
      <c r="S824" s="2"/>
      <c r="T824" s="2"/>
      <c r="U824" s="2"/>
      <c r="V824" s="2"/>
      <c r="W824" s="2"/>
    </row>
    <row r="825" spans="1:23" ht="12.75" customHeight="1">
      <c r="A825" s="2"/>
      <c r="B825" s="2"/>
      <c r="C825" s="2"/>
      <c r="D825" s="4"/>
      <c r="E825" s="4"/>
      <c r="F825" s="4"/>
      <c r="G825" s="3"/>
      <c r="H825" s="4"/>
      <c r="I825" s="3"/>
      <c r="J825" s="4"/>
      <c r="K825" s="3"/>
      <c r="L825" s="4"/>
      <c r="M825" s="5"/>
      <c r="N825" s="6"/>
      <c r="O825" s="3"/>
      <c r="P825" s="4"/>
      <c r="Q825" s="5"/>
      <c r="R825" s="6"/>
      <c r="S825" s="2"/>
      <c r="T825" s="2"/>
      <c r="U825" s="2"/>
      <c r="V825" s="2"/>
      <c r="W825" s="2"/>
    </row>
    <row r="826" spans="1:23" ht="12.75" customHeight="1">
      <c r="A826" s="2"/>
      <c r="B826" s="2"/>
      <c r="C826" s="2"/>
      <c r="D826" s="4"/>
      <c r="E826" s="4"/>
      <c r="F826" s="4"/>
      <c r="G826" s="3"/>
      <c r="H826" s="4"/>
      <c r="I826" s="3"/>
      <c r="J826" s="4"/>
      <c r="K826" s="3"/>
      <c r="L826" s="4"/>
      <c r="M826" s="5"/>
      <c r="N826" s="6"/>
      <c r="O826" s="3"/>
      <c r="P826" s="4"/>
      <c r="Q826" s="5"/>
      <c r="R826" s="6"/>
      <c r="S826" s="2"/>
      <c r="T826" s="2"/>
      <c r="U826" s="2"/>
      <c r="V826" s="2"/>
      <c r="W826" s="2"/>
    </row>
    <row r="827" spans="1:23" ht="12.75" customHeight="1">
      <c r="A827" s="2"/>
      <c r="B827" s="2"/>
      <c r="C827" s="2"/>
      <c r="D827" s="4"/>
      <c r="E827" s="4"/>
      <c r="F827" s="4"/>
      <c r="G827" s="3"/>
      <c r="H827" s="4"/>
      <c r="I827" s="3"/>
      <c r="J827" s="4"/>
      <c r="K827" s="3"/>
      <c r="L827" s="4"/>
      <c r="M827" s="5"/>
      <c r="N827" s="6"/>
      <c r="O827" s="3"/>
      <c r="P827" s="4"/>
      <c r="Q827" s="5"/>
      <c r="R827" s="6"/>
      <c r="S827" s="2"/>
      <c r="T827" s="2"/>
      <c r="U827" s="2"/>
      <c r="V827" s="2"/>
      <c r="W827" s="2"/>
    </row>
    <row r="828" spans="1:23" ht="12.75" customHeight="1">
      <c r="A828" s="2"/>
      <c r="B828" s="2"/>
      <c r="C828" s="2"/>
      <c r="D828" s="4"/>
      <c r="E828" s="4"/>
      <c r="F828" s="4"/>
      <c r="G828" s="3"/>
      <c r="H828" s="4"/>
      <c r="I828" s="3"/>
      <c r="J828" s="4"/>
      <c r="K828" s="3"/>
      <c r="L828" s="4"/>
      <c r="M828" s="5"/>
      <c r="N828" s="6"/>
      <c r="O828" s="3"/>
      <c r="P828" s="4"/>
      <c r="Q828" s="5"/>
      <c r="R828" s="6"/>
      <c r="S828" s="2"/>
      <c r="T828" s="2"/>
      <c r="U828" s="2"/>
      <c r="V828" s="2"/>
      <c r="W828" s="2"/>
    </row>
    <row r="829" spans="1:23" ht="12.75" customHeight="1">
      <c r="A829" s="2"/>
      <c r="B829" s="2"/>
      <c r="C829" s="2"/>
      <c r="D829" s="4"/>
      <c r="E829" s="4"/>
      <c r="F829" s="4"/>
      <c r="G829" s="3"/>
      <c r="H829" s="4"/>
      <c r="I829" s="3"/>
      <c r="J829" s="4"/>
      <c r="K829" s="3"/>
      <c r="L829" s="4"/>
      <c r="M829" s="5"/>
      <c r="N829" s="6"/>
      <c r="O829" s="3"/>
      <c r="P829" s="4"/>
      <c r="Q829" s="5"/>
      <c r="R829" s="6"/>
      <c r="S829" s="2"/>
      <c r="T829" s="2"/>
      <c r="U829" s="2"/>
      <c r="V829" s="2"/>
      <c r="W829" s="2"/>
    </row>
    <row r="830" spans="1:23" ht="12.75" customHeight="1">
      <c r="A830" s="2"/>
      <c r="B830" s="2"/>
      <c r="C830" s="2"/>
      <c r="D830" s="4"/>
      <c r="E830" s="4"/>
      <c r="F830" s="4"/>
      <c r="G830" s="3"/>
      <c r="H830" s="4"/>
      <c r="I830" s="3"/>
      <c r="J830" s="4"/>
      <c r="K830" s="3"/>
      <c r="L830" s="4"/>
      <c r="M830" s="5"/>
      <c r="N830" s="6"/>
      <c r="O830" s="3"/>
      <c r="P830" s="4"/>
      <c r="Q830" s="5"/>
      <c r="R830" s="6"/>
      <c r="S830" s="2"/>
      <c r="T830" s="2"/>
      <c r="U830" s="2"/>
      <c r="V830" s="2"/>
      <c r="W830" s="2"/>
    </row>
    <row r="831" spans="1:23" ht="12.75" customHeight="1">
      <c r="A831" s="2"/>
      <c r="B831" s="2"/>
      <c r="C831" s="2"/>
      <c r="D831" s="4"/>
      <c r="E831" s="4"/>
      <c r="F831" s="4"/>
      <c r="G831" s="3"/>
      <c r="H831" s="4"/>
      <c r="I831" s="3"/>
      <c r="J831" s="4"/>
      <c r="K831" s="3"/>
      <c r="L831" s="4"/>
      <c r="M831" s="5"/>
      <c r="N831" s="6"/>
      <c r="O831" s="3"/>
      <c r="P831" s="4"/>
      <c r="Q831" s="5"/>
      <c r="R831" s="6"/>
      <c r="S831" s="2"/>
      <c r="T831" s="2"/>
      <c r="U831" s="2"/>
      <c r="V831" s="2"/>
      <c r="W831" s="2"/>
    </row>
    <row r="832" spans="1:23" ht="12.75" customHeight="1">
      <c r="A832" s="2"/>
      <c r="B832" s="2"/>
      <c r="C832" s="2"/>
      <c r="D832" s="4"/>
      <c r="E832" s="4"/>
      <c r="F832" s="4"/>
      <c r="G832" s="3"/>
      <c r="H832" s="4"/>
      <c r="I832" s="3"/>
      <c r="J832" s="4"/>
      <c r="K832" s="3"/>
      <c r="L832" s="4"/>
      <c r="M832" s="5"/>
      <c r="N832" s="6"/>
      <c r="O832" s="3"/>
      <c r="P832" s="4"/>
      <c r="Q832" s="5"/>
      <c r="R832" s="6"/>
      <c r="S832" s="2"/>
      <c r="T832" s="2"/>
      <c r="U832" s="2"/>
      <c r="V832" s="2"/>
      <c r="W832" s="2"/>
    </row>
    <row r="833" spans="1:23" ht="12.75" customHeight="1">
      <c r="A833" s="2"/>
      <c r="B833" s="2"/>
      <c r="C833" s="2"/>
      <c r="D833" s="4"/>
      <c r="E833" s="4"/>
      <c r="F833" s="4"/>
      <c r="G833" s="3"/>
      <c r="H833" s="4"/>
      <c r="I833" s="3"/>
      <c r="J833" s="4"/>
      <c r="K833" s="3"/>
      <c r="L833" s="4"/>
      <c r="M833" s="5"/>
      <c r="N833" s="6"/>
      <c r="O833" s="3"/>
      <c r="P833" s="4"/>
      <c r="Q833" s="5"/>
      <c r="R833" s="6"/>
      <c r="S833" s="2"/>
      <c r="T833" s="2"/>
      <c r="U833" s="2"/>
      <c r="V833" s="2"/>
      <c r="W833" s="2"/>
    </row>
    <row r="834" spans="1:23" ht="12.75" customHeight="1">
      <c r="A834" s="2"/>
      <c r="B834" s="2"/>
      <c r="C834" s="2"/>
      <c r="D834" s="4"/>
      <c r="E834" s="4"/>
      <c r="F834" s="4"/>
      <c r="G834" s="3"/>
      <c r="H834" s="4"/>
      <c r="I834" s="3"/>
      <c r="J834" s="4"/>
      <c r="K834" s="3"/>
      <c r="L834" s="4"/>
      <c r="M834" s="5"/>
      <c r="N834" s="6"/>
      <c r="O834" s="3"/>
      <c r="P834" s="4"/>
      <c r="Q834" s="5"/>
      <c r="R834" s="6"/>
      <c r="S834" s="2"/>
      <c r="T834" s="2"/>
      <c r="U834" s="2"/>
      <c r="V834" s="2"/>
      <c r="W834" s="2"/>
    </row>
    <row r="835" spans="1:23" ht="12.75" customHeight="1">
      <c r="A835" s="2"/>
      <c r="B835" s="2"/>
      <c r="C835" s="2"/>
      <c r="D835" s="4"/>
      <c r="E835" s="4"/>
      <c r="F835" s="4"/>
      <c r="G835" s="3"/>
      <c r="H835" s="4"/>
      <c r="I835" s="3"/>
      <c r="J835" s="4"/>
      <c r="K835" s="3"/>
      <c r="L835" s="4"/>
      <c r="M835" s="5"/>
      <c r="N835" s="6"/>
      <c r="O835" s="3"/>
      <c r="P835" s="4"/>
      <c r="Q835" s="5"/>
      <c r="R835" s="6"/>
      <c r="S835" s="2"/>
      <c r="T835" s="2"/>
      <c r="U835" s="2"/>
      <c r="V835" s="2"/>
      <c r="W835" s="2"/>
    </row>
    <row r="836" spans="1:23" ht="12.75" customHeight="1">
      <c r="A836" s="2"/>
      <c r="B836" s="2"/>
      <c r="C836" s="2"/>
      <c r="D836" s="4"/>
      <c r="E836" s="4"/>
      <c r="F836" s="4"/>
      <c r="G836" s="3"/>
      <c r="H836" s="4"/>
      <c r="I836" s="3"/>
      <c r="J836" s="4"/>
      <c r="K836" s="3"/>
      <c r="L836" s="4"/>
      <c r="M836" s="5"/>
      <c r="N836" s="6"/>
      <c r="O836" s="3"/>
      <c r="P836" s="4"/>
      <c r="Q836" s="5"/>
      <c r="R836" s="6"/>
      <c r="S836" s="2"/>
      <c r="T836" s="2"/>
      <c r="U836" s="2"/>
      <c r="V836" s="2"/>
      <c r="W836" s="2"/>
    </row>
    <row r="837" spans="1:23" ht="12.75" customHeight="1">
      <c r="A837" s="2"/>
      <c r="B837" s="2"/>
      <c r="C837" s="2"/>
      <c r="D837" s="4"/>
      <c r="E837" s="4"/>
      <c r="F837" s="4"/>
      <c r="G837" s="3"/>
      <c r="H837" s="4"/>
      <c r="I837" s="3"/>
      <c r="J837" s="4"/>
      <c r="K837" s="3"/>
      <c r="L837" s="4"/>
      <c r="M837" s="5"/>
      <c r="N837" s="6"/>
      <c r="O837" s="3"/>
      <c r="P837" s="4"/>
      <c r="Q837" s="5"/>
      <c r="R837" s="6"/>
      <c r="S837" s="2"/>
      <c r="T837" s="2"/>
      <c r="U837" s="2"/>
      <c r="V837" s="2"/>
      <c r="W837" s="2"/>
    </row>
    <row r="838" spans="1:23" ht="12.75" customHeight="1">
      <c r="A838" s="2"/>
      <c r="B838" s="2"/>
      <c r="C838" s="2"/>
      <c r="D838" s="4"/>
      <c r="E838" s="4"/>
      <c r="F838" s="4"/>
      <c r="G838" s="3"/>
      <c r="H838" s="4"/>
      <c r="I838" s="3"/>
      <c r="J838" s="4"/>
      <c r="K838" s="3"/>
      <c r="L838" s="4"/>
      <c r="M838" s="5"/>
      <c r="N838" s="6"/>
      <c r="O838" s="3"/>
      <c r="P838" s="4"/>
      <c r="Q838" s="5"/>
      <c r="R838" s="6"/>
      <c r="S838" s="2"/>
      <c r="T838" s="2"/>
      <c r="U838" s="2"/>
      <c r="V838" s="2"/>
      <c r="W838" s="2"/>
    </row>
    <row r="839" spans="1:23" ht="12.75" customHeight="1">
      <c r="A839" s="2"/>
      <c r="B839" s="2"/>
      <c r="C839" s="2"/>
      <c r="D839" s="4"/>
      <c r="E839" s="4"/>
      <c r="F839" s="4"/>
      <c r="G839" s="3"/>
      <c r="H839" s="4"/>
      <c r="I839" s="3"/>
      <c r="J839" s="4"/>
      <c r="K839" s="3"/>
      <c r="L839" s="4"/>
      <c r="M839" s="5"/>
      <c r="N839" s="6"/>
      <c r="O839" s="3"/>
      <c r="P839" s="4"/>
      <c r="Q839" s="5"/>
      <c r="R839" s="6"/>
      <c r="S839" s="2"/>
      <c r="T839" s="2"/>
      <c r="U839" s="2"/>
      <c r="V839" s="2"/>
      <c r="W839" s="2"/>
    </row>
    <row r="840" spans="1:23" ht="12.75" customHeight="1">
      <c r="A840" s="2"/>
      <c r="B840" s="2"/>
      <c r="C840" s="2"/>
      <c r="D840" s="4"/>
      <c r="E840" s="4"/>
      <c r="F840" s="4"/>
      <c r="G840" s="3"/>
      <c r="H840" s="4"/>
      <c r="I840" s="3"/>
      <c r="J840" s="4"/>
      <c r="K840" s="3"/>
      <c r="L840" s="4"/>
      <c r="M840" s="5"/>
      <c r="N840" s="6"/>
      <c r="O840" s="3"/>
      <c r="P840" s="4"/>
      <c r="Q840" s="5"/>
      <c r="R840" s="6"/>
      <c r="S840" s="2"/>
      <c r="T840" s="2"/>
      <c r="U840" s="2"/>
      <c r="V840" s="2"/>
      <c r="W840" s="2"/>
    </row>
    <row r="841" spans="1:23" ht="12.75" customHeight="1">
      <c r="A841" s="2"/>
      <c r="B841" s="2"/>
      <c r="C841" s="2"/>
      <c r="D841" s="4"/>
      <c r="E841" s="4"/>
      <c r="F841" s="4"/>
      <c r="G841" s="3"/>
      <c r="H841" s="4"/>
      <c r="I841" s="3"/>
      <c r="J841" s="4"/>
      <c r="K841" s="3"/>
      <c r="L841" s="4"/>
      <c r="M841" s="5"/>
      <c r="N841" s="6"/>
      <c r="O841" s="3"/>
      <c r="P841" s="4"/>
      <c r="Q841" s="5"/>
      <c r="R841" s="6"/>
      <c r="S841" s="2"/>
      <c r="T841" s="2"/>
      <c r="U841" s="2"/>
      <c r="V841" s="2"/>
      <c r="W841" s="2"/>
    </row>
    <row r="842" spans="1:23" ht="12.75" customHeight="1">
      <c r="A842" s="2"/>
      <c r="B842" s="2"/>
      <c r="C842" s="2"/>
      <c r="D842" s="4"/>
      <c r="E842" s="4"/>
      <c r="F842" s="4"/>
      <c r="G842" s="3"/>
      <c r="H842" s="4"/>
      <c r="I842" s="3"/>
      <c r="J842" s="4"/>
      <c r="K842" s="3"/>
      <c r="L842" s="4"/>
      <c r="M842" s="5"/>
      <c r="N842" s="6"/>
      <c r="O842" s="3"/>
      <c r="P842" s="4"/>
      <c r="Q842" s="5"/>
      <c r="R842" s="6"/>
      <c r="S842" s="2"/>
      <c r="T842" s="2"/>
      <c r="U842" s="2"/>
      <c r="V842" s="2"/>
      <c r="W842" s="2"/>
    </row>
    <row r="843" spans="1:23" ht="12.75" customHeight="1">
      <c r="A843" s="2"/>
      <c r="B843" s="2"/>
      <c r="C843" s="2"/>
      <c r="D843" s="4"/>
      <c r="E843" s="4"/>
      <c r="F843" s="4"/>
      <c r="G843" s="3"/>
      <c r="H843" s="4"/>
      <c r="I843" s="3"/>
      <c r="J843" s="4"/>
      <c r="K843" s="3"/>
      <c r="L843" s="4"/>
      <c r="M843" s="5"/>
      <c r="N843" s="6"/>
      <c r="O843" s="3"/>
      <c r="P843" s="4"/>
      <c r="Q843" s="5"/>
      <c r="R843" s="6"/>
      <c r="S843" s="2"/>
      <c r="T843" s="2"/>
      <c r="U843" s="2"/>
      <c r="V843" s="2"/>
      <c r="W843" s="2"/>
    </row>
    <row r="844" spans="1:23" ht="12.75" customHeight="1">
      <c r="A844" s="2"/>
      <c r="B844" s="2"/>
      <c r="C844" s="2"/>
      <c r="D844" s="4"/>
      <c r="E844" s="4"/>
      <c r="F844" s="4"/>
      <c r="G844" s="3"/>
      <c r="H844" s="4"/>
      <c r="I844" s="3"/>
      <c r="J844" s="4"/>
      <c r="K844" s="3"/>
      <c r="L844" s="4"/>
      <c r="M844" s="5"/>
      <c r="N844" s="6"/>
      <c r="O844" s="3"/>
      <c r="P844" s="4"/>
      <c r="Q844" s="5"/>
      <c r="R844" s="6"/>
      <c r="S844" s="2"/>
      <c r="T844" s="2"/>
      <c r="U844" s="2"/>
      <c r="V844" s="2"/>
      <c r="W844" s="2"/>
    </row>
    <row r="845" spans="1:23" ht="12.75" customHeight="1">
      <c r="A845" s="2"/>
      <c r="B845" s="2"/>
      <c r="C845" s="2"/>
      <c r="D845" s="4"/>
      <c r="E845" s="4"/>
      <c r="F845" s="4"/>
      <c r="G845" s="3"/>
      <c r="H845" s="4"/>
      <c r="I845" s="3"/>
      <c r="J845" s="4"/>
      <c r="K845" s="3"/>
      <c r="L845" s="4"/>
      <c r="M845" s="5"/>
      <c r="N845" s="6"/>
      <c r="O845" s="3"/>
      <c r="P845" s="4"/>
      <c r="Q845" s="5"/>
      <c r="R845" s="6"/>
      <c r="S845" s="2"/>
      <c r="T845" s="2"/>
      <c r="U845" s="2"/>
      <c r="V845" s="2"/>
      <c r="W845" s="2"/>
    </row>
    <row r="846" spans="1:23" ht="12.75" customHeight="1">
      <c r="A846" s="2"/>
      <c r="B846" s="2"/>
      <c r="C846" s="2"/>
      <c r="D846" s="4"/>
      <c r="E846" s="4"/>
      <c r="F846" s="4"/>
      <c r="G846" s="3"/>
      <c r="H846" s="4"/>
      <c r="I846" s="3"/>
      <c r="J846" s="4"/>
      <c r="K846" s="3"/>
      <c r="L846" s="4"/>
      <c r="M846" s="5"/>
      <c r="N846" s="6"/>
      <c r="O846" s="3"/>
      <c r="P846" s="4"/>
      <c r="Q846" s="5"/>
      <c r="R846" s="6"/>
      <c r="S846" s="2"/>
      <c r="T846" s="2"/>
      <c r="U846" s="2"/>
      <c r="V846" s="2"/>
      <c r="W846" s="2"/>
    </row>
    <row r="847" spans="1:23" ht="12.75" customHeight="1">
      <c r="A847" s="2"/>
      <c r="B847" s="2"/>
      <c r="C847" s="2"/>
      <c r="D847" s="4"/>
      <c r="E847" s="4"/>
      <c r="F847" s="4"/>
      <c r="G847" s="3"/>
      <c r="H847" s="4"/>
      <c r="I847" s="3"/>
      <c r="J847" s="4"/>
      <c r="K847" s="3"/>
      <c r="L847" s="4"/>
      <c r="M847" s="5"/>
      <c r="N847" s="6"/>
      <c r="O847" s="3"/>
      <c r="P847" s="4"/>
      <c r="Q847" s="5"/>
      <c r="R847" s="6"/>
      <c r="S847" s="2"/>
      <c r="T847" s="2"/>
      <c r="U847" s="2"/>
      <c r="V847" s="2"/>
      <c r="W847" s="2"/>
    </row>
    <row r="848" spans="1:23" ht="12.75" customHeight="1">
      <c r="A848" s="2"/>
      <c r="B848" s="2"/>
      <c r="C848" s="2"/>
      <c r="D848" s="4"/>
      <c r="E848" s="4"/>
      <c r="F848" s="4"/>
      <c r="G848" s="3"/>
      <c r="H848" s="4"/>
      <c r="I848" s="3"/>
      <c r="J848" s="4"/>
      <c r="K848" s="3"/>
      <c r="L848" s="4"/>
      <c r="M848" s="5"/>
      <c r="N848" s="6"/>
      <c r="O848" s="3"/>
      <c r="P848" s="4"/>
      <c r="Q848" s="5"/>
      <c r="R848" s="6"/>
      <c r="S848" s="2"/>
      <c r="T848" s="2"/>
      <c r="U848" s="2"/>
      <c r="V848" s="2"/>
      <c r="W848" s="2"/>
    </row>
    <row r="849" spans="1:23" ht="12.75" customHeight="1">
      <c r="A849" s="2"/>
      <c r="B849" s="2"/>
      <c r="C849" s="2"/>
      <c r="D849" s="4"/>
      <c r="E849" s="4"/>
      <c r="F849" s="4"/>
      <c r="G849" s="3"/>
      <c r="H849" s="4"/>
      <c r="I849" s="3"/>
      <c r="J849" s="4"/>
      <c r="K849" s="3"/>
      <c r="L849" s="4"/>
      <c r="M849" s="5"/>
      <c r="N849" s="6"/>
      <c r="O849" s="3"/>
      <c r="P849" s="4"/>
      <c r="Q849" s="5"/>
      <c r="R849" s="6"/>
      <c r="S849" s="2"/>
      <c r="T849" s="2"/>
      <c r="U849" s="2"/>
      <c r="V849" s="2"/>
      <c r="W849" s="2"/>
    </row>
    <row r="850" spans="1:23" ht="12.75" customHeight="1">
      <c r="A850" s="2"/>
      <c r="B850" s="2"/>
      <c r="C850" s="2"/>
      <c r="D850" s="4"/>
      <c r="E850" s="4"/>
      <c r="F850" s="4"/>
      <c r="G850" s="3"/>
      <c r="H850" s="4"/>
      <c r="I850" s="3"/>
      <c r="J850" s="4"/>
      <c r="K850" s="3"/>
      <c r="L850" s="4"/>
      <c r="M850" s="5"/>
      <c r="N850" s="6"/>
      <c r="O850" s="3"/>
      <c r="P850" s="4"/>
      <c r="Q850" s="5"/>
      <c r="R850" s="6"/>
      <c r="S850" s="2"/>
      <c r="T850" s="2"/>
      <c r="U850" s="2"/>
      <c r="V850" s="2"/>
      <c r="W850" s="2"/>
    </row>
    <row r="851" spans="1:23" ht="12.75" customHeight="1">
      <c r="A851" s="2"/>
      <c r="B851" s="2"/>
      <c r="C851" s="2"/>
      <c r="D851" s="4"/>
      <c r="E851" s="4"/>
      <c r="F851" s="4"/>
      <c r="G851" s="3"/>
      <c r="H851" s="4"/>
      <c r="I851" s="3"/>
      <c r="J851" s="4"/>
      <c r="K851" s="3"/>
      <c r="L851" s="4"/>
      <c r="M851" s="5"/>
      <c r="N851" s="6"/>
      <c r="O851" s="3"/>
      <c r="P851" s="4"/>
      <c r="Q851" s="5"/>
      <c r="R851" s="6"/>
      <c r="S851" s="2"/>
      <c r="T851" s="2"/>
      <c r="U851" s="2"/>
      <c r="V851" s="2"/>
      <c r="W851" s="2"/>
    </row>
    <row r="852" spans="1:23" ht="12.75" customHeight="1">
      <c r="A852" s="2"/>
      <c r="B852" s="2"/>
      <c r="C852" s="2"/>
      <c r="D852" s="4"/>
      <c r="E852" s="4"/>
      <c r="F852" s="4"/>
      <c r="G852" s="3"/>
      <c r="H852" s="4"/>
      <c r="I852" s="3"/>
      <c r="J852" s="4"/>
      <c r="K852" s="3"/>
      <c r="L852" s="4"/>
      <c r="M852" s="5"/>
      <c r="N852" s="6"/>
      <c r="O852" s="3"/>
      <c r="P852" s="4"/>
      <c r="Q852" s="5"/>
      <c r="R852" s="6"/>
      <c r="S852" s="2"/>
      <c r="T852" s="2"/>
      <c r="U852" s="2"/>
      <c r="V852" s="2"/>
      <c r="W852" s="2"/>
    </row>
    <row r="853" spans="1:23" ht="12.75" customHeight="1">
      <c r="A853" s="2"/>
      <c r="B853" s="2"/>
      <c r="C853" s="2"/>
      <c r="D853" s="4"/>
      <c r="E853" s="4"/>
      <c r="F853" s="4"/>
      <c r="G853" s="3"/>
      <c r="H853" s="4"/>
      <c r="I853" s="3"/>
      <c r="J853" s="4"/>
      <c r="K853" s="3"/>
      <c r="L853" s="4"/>
      <c r="M853" s="5"/>
      <c r="N853" s="6"/>
      <c r="O853" s="3"/>
      <c r="P853" s="4"/>
      <c r="Q853" s="5"/>
      <c r="R853" s="6"/>
      <c r="S853" s="2"/>
      <c r="T853" s="2"/>
      <c r="U853" s="2"/>
      <c r="V853" s="2"/>
      <c r="W853" s="2"/>
    </row>
    <row r="854" spans="1:23" ht="12.75" customHeight="1">
      <c r="A854" s="2"/>
      <c r="B854" s="2"/>
      <c r="C854" s="2"/>
      <c r="D854" s="4"/>
      <c r="E854" s="4"/>
      <c r="F854" s="4"/>
      <c r="G854" s="3"/>
      <c r="H854" s="4"/>
      <c r="I854" s="3"/>
      <c r="J854" s="4"/>
      <c r="K854" s="3"/>
      <c r="L854" s="4"/>
      <c r="M854" s="5"/>
      <c r="N854" s="6"/>
      <c r="O854" s="3"/>
      <c r="P854" s="4"/>
      <c r="Q854" s="5"/>
      <c r="R854" s="6"/>
      <c r="S854" s="2"/>
      <c r="T854" s="2"/>
      <c r="U854" s="2"/>
      <c r="V854" s="2"/>
      <c r="W854" s="2"/>
    </row>
    <row r="855" spans="1:23" ht="12.75" customHeight="1">
      <c r="A855" s="2"/>
      <c r="B855" s="2"/>
      <c r="C855" s="2"/>
      <c r="D855" s="4"/>
      <c r="E855" s="4"/>
      <c r="F855" s="4"/>
      <c r="G855" s="3"/>
      <c r="H855" s="4"/>
      <c r="I855" s="3"/>
      <c r="J855" s="4"/>
      <c r="K855" s="3"/>
      <c r="L855" s="4"/>
      <c r="M855" s="5"/>
      <c r="N855" s="6"/>
      <c r="O855" s="3"/>
      <c r="P855" s="4"/>
      <c r="Q855" s="5"/>
      <c r="R855" s="6"/>
      <c r="S855" s="2"/>
      <c r="T855" s="2"/>
      <c r="U855" s="2"/>
      <c r="V855" s="2"/>
      <c r="W855" s="2"/>
    </row>
    <row r="856" spans="1:23" ht="12.75" customHeight="1">
      <c r="A856" s="2"/>
      <c r="B856" s="2"/>
      <c r="C856" s="2"/>
      <c r="D856" s="4"/>
      <c r="E856" s="4"/>
      <c r="F856" s="4"/>
      <c r="G856" s="3"/>
      <c r="H856" s="4"/>
      <c r="I856" s="3"/>
      <c r="J856" s="4"/>
      <c r="K856" s="3"/>
      <c r="L856" s="4"/>
      <c r="M856" s="5"/>
      <c r="N856" s="6"/>
      <c r="O856" s="3"/>
      <c r="P856" s="4"/>
      <c r="Q856" s="5"/>
      <c r="R856" s="6"/>
      <c r="S856" s="2"/>
      <c r="T856" s="2"/>
      <c r="U856" s="2"/>
      <c r="V856" s="2"/>
      <c r="W856" s="2"/>
    </row>
    <row r="857" spans="1:23" ht="12.75" customHeight="1">
      <c r="A857" s="2"/>
      <c r="B857" s="2"/>
      <c r="C857" s="2"/>
      <c r="D857" s="4"/>
      <c r="E857" s="4"/>
      <c r="F857" s="4"/>
      <c r="G857" s="3"/>
      <c r="H857" s="4"/>
      <c r="I857" s="3"/>
      <c r="J857" s="4"/>
      <c r="K857" s="3"/>
      <c r="L857" s="4"/>
      <c r="M857" s="5"/>
      <c r="N857" s="6"/>
      <c r="O857" s="3"/>
      <c r="P857" s="4"/>
      <c r="Q857" s="5"/>
      <c r="R857" s="6"/>
      <c r="S857" s="2"/>
      <c r="T857" s="2"/>
      <c r="U857" s="2"/>
      <c r="V857" s="2"/>
      <c r="W857" s="2"/>
    </row>
    <row r="858" spans="1:23" ht="12.75" customHeight="1">
      <c r="A858" s="2"/>
      <c r="B858" s="2"/>
      <c r="C858" s="2"/>
      <c r="D858" s="4"/>
      <c r="E858" s="4"/>
      <c r="F858" s="4"/>
      <c r="G858" s="3"/>
      <c r="H858" s="4"/>
      <c r="I858" s="3"/>
      <c r="J858" s="4"/>
      <c r="K858" s="3"/>
      <c r="L858" s="4"/>
      <c r="M858" s="5"/>
      <c r="N858" s="6"/>
      <c r="O858" s="3"/>
      <c r="P858" s="4"/>
      <c r="Q858" s="5"/>
      <c r="R858" s="6"/>
      <c r="S858" s="2"/>
      <c r="T858" s="2"/>
      <c r="U858" s="2"/>
      <c r="V858" s="2"/>
      <c r="W858" s="2"/>
    </row>
    <row r="859" spans="1:23" ht="12.75" customHeight="1">
      <c r="A859" s="2"/>
      <c r="B859" s="2"/>
      <c r="C859" s="2"/>
      <c r="D859" s="4"/>
      <c r="E859" s="4"/>
      <c r="F859" s="4"/>
      <c r="G859" s="3"/>
      <c r="H859" s="4"/>
      <c r="I859" s="3"/>
      <c r="J859" s="4"/>
      <c r="K859" s="3"/>
      <c r="L859" s="4"/>
      <c r="M859" s="5"/>
      <c r="N859" s="6"/>
      <c r="O859" s="3"/>
      <c r="P859" s="4"/>
      <c r="Q859" s="5"/>
      <c r="R859" s="6"/>
      <c r="S859" s="2"/>
      <c r="T859" s="2"/>
      <c r="U859" s="2"/>
      <c r="V859" s="2"/>
      <c r="W859" s="2"/>
    </row>
    <row r="860" spans="1:23" ht="12.75" customHeight="1">
      <c r="A860" s="2"/>
      <c r="B860" s="2"/>
      <c r="C860" s="2"/>
      <c r="D860" s="4"/>
      <c r="E860" s="4"/>
      <c r="F860" s="4"/>
      <c r="G860" s="3"/>
      <c r="H860" s="4"/>
      <c r="I860" s="3"/>
      <c r="J860" s="4"/>
      <c r="K860" s="3"/>
      <c r="L860" s="4"/>
      <c r="M860" s="5"/>
      <c r="N860" s="6"/>
      <c r="O860" s="3"/>
      <c r="P860" s="4"/>
      <c r="Q860" s="5"/>
      <c r="R860" s="6"/>
      <c r="S860" s="2"/>
      <c r="T860" s="2"/>
      <c r="U860" s="2"/>
      <c r="V860" s="2"/>
      <c r="W860" s="2"/>
    </row>
    <row r="861" spans="1:23" ht="12.75" customHeight="1">
      <c r="A861" s="2"/>
      <c r="B861" s="2"/>
      <c r="C861" s="2"/>
      <c r="D861" s="4"/>
      <c r="E861" s="4"/>
      <c r="F861" s="4"/>
      <c r="G861" s="3"/>
      <c r="H861" s="4"/>
      <c r="I861" s="3"/>
      <c r="J861" s="4"/>
      <c r="K861" s="3"/>
      <c r="L861" s="4"/>
      <c r="M861" s="5"/>
      <c r="N861" s="6"/>
      <c r="O861" s="3"/>
      <c r="P861" s="4"/>
      <c r="Q861" s="5"/>
      <c r="R861" s="6"/>
      <c r="S861" s="2"/>
      <c r="T861" s="2"/>
      <c r="U861" s="2"/>
      <c r="V861" s="2"/>
      <c r="W861" s="2"/>
    </row>
    <row r="862" spans="1:23" ht="12.75" customHeight="1">
      <c r="A862" s="2"/>
      <c r="B862" s="2"/>
      <c r="C862" s="2"/>
      <c r="D862" s="4"/>
      <c r="E862" s="4"/>
      <c r="F862" s="4"/>
      <c r="G862" s="3"/>
      <c r="H862" s="4"/>
      <c r="I862" s="3"/>
      <c r="J862" s="4"/>
      <c r="K862" s="3"/>
      <c r="L862" s="4"/>
      <c r="M862" s="5"/>
      <c r="N862" s="6"/>
      <c r="O862" s="3"/>
      <c r="P862" s="4"/>
      <c r="Q862" s="5"/>
      <c r="R862" s="6"/>
      <c r="S862" s="2"/>
      <c r="T862" s="2"/>
      <c r="U862" s="2"/>
      <c r="V862" s="2"/>
      <c r="W862" s="2"/>
    </row>
    <row r="863" spans="1:23" ht="12.75" customHeight="1">
      <c r="A863" s="2"/>
      <c r="B863" s="2"/>
      <c r="C863" s="2"/>
      <c r="D863" s="4"/>
      <c r="E863" s="4"/>
      <c r="F863" s="4"/>
      <c r="G863" s="3"/>
      <c r="H863" s="4"/>
      <c r="I863" s="3"/>
      <c r="J863" s="4"/>
      <c r="K863" s="3"/>
      <c r="L863" s="4"/>
      <c r="M863" s="5"/>
      <c r="N863" s="6"/>
      <c r="O863" s="3"/>
      <c r="P863" s="4"/>
      <c r="Q863" s="5"/>
      <c r="R863" s="6"/>
      <c r="S863" s="2"/>
      <c r="T863" s="2"/>
      <c r="U863" s="2"/>
      <c r="V863" s="2"/>
      <c r="W863" s="2"/>
    </row>
    <row r="864" spans="1:23" ht="12.75" customHeight="1">
      <c r="A864" s="2"/>
      <c r="B864" s="2"/>
      <c r="C864" s="2"/>
      <c r="D864" s="4"/>
      <c r="E864" s="4"/>
      <c r="F864" s="4"/>
      <c r="G864" s="3"/>
      <c r="H864" s="4"/>
      <c r="I864" s="3"/>
      <c r="J864" s="4"/>
      <c r="K864" s="3"/>
      <c r="L864" s="4"/>
      <c r="M864" s="5"/>
      <c r="N864" s="6"/>
      <c r="O864" s="3"/>
      <c r="P864" s="4"/>
      <c r="Q864" s="5"/>
      <c r="R864" s="6"/>
      <c r="S864" s="2"/>
      <c r="T864" s="2"/>
      <c r="U864" s="2"/>
      <c r="V864" s="2"/>
      <c r="W864" s="2"/>
    </row>
    <row r="865" spans="1:23" ht="12.75" customHeight="1">
      <c r="A865" s="2"/>
      <c r="B865" s="2"/>
      <c r="C865" s="2"/>
      <c r="D865" s="4"/>
      <c r="E865" s="4"/>
      <c r="F865" s="4"/>
      <c r="G865" s="3"/>
      <c r="H865" s="4"/>
      <c r="I865" s="3"/>
      <c r="J865" s="4"/>
      <c r="K865" s="3"/>
      <c r="L865" s="4"/>
      <c r="M865" s="5"/>
      <c r="N865" s="6"/>
      <c r="O865" s="3"/>
      <c r="P865" s="4"/>
      <c r="Q865" s="5"/>
      <c r="R865" s="6"/>
      <c r="S865" s="2"/>
      <c r="T865" s="2"/>
      <c r="U865" s="2"/>
      <c r="V865" s="2"/>
      <c r="W865" s="2"/>
    </row>
    <row r="866" spans="1:23" ht="12.75" customHeight="1">
      <c r="A866" s="2"/>
      <c r="B866" s="2"/>
      <c r="C866" s="2"/>
      <c r="D866" s="4"/>
      <c r="E866" s="4"/>
      <c r="F866" s="4"/>
      <c r="G866" s="3"/>
      <c r="H866" s="4"/>
      <c r="I866" s="3"/>
      <c r="J866" s="4"/>
      <c r="K866" s="3"/>
      <c r="L866" s="4"/>
      <c r="M866" s="5"/>
      <c r="N866" s="6"/>
      <c r="O866" s="3"/>
      <c r="P866" s="4"/>
      <c r="Q866" s="5"/>
      <c r="R866" s="6"/>
      <c r="S866" s="2"/>
      <c r="T866" s="2"/>
      <c r="U866" s="2"/>
      <c r="V866" s="2"/>
      <c r="W866" s="2"/>
    </row>
    <row r="867" spans="1:23" ht="12.75" customHeight="1">
      <c r="A867" s="2"/>
      <c r="B867" s="2"/>
      <c r="C867" s="2"/>
      <c r="D867" s="4"/>
      <c r="E867" s="4"/>
      <c r="F867" s="4"/>
      <c r="G867" s="3"/>
      <c r="H867" s="4"/>
      <c r="I867" s="3"/>
      <c r="J867" s="4"/>
      <c r="K867" s="3"/>
      <c r="L867" s="4"/>
      <c r="M867" s="5"/>
      <c r="N867" s="6"/>
      <c r="O867" s="3"/>
      <c r="P867" s="4"/>
      <c r="Q867" s="5"/>
      <c r="R867" s="6"/>
      <c r="S867" s="2"/>
      <c r="T867" s="2"/>
      <c r="U867" s="2"/>
      <c r="V867" s="2"/>
      <c r="W867" s="2"/>
    </row>
    <row r="868" spans="1:23" ht="12.75" customHeight="1">
      <c r="A868" s="2"/>
      <c r="B868" s="2"/>
      <c r="C868" s="2"/>
      <c r="D868" s="4"/>
      <c r="E868" s="4"/>
      <c r="F868" s="4"/>
      <c r="G868" s="3"/>
      <c r="H868" s="4"/>
      <c r="I868" s="3"/>
      <c r="J868" s="4"/>
      <c r="K868" s="3"/>
      <c r="L868" s="4"/>
      <c r="M868" s="5"/>
      <c r="N868" s="6"/>
      <c r="O868" s="3"/>
      <c r="P868" s="4"/>
      <c r="Q868" s="5"/>
      <c r="R868" s="6"/>
      <c r="S868" s="2"/>
      <c r="T868" s="2"/>
      <c r="U868" s="2"/>
      <c r="V868" s="2"/>
      <c r="W868" s="2"/>
    </row>
    <row r="869" spans="1:23" ht="12.75" customHeight="1">
      <c r="A869" s="2"/>
      <c r="B869" s="2"/>
      <c r="C869" s="2"/>
      <c r="D869" s="4"/>
      <c r="E869" s="4"/>
      <c r="F869" s="4"/>
      <c r="G869" s="3"/>
      <c r="H869" s="4"/>
      <c r="I869" s="3"/>
      <c r="J869" s="4"/>
      <c r="K869" s="3"/>
      <c r="L869" s="4"/>
      <c r="M869" s="5"/>
      <c r="N869" s="6"/>
      <c r="O869" s="3"/>
      <c r="P869" s="4"/>
      <c r="Q869" s="5"/>
      <c r="R869" s="6"/>
      <c r="S869" s="2"/>
      <c r="T869" s="2"/>
      <c r="U869" s="2"/>
      <c r="V869" s="2"/>
      <c r="W869" s="2"/>
    </row>
    <row r="870" spans="1:23" ht="12.75" customHeight="1">
      <c r="A870" s="2"/>
      <c r="B870" s="2"/>
      <c r="C870" s="2"/>
      <c r="D870" s="4"/>
      <c r="E870" s="4"/>
      <c r="F870" s="4"/>
      <c r="G870" s="3"/>
      <c r="H870" s="4"/>
      <c r="I870" s="3"/>
      <c r="J870" s="4"/>
      <c r="K870" s="3"/>
      <c r="L870" s="4"/>
      <c r="M870" s="5"/>
      <c r="N870" s="6"/>
      <c r="O870" s="3"/>
      <c r="P870" s="4"/>
      <c r="Q870" s="5"/>
      <c r="R870" s="6"/>
      <c r="S870" s="2"/>
      <c r="T870" s="2"/>
      <c r="U870" s="2"/>
      <c r="V870" s="2"/>
      <c r="W870" s="2"/>
    </row>
    <row r="871" spans="1:23" ht="12.75" customHeight="1">
      <c r="A871" s="2"/>
      <c r="B871" s="2"/>
      <c r="C871" s="2"/>
      <c r="D871" s="4"/>
      <c r="E871" s="4"/>
      <c r="F871" s="4"/>
      <c r="G871" s="3"/>
      <c r="H871" s="4"/>
      <c r="I871" s="3"/>
      <c r="J871" s="4"/>
      <c r="K871" s="3"/>
      <c r="L871" s="4"/>
      <c r="M871" s="5"/>
      <c r="N871" s="6"/>
      <c r="O871" s="3"/>
      <c r="P871" s="4"/>
      <c r="Q871" s="5"/>
      <c r="R871" s="6"/>
      <c r="S871" s="2"/>
      <c r="T871" s="2"/>
      <c r="U871" s="2"/>
      <c r="V871" s="2"/>
      <c r="W871" s="2"/>
    </row>
    <row r="872" spans="1:23" ht="12.75" customHeight="1">
      <c r="A872" s="2"/>
      <c r="B872" s="2"/>
      <c r="C872" s="2"/>
      <c r="D872" s="4"/>
      <c r="E872" s="4"/>
      <c r="F872" s="4"/>
      <c r="G872" s="3"/>
      <c r="H872" s="4"/>
      <c r="I872" s="3"/>
      <c r="J872" s="4"/>
      <c r="K872" s="3"/>
      <c r="L872" s="4"/>
      <c r="M872" s="5"/>
      <c r="N872" s="6"/>
      <c r="O872" s="3"/>
      <c r="P872" s="4"/>
      <c r="Q872" s="5"/>
      <c r="R872" s="6"/>
      <c r="S872" s="2"/>
      <c r="T872" s="2"/>
      <c r="U872" s="2"/>
      <c r="V872" s="2"/>
      <c r="W872" s="2"/>
    </row>
    <row r="873" spans="1:23" ht="12.75" customHeight="1">
      <c r="A873" s="2"/>
      <c r="B873" s="2"/>
      <c r="C873" s="2"/>
      <c r="D873" s="4"/>
      <c r="E873" s="4"/>
      <c r="F873" s="4"/>
      <c r="G873" s="3"/>
      <c r="H873" s="4"/>
      <c r="I873" s="3"/>
      <c r="J873" s="4"/>
      <c r="K873" s="3"/>
      <c r="L873" s="4"/>
      <c r="M873" s="5"/>
      <c r="N873" s="6"/>
      <c r="O873" s="3"/>
      <c r="P873" s="4"/>
      <c r="Q873" s="5"/>
      <c r="R873" s="6"/>
      <c r="S873" s="2"/>
      <c r="T873" s="2"/>
      <c r="U873" s="2"/>
      <c r="V873" s="2"/>
      <c r="W873" s="2"/>
    </row>
    <row r="874" spans="1:23" ht="12.75" customHeight="1">
      <c r="A874" s="2"/>
      <c r="B874" s="2"/>
      <c r="C874" s="2"/>
      <c r="D874" s="4"/>
      <c r="E874" s="4"/>
      <c r="F874" s="4"/>
      <c r="G874" s="3"/>
      <c r="H874" s="4"/>
      <c r="I874" s="3"/>
      <c r="J874" s="4"/>
      <c r="K874" s="3"/>
      <c r="L874" s="4"/>
      <c r="M874" s="5"/>
      <c r="N874" s="6"/>
      <c r="O874" s="3"/>
      <c r="P874" s="4"/>
      <c r="Q874" s="5"/>
      <c r="R874" s="6"/>
      <c r="S874" s="2"/>
      <c r="T874" s="2"/>
      <c r="U874" s="2"/>
      <c r="V874" s="2"/>
      <c r="W874" s="2"/>
    </row>
    <row r="875" spans="1:23" ht="12.75" customHeight="1">
      <c r="A875" s="2"/>
      <c r="B875" s="2"/>
      <c r="C875" s="2"/>
      <c r="D875" s="4"/>
      <c r="E875" s="4"/>
      <c r="F875" s="4"/>
      <c r="G875" s="3"/>
      <c r="H875" s="4"/>
      <c r="I875" s="3"/>
      <c r="J875" s="4"/>
      <c r="K875" s="3"/>
      <c r="L875" s="4"/>
      <c r="M875" s="5"/>
      <c r="N875" s="6"/>
      <c r="O875" s="3"/>
      <c r="P875" s="4"/>
      <c r="Q875" s="5"/>
      <c r="R875" s="6"/>
      <c r="S875" s="2"/>
      <c r="T875" s="2"/>
      <c r="U875" s="2"/>
      <c r="V875" s="2"/>
      <c r="W875" s="2"/>
    </row>
    <row r="876" spans="1:23" ht="12.75" customHeight="1">
      <c r="A876" s="2"/>
      <c r="B876" s="2"/>
      <c r="C876" s="2"/>
      <c r="D876" s="4"/>
      <c r="E876" s="4"/>
      <c r="F876" s="4"/>
      <c r="G876" s="3"/>
      <c r="H876" s="4"/>
      <c r="I876" s="3"/>
      <c r="J876" s="4"/>
      <c r="K876" s="3"/>
      <c r="L876" s="4"/>
      <c r="M876" s="5"/>
      <c r="N876" s="6"/>
      <c r="O876" s="3"/>
      <c r="P876" s="4"/>
      <c r="Q876" s="5"/>
      <c r="R876" s="6"/>
      <c r="S876" s="2"/>
      <c r="T876" s="2"/>
      <c r="U876" s="2"/>
      <c r="V876" s="2"/>
      <c r="W876" s="2"/>
    </row>
    <row r="877" spans="1:23" ht="12.75" customHeight="1">
      <c r="A877" s="2"/>
      <c r="B877" s="2"/>
      <c r="C877" s="2"/>
      <c r="D877" s="4"/>
      <c r="E877" s="4"/>
      <c r="F877" s="4"/>
      <c r="G877" s="3"/>
      <c r="H877" s="4"/>
      <c r="I877" s="3"/>
      <c r="J877" s="4"/>
      <c r="K877" s="3"/>
      <c r="L877" s="4"/>
      <c r="M877" s="5"/>
      <c r="N877" s="6"/>
      <c r="O877" s="3"/>
      <c r="P877" s="4"/>
      <c r="Q877" s="5"/>
      <c r="R877" s="6"/>
      <c r="S877" s="2"/>
      <c r="T877" s="2"/>
      <c r="U877" s="2"/>
      <c r="V877" s="2"/>
      <c r="W877" s="2"/>
    </row>
    <row r="878" spans="1:23" ht="12.75" customHeight="1">
      <c r="A878" s="2"/>
      <c r="B878" s="2"/>
      <c r="C878" s="2"/>
      <c r="D878" s="4"/>
      <c r="E878" s="4"/>
      <c r="F878" s="4"/>
      <c r="G878" s="3"/>
      <c r="H878" s="4"/>
      <c r="I878" s="3"/>
      <c r="J878" s="4"/>
      <c r="K878" s="3"/>
      <c r="L878" s="4"/>
      <c r="M878" s="5"/>
      <c r="N878" s="6"/>
      <c r="O878" s="3"/>
      <c r="P878" s="4"/>
      <c r="Q878" s="5"/>
      <c r="R878" s="6"/>
      <c r="S878" s="2"/>
      <c r="T878" s="2"/>
      <c r="U878" s="2"/>
      <c r="V878" s="2"/>
      <c r="W878" s="2"/>
    </row>
    <row r="879" spans="1:23" ht="12.75" customHeight="1">
      <c r="A879" s="2"/>
      <c r="B879" s="2"/>
      <c r="C879" s="2"/>
      <c r="D879" s="4"/>
      <c r="E879" s="4"/>
      <c r="F879" s="4"/>
      <c r="G879" s="3"/>
      <c r="H879" s="4"/>
      <c r="I879" s="3"/>
      <c r="J879" s="4"/>
      <c r="K879" s="3"/>
      <c r="L879" s="4"/>
      <c r="M879" s="5"/>
      <c r="N879" s="6"/>
      <c r="O879" s="3"/>
      <c r="P879" s="4"/>
      <c r="Q879" s="5"/>
      <c r="R879" s="6"/>
      <c r="S879" s="2"/>
      <c r="T879" s="2"/>
      <c r="U879" s="2"/>
      <c r="V879" s="2"/>
      <c r="W879" s="2"/>
    </row>
    <row r="880" spans="1:23" ht="12.75" customHeight="1">
      <c r="A880" s="2"/>
      <c r="B880" s="2"/>
      <c r="C880" s="2"/>
      <c r="D880" s="4"/>
      <c r="E880" s="4"/>
      <c r="F880" s="4"/>
      <c r="G880" s="3"/>
      <c r="H880" s="4"/>
      <c r="I880" s="3"/>
      <c r="J880" s="4"/>
      <c r="K880" s="3"/>
      <c r="L880" s="4"/>
      <c r="M880" s="5"/>
      <c r="N880" s="6"/>
      <c r="O880" s="3"/>
      <c r="P880" s="4"/>
      <c r="Q880" s="5"/>
      <c r="R880" s="6"/>
      <c r="S880" s="2"/>
      <c r="T880" s="2"/>
      <c r="U880" s="2"/>
      <c r="V880" s="2"/>
      <c r="W880" s="2"/>
    </row>
    <row r="881" spans="1:23" ht="12.75" customHeight="1">
      <c r="A881" s="2"/>
      <c r="B881" s="2"/>
      <c r="C881" s="2"/>
      <c r="D881" s="4"/>
      <c r="E881" s="4"/>
      <c r="F881" s="4"/>
      <c r="G881" s="3"/>
      <c r="H881" s="4"/>
      <c r="I881" s="3"/>
      <c r="J881" s="4"/>
      <c r="K881" s="3"/>
      <c r="L881" s="4"/>
      <c r="M881" s="5"/>
      <c r="N881" s="6"/>
      <c r="O881" s="3"/>
      <c r="P881" s="4"/>
      <c r="Q881" s="5"/>
      <c r="R881" s="6"/>
      <c r="S881" s="2"/>
      <c r="T881" s="2"/>
      <c r="U881" s="2"/>
      <c r="V881" s="2"/>
      <c r="W881" s="2"/>
    </row>
    <row r="882" spans="1:23" ht="12.75" customHeight="1">
      <c r="A882" s="2"/>
      <c r="B882" s="2"/>
      <c r="C882" s="2"/>
      <c r="D882" s="4"/>
      <c r="E882" s="4"/>
      <c r="F882" s="4"/>
      <c r="G882" s="3"/>
      <c r="H882" s="4"/>
      <c r="I882" s="3"/>
      <c r="J882" s="4"/>
      <c r="K882" s="3"/>
      <c r="L882" s="4"/>
      <c r="M882" s="5"/>
      <c r="N882" s="6"/>
      <c r="O882" s="3"/>
      <c r="P882" s="4"/>
      <c r="Q882" s="5"/>
      <c r="R882" s="6"/>
      <c r="S882" s="2"/>
      <c r="T882" s="2"/>
      <c r="U882" s="2"/>
      <c r="V882" s="2"/>
      <c r="W882" s="2"/>
    </row>
    <row r="883" spans="1:23" ht="12.75" customHeight="1">
      <c r="A883" s="2"/>
      <c r="B883" s="2"/>
      <c r="C883" s="2"/>
      <c r="D883" s="4"/>
      <c r="E883" s="4"/>
      <c r="F883" s="4"/>
      <c r="G883" s="3"/>
      <c r="H883" s="4"/>
      <c r="I883" s="3"/>
      <c r="J883" s="4"/>
      <c r="K883" s="3"/>
      <c r="L883" s="4"/>
      <c r="M883" s="5"/>
      <c r="N883" s="6"/>
      <c r="O883" s="3"/>
      <c r="P883" s="4"/>
      <c r="Q883" s="5"/>
      <c r="R883" s="6"/>
      <c r="S883" s="2"/>
      <c r="T883" s="2"/>
      <c r="U883" s="2"/>
      <c r="V883" s="2"/>
      <c r="W883" s="2"/>
    </row>
    <row r="884" spans="1:23" ht="12.75" customHeight="1">
      <c r="A884" s="2"/>
      <c r="B884" s="2"/>
      <c r="C884" s="2"/>
      <c r="D884" s="4"/>
      <c r="E884" s="4"/>
      <c r="F884" s="4"/>
      <c r="G884" s="3"/>
      <c r="H884" s="4"/>
      <c r="I884" s="3"/>
      <c r="J884" s="4"/>
      <c r="K884" s="3"/>
      <c r="L884" s="4"/>
      <c r="M884" s="5"/>
      <c r="N884" s="6"/>
      <c r="O884" s="3"/>
      <c r="P884" s="4"/>
      <c r="Q884" s="5"/>
      <c r="R884" s="6"/>
      <c r="S884" s="2"/>
      <c r="T884" s="2"/>
      <c r="U884" s="2"/>
      <c r="V884" s="2"/>
      <c r="W884" s="2"/>
    </row>
    <row r="885" spans="1:23" ht="12.75" customHeight="1">
      <c r="A885" s="2"/>
      <c r="B885" s="2"/>
      <c r="C885" s="2"/>
      <c r="D885" s="4"/>
      <c r="E885" s="4"/>
      <c r="F885" s="4"/>
      <c r="G885" s="3"/>
      <c r="H885" s="4"/>
      <c r="I885" s="3"/>
      <c r="J885" s="4"/>
      <c r="K885" s="3"/>
      <c r="L885" s="4"/>
      <c r="M885" s="5"/>
      <c r="N885" s="6"/>
      <c r="O885" s="3"/>
      <c r="P885" s="4"/>
      <c r="Q885" s="5"/>
      <c r="R885" s="6"/>
      <c r="S885" s="2"/>
      <c r="T885" s="2"/>
      <c r="U885" s="2"/>
      <c r="V885" s="2"/>
      <c r="W885" s="2"/>
    </row>
    <row r="886" spans="1:23" ht="12.75" customHeight="1">
      <c r="A886" s="2"/>
      <c r="B886" s="2"/>
      <c r="C886" s="2"/>
      <c r="D886" s="4"/>
      <c r="E886" s="4"/>
      <c r="F886" s="4"/>
      <c r="G886" s="3"/>
      <c r="H886" s="4"/>
      <c r="I886" s="3"/>
      <c r="J886" s="4"/>
      <c r="K886" s="3"/>
      <c r="L886" s="4"/>
      <c r="M886" s="5"/>
      <c r="N886" s="6"/>
      <c r="O886" s="3"/>
      <c r="P886" s="4"/>
      <c r="Q886" s="5"/>
      <c r="R886" s="6"/>
      <c r="S886" s="2"/>
      <c r="T886" s="2"/>
      <c r="U886" s="2"/>
      <c r="V886" s="2"/>
      <c r="W886" s="2"/>
    </row>
    <row r="887" spans="1:23" ht="12.75" customHeight="1">
      <c r="A887" s="2"/>
      <c r="B887" s="2"/>
      <c r="C887" s="2"/>
      <c r="D887" s="4"/>
      <c r="E887" s="4"/>
      <c r="F887" s="4"/>
      <c r="G887" s="3"/>
      <c r="H887" s="4"/>
      <c r="I887" s="3"/>
      <c r="J887" s="4"/>
      <c r="K887" s="3"/>
      <c r="L887" s="4"/>
      <c r="M887" s="5"/>
      <c r="N887" s="6"/>
      <c r="O887" s="3"/>
      <c r="P887" s="4"/>
      <c r="Q887" s="5"/>
      <c r="R887" s="6"/>
      <c r="S887" s="2"/>
      <c r="T887" s="2"/>
      <c r="U887" s="2"/>
      <c r="V887" s="2"/>
      <c r="W887" s="2"/>
    </row>
    <row r="888" spans="1:23" ht="12.75" customHeight="1">
      <c r="A888" s="2"/>
      <c r="B888" s="2"/>
      <c r="C888" s="2"/>
      <c r="D888" s="4"/>
      <c r="E888" s="4"/>
      <c r="F888" s="4"/>
      <c r="G888" s="3"/>
      <c r="H888" s="4"/>
      <c r="I888" s="3"/>
      <c r="J888" s="4"/>
      <c r="K888" s="3"/>
      <c r="L888" s="4"/>
      <c r="M888" s="5"/>
      <c r="N888" s="6"/>
      <c r="O888" s="3"/>
      <c r="P888" s="4"/>
      <c r="Q888" s="5"/>
      <c r="R888" s="6"/>
      <c r="S888" s="2"/>
      <c r="T888" s="2"/>
      <c r="U888" s="2"/>
      <c r="V888" s="2"/>
      <c r="W888" s="2"/>
    </row>
    <row r="889" spans="1:23" ht="12.75" customHeight="1">
      <c r="A889" s="2"/>
      <c r="B889" s="2"/>
      <c r="C889" s="2"/>
      <c r="D889" s="4"/>
      <c r="E889" s="4"/>
      <c r="F889" s="4"/>
      <c r="G889" s="3"/>
      <c r="H889" s="4"/>
      <c r="I889" s="3"/>
      <c r="J889" s="4"/>
      <c r="K889" s="3"/>
      <c r="L889" s="4"/>
      <c r="M889" s="5"/>
      <c r="N889" s="6"/>
      <c r="O889" s="3"/>
      <c r="P889" s="4"/>
      <c r="Q889" s="5"/>
      <c r="R889" s="6"/>
      <c r="S889" s="2"/>
      <c r="T889" s="2"/>
      <c r="U889" s="2"/>
      <c r="V889" s="2"/>
      <c r="W889" s="2"/>
    </row>
    <row r="890" spans="1:23" ht="12.75" customHeight="1">
      <c r="A890" s="2"/>
      <c r="B890" s="2"/>
      <c r="C890" s="2"/>
      <c r="D890" s="4"/>
      <c r="E890" s="4"/>
      <c r="F890" s="4"/>
      <c r="G890" s="3"/>
      <c r="H890" s="4"/>
      <c r="I890" s="3"/>
      <c r="J890" s="4"/>
      <c r="K890" s="3"/>
      <c r="L890" s="4"/>
      <c r="M890" s="5"/>
      <c r="N890" s="6"/>
      <c r="O890" s="3"/>
      <c r="P890" s="4"/>
      <c r="Q890" s="5"/>
      <c r="R890" s="6"/>
      <c r="S890" s="2"/>
      <c r="T890" s="2"/>
      <c r="U890" s="2"/>
      <c r="V890" s="2"/>
      <c r="W890" s="2"/>
    </row>
    <row r="891" spans="1:23" ht="12.75" customHeight="1">
      <c r="A891" s="2"/>
      <c r="B891" s="2"/>
      <c r="C891" s="2"/>
      <c r="D891" s="4"/>
      <c r="E891" s="4"/>
      <c r="F891" s="4"/>
      <c r="G891" s="3"/>
      <c r="H891" s="4"/>
      <c r="I891" s="3"/>
      <c r="J891" s="4"/>
      <c r="K891" s="3"/>
      <c r="L891" s="4"/>
      <c r="M891" s="5"/>
      <c r="N891" s="6"/>
      <c r="O891" s="3"/>
      <c r="P891" s="4"/>
      <c r="Q891" s="5"/>
      <c r="R891" s="6"/>
      <c r="S891" s="2"/>
      <c r="T891" s="2"/>
      <c r="U891" s="2"/>
      <c r="V891" s="2"/>
      <c r="W891" s="2"/>
    </row>
    <row r="892" spans="1:23" ht="12.75" customHeight="1">
      <c r="A892" s="2"/>
      <c r="B892" s="2"/>
      <c r="C892" s="2"/>
      <c r="D892" s="4"/>
      <c r="E892" s="4"/>
      <c r="F892" s="4"/>
      <c r="G892" s="3"/>
      <c r="H892" s="4"/>
      <c r="I892" s="3"/>
      <c r="J892" s="4"/>
      <c r="K892" s="3"/>
      <c r="L892" s="4"/>
      <c r="M892" s="5"/>
      <c r="N892" s="6"/>
      <c r="O892" s="3"/>
      <c r="P892" s="4"/>
      <c r="Q892" s="5"/>
      <c r="R892" s="6"/>
      <c r="S892" s="2"/>
      <c r="T892" s="2"/>
      <c r="U892" s="2"/>
      <c r="V892" s="2"/>
      <c r="W892" s="2"/>
    </row>
    <row r="893" spans="1:23" ht="12.75" customHeight="1">
      <c r="A893" s="2"/>
      <c r="B893" s="2"/>
      <c r="C893" s="2"/>
      <c r="D893" s="4"/>
      <c r="E893" s="4"/>
      <c r="F893" s="4"/>
      <c r="G893" s="3"/>
      <c r="H893" s="4"/>
      <c r="I893" s="3"/>
      <c r="J893" s="4"/>
      <c r="K893" s="3"/>
      <c r="L893" s="4"/>
      <c r="M893" s="5"/>
      <c r="N893" s="6"/>
      <c r="O893" s="3"/>
      <c r="P893" s="4"/>
      <c r="Q893" s="5"/>
      <c r="R893" s="6"/>
      <c r="S893" s="2"/>
      <c r="T893" s="2"/>
      <c r="U893" s="2"/>
      <c r="V893" s="2"/>
      <c r="W893" s="2"/>
    </row>
    <row r="894" spans="1:23" ht="12.75" customHeight="1">
      <c r="A894" s="2"/>
      <c r="B894" s="2"/>
      <c r="C894" s="2"/>
      <c r="D894" s="4"/>
      <c r="E894" s="4"/>
      <c r="F894" s="4"/>
      <c r="G894" s="3"/>
      <c r="H894" s="4"/>
      <c r="I894" s="3"/>
      <c r="J894" s="4"/>
      <c r="K894" s="3"/>
      <c r="L894" s="4"/>
      <c r="M894" s="5"/>
      <c r="N894" s="6"/>
      <c r="O894" s="3"/>
      <c r="P894" s="4"/>
      <c r="Q894" s="5"/>
      <c r="R894" s="6"/>
      <c r="S894" s="2"/>
      <c r="T894" s="2"/>
      <c r="U894" s="2"/>
      <c r="V894" s="2"/>
      <c r="W894" s="2"/>
    </row>
    <row r="895" spans="1:23" ht="12.75" customHeight="1">
      <c r="A895" s="2"/>
      <c r="B895" s="2"/>
      <c r="C895" s="2"/>
      <c r="D895" s="4"/>
      <c r="E895" s="4"/>
      <c r="F895" s="4"/>
      <c r="G895" s="3"/>
      <c r="H895" s="4"/>
      <c r="I895" s="3"/>
      <c r="J895" s="4"/>
      <c r="K895" s="3"/>
      <c r="L895" s="4"/>
      <c r="M895" s="5"/>
      <c r="N895" s="6"/>
      <c r="O895" s="3"/>
      <c r="P895" s="4"/>
      <c r="Q895" s="5"/>
      <c r="R895" s="6"/>
      <c r="S895" s="2"/>
      <c r="T895" s="2"/>
      <c r="U895" s="2"/>
      <c r="V895" s="2"/>
      <c r="W895" s="2"/>
    </row>
    <row r="896" spans="1:23" ht="12.75" customHeight="1">
      <c r="A896" s="2"/>
      <c r="B896" s="2"/>
      <c r="C896" s="2"/>
      <c r="D896" s="4"/>
      <c r="E896" s="4"/>
      <c r="F896" s="4"/>
      <c r="G896" s="3"/>
      <c r="H896" s="4"/>
      <c r="I896" s="3"/>
      <c r="J896" s="4"/>
      <c r="K896" s="3"/>
      <c r="L896" s="4"/>
      <c r="M896" s="5"/>
      <c r="N896" s="6"/>
      <c r="O896" s="3"/>
      <c r="P896" s="4"/>
      <c r="Q896" s="5"/>
      <c r="R896" s="6"/>
      <c r="S896" s="2"/>
      <c r="T896" s="2"/>
      <c r="U896" s="2"/>
      <c r="V896" s="2"/>
      <c r="W896" s="2"/>
    </row>
    <row r="897" spans="1:23" ht="12.75" customHeight="1">
      <c r="A897" s="2"/>
      <c r="B897" s="2"/>
      <c r="C897" s="2"/>
      <c r="D897" s="4"/>
      <c r="E897" s="4"/>
      <c r="F897" s="4"/>
      <c r="G897" s="3"/>
      <c r="H897" s="4"/>
      <c r="I897" s="3"/>
      <c r="J897" s="4"/>
      <c r="K897" s="3"/>
      <c r="L897" s="4"/>
      <c r="M897" s="5"/>
      <c r="N897" s="6"/>
      <c r="O897" s="3"/>
      <c r="P897" s="4"/>
      <c r="Q897" s="5"/>
      <c r="R897" s="6"/>
      <c r="S897" s="2"/>
      <c r="T897" s="2"/>
      <c r="U897" s="2"/>
      <c r="V897" s="2"/>
      <c r="W897" s="2"/>
    </row>
    <row r="898" spans="1:23" ht="12.75" customHeight="1">
      <c r="A898" s="2"/>
      <c r="B898" s="2"/>
      <c r="C898" s="2"/>
      <c r="D898" s="4"/>
      <c r="E898" s="4"/>
      <c r="F898" s="4"/>
      <c r="G898" s="3"/>
      <c r="H898" s="4"/>
      <c r="I898" s="3"/>
      <c r="J898" s="4"/>
      <c r="K898" s="3"/>
      <c r="L898" s="4"/>
      <c r="M898" s="5"/>
      <c r="N898" s="6"/>
      <c r="O898" s="3"/>
      <c r="P898" s="4"/>
      <c r="Q898" s="5"/>
      <c r="R898" s="6"/>
      <c r="S898" s="2"/>
      <c r="T898" s="2"/>
      <c r="U898" s="2"/>
      <c r="V898" s="2"/>
      <c r="W898" s="2"/>
    </row>
    <row r="899" spans="1:23" ht="12.75" customHeight="1">
      <c r="A899" s="2"/>
      <c r="B899" s="2"/>
      <c r="C899" s="2"/>
      <c r="D899" s="4"/>
      <c r="E899" s="4"/>
      <c r="F899" s="4"/>
      <c r="G899" s="3"/>
      <c r="H899" s="4"/>
      <c r="I899" s="3"/>
      <c r="J899" s="4"/>
      <c r="K899" s="3"/>
      <c r="L899" s="4"/>
      <c r="M899" s="5"/>
      <c r="N899" s="6"/>
      <c r="O899" s="3"/>
      <c r="P899" s="4"/>
      <c r="Q899" s="5"/>
      <c r="R899" s="6"/>
      <c r="S899" s="2"/>
      <c r="T899" s="2"/>
      <c r="U899" s="2"/>
      <c r="V899" s="2"/>
      <c r="W899" s="2"/>
    </row>
    <row r="900" spans="1:23" ht="12.75" customHeight="1">
      <c r="A900" s="2"/>
      <c r="B900" s="2"/>
      <c r="C900" s="2"/>
      <c r="D900" s="4"/>
      <c r="E900" s="4"/>
      <c r="F900" s="4"/>
      <c r="G900" s="3"/>
      <c r="H900" s="4"/>
      <c r="I900" s="3"/>
      <c r="J900" s="4"/>
      <c r="K900" s="3"/>
      <c r="L900" s="4"/>
      <c r="M900" s="5"/>
      <c r="N900" s="6"/>
      <c r="O900" s="3"/>
      <c r="P900" s="4"/>
      <c r="Q900" s="5"/>
      <c r="R900" s="6"/>
      <c r="S900" s="2"/>
      <c r="T900" s="2"/>
      <c r="U900" s="2"/>
      <c r="V900" s="2"/>
      <c r="W900" s="2"/>
    </row>
    <row r="901" spans="1:23" ht="12.75" customHeight="1">
      <c r="A901" s="2"/>
      <c r="B901" s="2"/>
      <c r="C901" s="2"/>
      <c r="D901" s="4"/>
      <c r="E901" s="4"/>
      <c r="F901" s="4"/>
      <c r="G901" s="3"/>
      <c r="H901" s="4"/>
      <c r="I901" s="3"/>
      <c r="J901" s="4"/>
      <c r="K901" s="3"/>
      <c r="L901" s="4"/>
      <c r="M901" s="5"/>
      <c r="N901" s="6"/>
      <c r="O901" s="3"/>
      <c r="P901" s="4"/>
      <c r="Q901" s="5"/>
      <c r="R901" s="6"/>
      <c r="S901" s="2"/>
      <c r="T901" s="2"/>
      <c r="U901" s="2"/>
      <c r="V901" s="2"/>
      <c r="W901" s="2"/>
    </row>
    <row r="902" spans="1:23" ht="12.75" customHeight="1">
      <c r="A902" s="2"/>
      <c r="B902" s="2"/>
      <c r="C902" s="2"/>
      <c r="D902" s="4"/>
      <c r="E902" s="4"/>
      <c r="F902" s="4"/>
      <c r="G902" s="3"/>
      <c r="H902" s="4"/>
      <c r="I902" s="3"/>
      <c r="J902" s="4"/>
      <c r="K902" s="3"/>
      <c r="L902" s="4"/>
      <c r="M902" s="5"/>
      <c r="N902" s="6"/>
      <c r="O902" s="3"/>
      <c r="P902" s="4"/>
      <c r="Q902" s="5"/>
      <c r="R902" s="6"/>
      <c r="S902" s="2"/>
      <c r="T902" s="2"/>
      <c r="U902" s="2"/>
      <c r="V902" s="2"/>
      <c r="W902" s="2"/>
    </row>
    <row r="903" spans="1:23" ht="12.75" customHeight="1">
      <c r="A903" s="2"/>
      <c r="B903" s="2"/>
      <c r="C903" s="2"/>
      <c r="D903" s="4"/>
      <c r="E903" s="4"/>
      <c r="F903" s="4"/>
      <c r="G903" s="3"/>
      <c r="H903" s="4"/>
      <c r="I903" s="3"/>
      <c r="J903" s="4"/>
      <c r="K903" s="3"/>
      <c r="L903" s="4"/>
      <c r="M903" s="5"/>
      <c r="N903" s="6"/>
      <c r="O903" s="3"/>
      <c r="P903" s="4"/>
      <c r="Q903" s="5"/>
      <c r="R903" s="6"/>
      <c r="S903" s="2"/>
      <c r="T903" s="2"/>
      <c r="U903" s="2"/>
      <c r="V903" s="2"/>
      <c r="W903" s="2"/>
    </row>
    <row r="904" spans="1:23" ht="12.75" customHeight="1">
      <c r="A904" s="2"/>
      <c r="B904" s="2"/>
      <c r="C904" s="2"/>
      <c r="D904" s="4"/>
      <c r="E904" s="4"/>
      <c r="F904" s="4"/>
      <c r="G904" s="3"/>
      <c r="H904" s="4"/>
      <c r="I904" s="3"/>
      <c r="J904" s="4"/>
      <c r="K904" s="3"/>
      <c r="L904" s="4"/>
      <c r="M904" s="5"/>
      <c r="N904" s="6"/>
      <c r="O904" s="3"/>
      <c r="P904" s="4"/>
      <c r="Q904" s="5"/>
      <c r="R904" s="6"/>
      <c r="S904" s="2"/>
      <c r="T904" s="2"/>
      <c r="U904" s="2"/>
      <c r="V904" s="2"/>
      <c r="W904" s="2"/>
    </row>
    <row r="905" spans="1:23" ht="12.75" customHeight="1">
      <c r="A905" s="2"/>
      <c r="B905" s="2"/>
      <c r="C905" s="2"/>
      <c r="D905" s="4"/>
      <c r="E905" s="4"/>
      <c r="F905" s="4"/>
      <c r="G905" s="3"/>
      <c r="H905" s="4"/>
      <c r="I905" s="3"/>
      <c r="J905" s="4"/>
      <c r="K905" s="3"/>
      <c r="L905" s="4"/>
      <c r="M905" s="5"/>
      <c r="N905" s="6"/>
      <c r="O905" s="3"/>
      <c r="P905" s="4"/>
      <c r="Q905" s="5"/>
      <c r="R905" s="6"/>
      <c r="S905" s="2"/>
      <c r="T905" s="2"/>
      <c r="U905" s="2"/>
      <c r="V905" s="2"/>
      <c r="W905" s="2"/>
    </row>
    <row r="906" spans="1:23" ht="12.75" customHeight="1">
      <c r="A906" s="2"/>
      <c r="B906" s="2"/>
      <c r="C906" s="2"/>
      <c r="D906" s="4"/>
      <c r="E906" s="4"/>
      <c r="F906" s="4"/>
      <c r="G906" s="3"/>
      <c r="H906" s="4"/>
      <c r="I906" s="3"/>
      <c r="J906" s="4"/>
      <c r="K906" s="3"/>
      <c r="L906" s="4"/>
      <c r="M906" s="5"/>
      <c r="N906" s="6"/>
      <c r="O906" s="3"/>
      <c r="P906" s="4"/>
      <c r="Q906" s="5"/>
      <c r="R906" s="6"/>
      <c r="S906" s="2"/>
      <c r="T906" s="2"/>
      <c r="U906" s="2"/>
      <c r="V906" s="2"/>
      <c r="W906" s="2"/>
    </row>
    <row r="907" spans="1:23" ht="12.75" customHeight="1">
      <c r="A907" s="2"/>
      <c r="B907" s="2"/>
      <c r="C907" s="2"/>
      <c r="D907" s="4"/>
      <c r="E907" s="4"/>
      <c r="F907" s="4"/>
      <c r="G907" s="3"/>
      <c r="H907" s="4"/>
      <c r="I907" s="3"/>
      <c r="J907" s="4"/>
      <c r="K907" s="3"/>
      <c r="L907" s="4"/>
      <c r="M907" s="5"/>
      <c r="N907" s="6"/>
      <c r="O907" s="3"/>
      <c r="P907" s="4"/>
      <c r="Q907" s="5"/>
      <c r="R907" s="6"/>
      <c r="S907" s="2"/>
      <c r="T907" s="2"/>
      <c r="U907" s="2"/>
      <c r="V907" s="2"/>
      <c r="W907" s="2"/>
    </row>
    <row r="908" spans="1:23" ht="12.75" customHeight="1">
      <c r="A908" s="2"/>
      <c r="B908" s="2"/>
      <c r="C908" s="2"/>
      <c r="D908" s="4"/>
      <c r="E908" s="4"/>
      <c r="F908" s="4"/>
      <c r="G908" s="3"/>
      <c r="H908" s="4"/>
      <c r="I908" s="3"/>
      <c r="J908" s="4"/>
      <c r="K908" s="3"/>
      <c r="L908" s="4"/>
      <c r="M908" s="5"/>
      <c r="N908" s="6"/>
      <c r="O908" s="3"/>
      <c r="P908" s="4"/>
      <c r="Q908" s="5"/>
      <c r="R908" s="6"/>
      <c r="S908" s="2"/>
      <c r="T908" s="2"/>
      <c r="U908" s="2"/>
      <c r="V908" s="2"/>
      <c r="W908" s="2"/>
    </row>
    <row r="909" spans="1:23" ht="12.75" customHeight="1">
      <c r="A909" s="2"/>
      <c r="B909" s="2"/>
      <c r="C909" s="2"/>
      <c r="D909" s="4"/>
      <c r="E909" s="4"/>
      <c r="F909" s="4"/>
      <c r="G909" s="3"/>
      <c r="H909" s="4"/>
      <c r="I909" s="3"/>
      <c r="J909" s="4"/>
      <c r="K909" s="3"/>
      <c r="L909" s="4"/>
      <c r="M909" s="5"/>
      <c r="N909" s="6"/>
      <c r="O909" s="3"/>
      <c r="P909" s="4"/>
      <c r="Q909" s="5"/>
      <c r="R909" s="6"/>
      <c r="S909" s="2"/>
      <c r="T909" s="2"/>
      <c r="U909" s="2"/>
      <c r="V909" s="2"/>
      <c r="W909" s="2"/>
    </row>
    <row r="910" spans="1:23" ht="12.75" customHeight="1">
      <c r="A910" s="2"/>
      <c r="B910" s="2"/>
      <c r="C910" s="2"/>
      <c r="D910" s="4"/>
      <c r="E910" s="4"/>
      <c r="F910" s="4"/>
      <c r="G910" s="3"/>
      <c r="H910" s="4"/>
      <c r="I910" s="3"/>
      <c r="J910" s="4"/>
      <c r="K910" s="3"/>
      <c r="L910" s="4"/>
      <c r="M910" s="5"/>
      <c r="N910" s="6"/>
      <c r="O910" s="3"/>
      <c r="P910" s="4"/>
      <c r="Q910" s="5"/>
      <c r="R910" s="6"/>
      <c r="S910" s="2"/>
      <c r="T910" s="2"/>
      <c r="U910" s="2"/>
      <c r="V910" s="2"/>
      <c r="W910" s="2"/>
    </row>
    <row r="911" spans="1:23" ht="12.75" customHeight="1">
      <c r="A911" s="2"/>
      <c r="B911" s="2"/>
      <c r="C911" s="2"/>
      <c r="D911" s="4"/>
      <c r="E911" s="4"/>
      <c r="F911" s="4"/>
      <c r="G911" s="3"/>
      <c r="H911" s="4"/>
      <c r="I911" s="3"/>
      <c r="J911" s="4"/>
      <c r="K911" s="3"/>
      <c r="L911" s="4"/>
      <c r="M911" s="5"/>
      <c r="N911" s="6"/>
      <c r="O911" s="3"/>
      <c r="P911" s="4"/>
      <c r="Q911" s="5"/>
      <c r="R911" s="6"/>
      <c r="S911" s="2"/>
      <c r="T911" s="2"/>
      <c r="U911" s="2"/>
      <c r="V911" s="2"/>
      <c r="W911" s="2"/>
    </row>
    <row r="912" spans="1:23" ht="12.75" customHeight="1">
      <c r="A912" s="2"/>
      <c r="B912" s="2"/>
      <c r="C912" s="2"/>
      <c r="D912" s="4"/>
      <c r="E912" s="4"/>
      <c r="F912" s="4"/>
      <c r="G912" s="3"/>
      <c r="H912" s="4"/>
      <c r="I912" s="3"/>
      <c r="J912" s="4"/>
      <c r="K912" s="3"/>
      <c r="L912" s="4"/>
      <c r="M912" s="5"/>
      <c r="N912" s="6"/>
      <c r="O912" s="3"/>
      <c r="P912" s="4"/>
      <c r="Q912" s="5"/>
      <c r="R912" s="6"/>
      <c r="S912" s="2"/>
      <c r="T912" s="2"/>
      <c r="U912" s="2"/>
      <c r="V912" s="2"/>
      <c r="W912" s="2"/>
    </row>
    <row r="913" spans="1:23" ht="12.75" customHeight="1">
      <c r="A913" s="2"/>
      <c r="B913" s="2"/>
      <c r="C913" s="2"/>
      <c r="D913" s="4"/>
      <c r="E913" s="4"/>
      <c r="F913" s="4"/>
      <c r="G913" s="3"/>
      <c r="H913" s="4"/>
      <c r="I913" s="3"/>
      <c r="J913" s="4"/>
      <c r="K913" s="3"/>
      <c r="L913" s="4"/>
      <c r="M913" s="5"/>
      <c r="N913" s="6"/>
      <c r="O913" s="3"/>
      <c r="P913" s="4"/>
      <c r="Q913" s="5"/>
      <c r="R913" s="6"/>
      <c r="S913" s="2"/>
      <c r="T913" s="2"/>
      <c r="U913" s="2"/>
      <c r="V913" s="2"/>
      <c r="W913" s="2"/>
    </row>
    <row r="914" spans="1:23" ht="12.75" customHeight="1">
      <c r="A914" s="2"/>
      <c r="B914" s="2"/>
      <c r="C914" s="2"/>
      <c r="D914" s="4"/>
      <c r="E914" s="4"/>
      <c r="F914" s="4"/>
      <c r="G914" s="3"/>
      <c r="H914" s="4"/>
      <c r="I914" s="3"/>
      <c r="J914" s="4"/>
      <c r="K914" s="3"/>
      <c r="L914" s="4"/>
      <c r="M914" s="5"/>
      <c r="N914" s="6"/>
      <c r="O914" s="3"/>
      <c r="P914" s="4"/>
      <c r="Q914" s="5"/>
      <c r="R914" s="6"/>
      <c r="S914" s="2"/>
      <c r="T914" s="2"/>
      <c r="U914" s="2"/>
      <c r="V914" s="2"/>
      <c r="W914" s="2"/>
    </row>
    <row r="915" spans="1:23" ht="12.75" customHeight="1">
      <c r="A915" s="2"/>
      <c r="B915" s="2"/>
      <c r="C915" s="2"/>
      <c r="D915" s="4"/>
      <c r="E915" s="4"/>
      <c r="F915" s="4"/>
      <c r="G915" s="3"/>
      <c r="H915" s="4"/>
      <c r="I915" s="3"/>
      <c r="J915" s="4"/>
      <c r="K915" s="3"/>
      <c r="L915" s="4"/>
      <c r="M915" s="5"/>
      <c r="N915" s="6"/>
      <c r="O915" s="3"/>
      <c r="P915" s="4"/>
      <c r="Q915" s="5"/>
      <c r="R915" s="6"/>
      <c r="S915" s="2"/>
      <c r="T915" s="2"/>
      <c r="U915" s="2"/>
      <c r="V915" s="2"/>
      <c r="W915" s="2"/>
    </row>
    <row r="916" spans="1:23" ht="12.75" customHeight="1">
      <c r="A916" s="2"/>
      <c r="B916" s="2"/>
      <c r="C916" s="2"/>
      <c r="D916" s="4"/>
      <c r="E916" s="4"/>
      <c r="F916" s="4"/>
      <c r="G916" s="3"/>
      <c r="H916" s="4"/>
      <c r="I916" s="3"/>
      <c r="J916" s="4"/>
      <c r="K916" s="3"/>
      <c r="L916" s="4"/>
      <c r="M916" s="5"/>
      <c r="N916" s="6"/>
      <c r="O916" s="3"/>
      <c r="P916" s="4"/>
      <c r="Q916" s="5"/>
      <c r="R916" s="6"/>
      <c r="S916" s="2"/>
      <c r="T916" s="2"/>
      <c r="U916" s="2"/>
      <c r="V916" s="2"/>
      <c r="W916" s="2"/>
    </row>
    <row r="917" spans="1:23" ht="12.75" customHeight="1">
      <c r="A917" s="2"/>
      <c r="B917" s="2"/>
      <c r="C917" s="2"/>
      <c r="D917" s="4"/>
      <c r="E917" s="4"/>
      <c r="F917" s="4"/>
      <c r="G917" s="3"/>
      <c r="H917" s="4"/>
      <c r="I917" s="3"/>
      <c r="J917" s="4"/>
      <c r="K917" s="3"/>
      <c r="L917" s="4"/>
      <c r="M917" s="5"/>
      <c r="N917" s="6"/>
      <c r="O917" s="3"/>
      <c r="P917" s="4"/>
      <c r="Q917" s="5"/>
      <c r="R917" s="6"/>
      <c r="S917" s="2"/>
      <c r="T917" s="2"/>
      <c r="U917" s="2"/>
      <c r="V917" s="2"/>
      <c r="W917" s="2"/>
    </row>
    <row r="918" spans="1:23" ht="12.75" customHeight="1">
      <c r="A918" s="2"/>
      <c r="B918" s="2"/>
      <c r="C918" s="2"/>
      <c r="D918" s="4"/>
      <c r="E918" s="4"/>
      <c r="F918" s="4"/>
      <c r="G918" s="3"/>
      <c r="H918" s="4"/>
      <c r="I918" s="3"/>
      <c r="J918" s="4"/>
      <c r="K918" s="3"/>
      <c r="L918" s="4"/>
      <c r="M918" s="5"/>
      <c r="N918" s="6"/>
      <c r="O918" s="3"/>
      <c r="P918" s="4"/>
      <c r="Q918" s="5"/>
      <c r="R918" s="6"/>
      <c r="S918" s="2"/>
      <c r="T918" s="2"/>
      <c r="U918" s="2"/>
      <c r="V918" s="2"/>
      <c r="W918" s="2"/>
    </row>
    <row r="919" spans="1:23" ht="12.75" customHeight="1">
      <c r="A919" s="2"/>
      <c r="B919" s="2"/>
      <c r="C919" s="2"/>
      <c r="D919" s="4"/>
      <c r="E919" s="4"/>
      <c r="F919" s="4"/>
      <c r="G919" s="3"/>
      <c r="H919" s="4"/>
      <c r="I919" s="3"/>
      <c r="J919" s="4"/>
      <c r="K919" s="3"/>
      <c r="L919" s="4"/>
      <c r="M919" s="5"/>
      <c r="N919" s="6"/>
      <c r="O919" s="3"/>
      <c r="P919" s="4"/>
      <c r="Q919" s="5"/>
      <c r="R919" s="6"/>
      <c r="S919" s="2"/>
      <c r="T919" s="2"/>
      <c r="U919" s="2"/>
      <c r="V919" s="2"/>
      <c r="W919" s="2"/>
    </row>
    <row r="920" spans="1:23" ht="12.75" customHeight="1">
      <c r="A920" s="2"/>
      <c r="B920" s="2"/>
      <c r="C920" s="2"/>
      <c r="D920" s="4"/>
      <c r="E920" s="4"/>
      <c r="F920" s="4"/>
      <c r="G920" s="3"/>
      <c r="H920" s="4"/>
      <c r="I920" s="3"/>
      <c r="J920" s="4"/>
      <c r="K920" s="3"/>
      <c r="L920" s="4"/>
      <c r="M920" s="5"/>
      <c r="N920" s="6"/>
      <c r="O920" s="3"/>
      <c r="P920" s="4"/>
      <c r="Q920" s="5"/>
      <c r="R920" s="6"/>
      <c r="S920" s="2"/>
      <c r="T920" s="2"/>
      <c r="U920" s="2"/>
      <c r="V920" s="2"/>
      <c r="W920" s="2"/>
    </row>
    <row r="921" spans="1:23" ht="12.75" customHeight="1">
      <c r="A921" s="2"/>
      <c r="B921" s="2"/>
      <c r="C921" s="2"/>
      <c r="D921" s="4"/>
      <c r="E921" s="4"/>
      <c r="F921" s="4"/>
      <c r="G921" s="3"/>
      <c r="H921" s="4"/>
      <c r="I921" s="3"/>
      <c r="J921" s="4"/>
      <c r="K921" s="3"/>
      <c r="L921" s="4"/>
      <c r="M921" s="5"/>
      <c r="N921" s="6"/>
      <c r="O921" s="3"/>
      <c r="P921" s="4"/>
      <c r="Q921" s="5"/>
      <c r="R921" s="6"/>
      <c r="S921" s="2"/>
      <c r="T921" s="2"/>
      <c r="U921" s="2"/>
      <c r="V921" s="2"/>
      <c r="W921" s="2"/>
    </row>
    <row r="922" spans="1:23" ht="12.75" customHeight="1">
      <c r="A922" s="2"/>
      <c r="B922" s="2"/>
      <c r="C922" s="2"/>
      <c r="D922" s="4"/>
      <c r="E922" s="4"/>
      <c r="F922" s="4"/>
      <c r="G922" s="3"/>
      <c r="H922" s="4"/>
      <c r="I922" s="3"/>
      <c r="J922" s="4"/>
      <c r="K922" s="3"/>
      <c r="L922" s="4"/>
      <c r="M922" s="5"/>
      <c r="N922" s="6"/>
      <c r="O922" s="3"/>
      <c r="P922" s="4"/>
      <c r="Q922" s="5"/>
      <c r="R922" s="6"/>
      <c r="S922" s="2"/>
      <c r="T922" s="2"/>
      <c r="U922" s="2"/>
      <c r="V922" s="2"/>
      <c r="W922" s="2"/>
    </row>
    <row r="923" spans="1:23" ht="12.75" customHeight="1">
      <c r="A923" s="2"/>
      <c r="B923" s="2"/>
      <c r="C923" s="2"/>
      <c r="D923" s="4"/>
      <c r="E923" s="4"/>
      <c r="F923" s="4"/>
      <c r="G923" s="3"/>
      <c r="H923" s="4"/>
      <c r="I923" s="3"/>
      <c r="J923" s="4"/>
      <c r="K923" s="3"/>
      <c r="L923" s="4"/>
      <c r="M923" s="5"/>
      <c r="N923" s="6"/>
      <c r="O923" s="3"/>
      <c r="P923" s="4"/>
      <c r="Q923" s="5"/>
      <c r="R923" s="6"/>
      <c r="S923" s="2"/>
      <c r="T923" s="2"/>
      <c r="U923" s="2"/>
      <c r="V923" s="2"/>
      <c r="W923" s="2"/>
    </row>
    <row r="924" spans="1:23" ht="12.75" customHeight="1">
      <c r="A924" s="2"/>
      <c r="B924" s="2"/>
      <c r="C924" s="2"/>
      <c r="D924" s="4"/>
      <c r="E924" s="4"/>
      <c r="F924" s="4"/>
      <c r="G924" s="3"/>
      <c r="H924" s="4"/>
      <c r="I924" s="3"/>
      <c r="J924" s="4"/>
      <c r="K924" s="3"/>
      <c r="L924" s="4"/>
      <c r="M924" s="5"/>
      <c r="N924" s="6"/>
      <c r="O924" s="3"/>
      <c r="P924" s="4"/>
      <c r="Q924" s="5"/>
      <c r="R924" s="6"/>
      <c r="S924" s="2"/>
      <c r="T924" s="2"/>
      <c r="U924" s="2"/>
      <c r="V924" s="2"/>
      <c r="W924" s="2"/>
    </row>
    <row r="925" spans="1:23" ht="12.75" customHeight="1">
      <c r="A925" s="2"/>
      <c r="B925" s="2"/>
      <c r="C925" s="2"/>
      <c r="D925" s="4"/>
      <c r="E925" s="4"/>
      <c r="F925" s="4"/>
      <c r="G925" s="3"/>
      <c r="H925" s="4"/>
      <c r="I925" s="3"/>
      <c r="J925" s="4"/>
      <c r="K925" s="3"/>
      <c r="L925" s="4"/>
      <c r="M925" s="5"/>
      <c r="N925" s="6"/>
      <c r="O925" s="3"/>
      <c r="P925" s="4"/>
      <c r="Q925" s="5"/>
      <c r="R925" s="6"/>
      <c r="S925" s="2"/>
      <c r="T925" s="2"/>
      <c r="U925" s="2"/>
      <c r="V925" s="2"/>
      <c r="W925" s="2"/>
    </row>
    <row r="926" spans="1:23" ht="12.75" customHeight="1">
      <c r="A926" s="2"/>
      <c r="B926" s="2"/>
      <c r="C926" s="2"/>
      <c r="D926" s="4"/>
      <c r="E926" s="4"/>
      <c r="F926" s="4"/>
      <c r="G926" s="3"/>
      <c r="H926" s="4"/>
      <c r="I926" s="3"/>
      <c r="J926" s="4"/>
      <c r="K926" s="3"/>
      <c r="L926" s="4"/>
      <c r="M926" s="5"/>
      <c r="N926" s="6"/>
      <c r="O926" s="3"/>
      <c r="P926" s="4"/>
      <c r="Q926" s="5"/>
      <c r="R926" s="6"/>
      <c r="S926" s="2"/>
      <c r="T926" s="2"/>
      <c r="U926" s="2"/>
      <c r="V926" s="2"/>
      <c r="W926" s="2"/>
    </row>
    <row r="927" spans="1:23" ht="12.75" customHeight="1">
      <c r="A927" s="2"/>
      <c r="B927" s="2"/>
      <c r="C927" s="2"/>
      <c r="D927" s="4"/>
      <c r="E927" s="4"/>
      <c r="F927" s="4"/>
      <c r="G927" s="3"/>
      <c r="H927" s="4"/>
      <c r="I927" s="3"/>
      <c r="J927" s="4"/>
      <c r="K927" s="3"/>
      <c r="L927" s="4"/>
      <c r="M927" s="5"/>
      <c r="N927" s="6"/>
      <c r="O927" s="3"/>
      <c r="P927" s="4"/>
      <c r="Q927" s="5"/>
      <c r="R927" s="6"/>
      <c r="S927" s="2"/>
      <c r="T927" s="2"/>
      <c r="U927" s="2"/>
      <c r="V927" s="2"/>
      <c r="W927" s="2"/>
    </row>
    <row r="928" spans="1:23" ht="12.75" customHeight="1">
      <c r="A928" s="2"/>
      <c r="B928" s="2"/>
      <c r="C928" s="2"/>
      <c r="D928" s="4"/>
      <c r="E928" s="4"/>
      <c r="F928" s="4"/>
      <c r="G928" s="3"/>
      <c r="H928" s="4"/>
      <c r="I928" s="3"/>
      <c r="J928" s="4"/>
      <c r="K928" s="3"/>
      <c r="L928" s="4"/>
      <c r="M928" s="5"/>
      <c r="N928" s="6"/>
      <c r="O928" s="3"/>
      <c r="P928" s="4"/>
      <c r="Q928" s="5"/>
      <c r="R928" s="6"/>
      <c r="S928" s="2"/>
      <c r="T928" s="2"/>
      <c r="U928" s="2"/>
      <c r="V928" s="2"/>
      <c r="W928" s="2"/>
    </row>
    <row r="929" spans="1:23" ht="12.75" customHeight="1">
      <c r="A929" s="2"/>
      <c r="B929" s="2"/>
      <c r="C929" s="2"/>
      <c r="D929" s="4"/>
      <c r="E929" s="4"/>
      <c r="F929" s="4"/>
      <c r="G929" s="3"/>
      <c r="H929" s="4"/>
      <c r="I929" s="3"/>
      <c r="J929" s="4"/>
      <c r="K929" s="3"/>
      <c r="L929" s="4"/>
      <c r="M929" s="5"/>
      <c r="N929" s="6"/>
      <c r="O929" s="3"/>
      <c r="P929" s="4"/>
      <c r="Q929" s="5"/>
      <c r="R929" s="6"/>
      <c r="S929" s="2"/>
      <c r="T929" s="2"/>
      <c r="U929" s="2"/>
      <c r="V929" s="2"/>
      <c r="W929" s="2"/>
    </row>
    <row r="930" spans="1:23" ht="12.75" customHeight="1">
      <c r="A930" s="2"/>
      <c r="B930" s="2"/>
      <c r="C930" s="2"/>
      <c r="D930" s="4"/>
      <c r="E930" s="4"/>
      <c r="F930" s="4"/>
      <c r="G930" s="3"/>
      <c r="H930" s="4"/>
      <c r="I930" s="3"/>
      <c r="J930" s="4"/>
      <c r="K930" s="3"/>
      <c r="L930" s="4"/>
      <c r="M930" s="5"/>
      <c r="N930" s="6"/>
      <c r="O930" s="3"/>
      <c r="P930" s="4"/>
      <c r="Q930" s="5"/>
      <c r="R930" s="6"/>
      <c r="S930" s="2"/>
      <c r="T930" s="2"/>
      <c r="U930" s="2"/>
      <c r="V930" s="2"/>
      <c r="W930" s="2"/>
    </row>
    <row r="931" spans="1:23" ht="12.75" customHeight="1">
      <c r="A931" s="2"/>
      <c r="B931" s="2"/>
      <c r="C931" s="2"/>
      <c r="D931" s="4"/>
      <c r="E931" s="4"/>
      <c r="F931" s="4"/>
      <c r="G931" s="3"/>
      <c r="H931" s="4"/>
      <c r="I931" s="3"/>
      <c r="J931" s="4"/>
      <c r="K931" s="3"/>
      <c r="L931" s="4"/>
      <c r="M931" s="5"/>
      <c r="N931" s="6"/>
      <c r="O931" s="3"/>
      <c r="P931" s="4"/>
      <c r="Q931" s="5"/>
      <c r="R931" s="6"/>
      <c r="S931" s="2"/>
      <c r="T931" s="2"/>
      <c r="U931" s="2"/>
      <c r="V931" s="2"/>
      <c r="W931" s="2"/>
    </row>
    <row r="932" spans="1:23" ht="12.75" customHeight="1">
      <c r="A932" s="2"/>
      <c r="B932" s="2"/>
      <c r="C932" s="2"/>
      <c r="D932" s="4"/>
      <c r="E932" s="4"/>
      <c r="F932" s="4"/>
      <c r="G932" s="3"/>
      <c r="H932" s="4"/>
      <c r="I932" s="3"/>
      <c r="J932" s="4"/>
      <c r="K932" s="3"/>
      <c r="L932" s="4"/>
      <c r="M932" s="5"/>
      <c r="N932" s="6"/>
      <c r="O932" s="3"/>
      <c r="P932" s="4"/>
      <c r="Q932" s="5"/>
      <c r="R932" s="6"/>
      <c r="S932" s="2"/>
      <c r="T932" s="2"/>
      <c r="U932" s="2"/>
      <c r="V932" s="2"/>
      <c r="W932" s="2"/>
    </row>
    <row r="933" spans="1:23" ht="12.75" customHeight="1">
      <c r="A933" s="2"/>
      <c r="B933" s="2"/>
      <c r="C933" s="2"/>
      <c r="D933" s="4"/>
      <c r="E933" s="4"/>
      <c r="F933" s="4"/>
      <c r="G933" s="3"/>
      <c r="H933" s="4"/>
      <c r="I933" s="3"/>
      <c r="J933" s="4"/>
      <c r="K933" s="3"/>
      <c r="L933" s="4"/>
      <c r="M933" s="5"/>
      <c r="N933" s="6"/>
      <c r="O933" s="3"/>
      <c r="P933" s="4"/>
      <c r="Q933" s="5"/>
      <c r="R933" s="6"/>
      <c r="S933" s="2"/>
      <c r="T933" s="2"/>
      <c r="U933" s="2"/>
      <c r="V933" s="2"/>
      <c r="W933" s="2"/>
    </row>
    <row r="934" spans="1:23" ht="12.75" customHeight="1">
      <c r="A934" s="2"/>
      <c r="B934" s="2"/>
      <c r="C934" s="2"/>
      <c r="D934" s="4"/>
      <c r="E934" s="4"/>
      <c r="F934" s="4"/>
      <c r="G934" s="3"/>
      <c r="H934" s="4"/>
      <c r="I934" s="3"/>
      <c r="J934" s="4"/>
      <c r="K934" s="3"/>
      <c r="L934" s="4"/>
      <c r="M934" s="5"/>
      <c r="N934" s="6"/>
      <c r="O934" s="3"/>
      <c r="P934" s="4"/>
      <c r="Q934" s="5"/>
      <c r="R934" s="6"/>
      <c r="S934" s="2"/>
      <c r="T934" s="2"/>
      <c r="U934" s="2"/>
      <c r="V934" s="2"/>
      <c r="W934" s="2"/>
    </row>
    <row r="935" spans="1:23" ht="12.75" customHeight="1">
      <c r="A935" s="2"/>
      <c r="B935" s="2"/>
      <c r="C935" s="2"/>
      <c r="D935" s="4"/>
      <c r="E935" s="4"/>
      <c r="F935" s="4"/>
      <c r="G935" s="3"/>
      <c r="H935" s="4"/>
      <c r="I935" s="3"/>
      <c r="J935" s="4"/>
      <c r="K935" s="3"/>
      <c r="L935" s="4"/>
      <c r="M935" s="5"/>
      <c r="N935" s="6"/>
      <c r="O935" s="3"/>
      <c r="P935" s="4"/>
      <c r="Q935" s="5"/>
      <c r="R935" s="6"/>
      <c r="S935" s="2"/>
      <c r="T935" s="2"/>
      <c r="U935" s="2"/>
      <c r="V935" s="2"/>
      <c r="W935" s="2"/>
    </row>
    <row r="936" spans="1:23" ht="12.75" customHeight="1">
      <c r="A936" s="2"/>
      <c r="B936" s="2"/>
      <c r="C936" s="2"/>
      <c r="D936" s="4"/>
      <c r="E936" s="4"/>
      <c r="F936" s="4"/>
      <c r="G936" s="3"/>
      <c r="H936" s="4"/>
      <c r="I936" s="3"/>
      <c r="J936" s="4"/>
      <c r="K936" s="3"/>
      <c r="L936" s="4"/>
      <c r="M936" s="5"/>
      <c r="N936" s="6"/>
      <c r="O936" s="3"/>
      <c r="P936" s="4"/>
      <c r="Q936" s="5"/>
      <c r="R936" s="6"/>
      <c r="S936" s="2"/>
      <c r="T936" s="2"/>
      <c r="U936" s="2"/>
      <c r="V936" s="2"/>
      <c r="W936" s="2"/>
    </row>
    <row r="937" spans="1:23" ht="12.75" customHeight="1">
      <c r="A937" s="2"/>
      <c r="B937" s="2"/>
      <c r="C937" s="2"/>
      <c r="D937" s="4"/>
      <c r="E937" s="4"/>
      <c r="F937" s="4"/>
      <c r="G937" s="3"/>
      <c r="H937" s="4"/>
      <c r="I937" s="3"/>
      <c r="J937" s="4"/>
      <c r="K937" s="3"/>
      <c r="L937" s="4"/>
      <c r="M937" s="5"/>
      <c r="N937" s="6"/>
      <c r="O937" s="3"/>
      <c r="P937" s="4"/>
      <c r="Q937" s="5"/>
      <c r="R937" s="6"/>
      <c r="S937" s="2"/>
      <c r="T937" s="2"/>
      <c r="U937" s="2"/>
      <c r="V937" s="2"/>
      <c r="W937" s="2"/>
    </row>
    <row r="938" spans="1:23" ht="12.75" customHeight="1">
      <c r="A938" s="2"/>
      <c r="B938" s="2"/>
      <c r="C938" s="2"/>
      <c r="D938" s="4"/>
      <c r="E938" s="4"/>
      <c r="F938" s="4"/>
      <c r="G938" s="3"/>
      <c r="H938" s="4"/>
      <c r="I938" s="3"/>
      <c r="J938" s="4"/>
      <c r="K938" s="3"/>
      <c r="L938" s="4"/>
      <c r="M938" s="5"/>
      <c r="N938" s="6"/>
      <c r="O938" s="3"/>
      <c r="P938" s="4"/>
      <c r="Q938" s="5"/>
      <c r="R938" s="6"/>
      <c r="S938" s="2"/>
      <c r="T938" s="2"/>
      <c r="U938" s="2"/>
      <c r="V938" s="2"/>
      <c r="W938" s="2"/>
    </row>
    <row r="939" spans="1:23" ht="12.75" customHeight="1">
      <c r="A939" s="2"/>
      <c r="B939" s="2"/>
      <c r="C939" s="2"/>
      <c r="D939" s="4"/>
      <c r="E939" s="4"/>
      <c r="F939" s="4"/>
      <c r="G939" s="3"/>
      <c r="H939" s="4"/>
      <c r="I939" s="3"/>
      <c r="J939" s="4"/>
      <c r="K939" s="3"/>
      <c r="L939" s="4"/>
      <c r="M939" s="5"/>
      <c r="N939" s="6"/>
      <c r="O939" s="3"/>
      <c r="P939" s="4"/>
      <c r="Q939" s="5"/>
      <c r="R939" s="6"/>
      <c r="S939" s="2"/>
      <c r="T939" s="2"/>
      <c r="U939" s="2"/>
      <c r="V939" s="2"/>
      <c r="W939" s="2"/>
    </row>
    <row r="940" spans="1:23" ht="12.75" customHeight="1">
      <c r="A940" s="2"/>
      <c r="B940" s="2"/>
      <c r="C940" s="2"/>
      <c r="D940" s="4"/>
      <c r="E940" s="4"/>
      <c r="F940" s="4"/>
      <c r="G940" s="3"/>
      <c r="H940" s="4"/>
      <c r="I940" s="3"/>
      <c r="J940" s="4"/>
      <c r="K940" s="3"/>
      <c r="L940" s="4"/>
      <c r="M940" s="5"/>
      <c r="N940" s="6"/>
      <c r="O940" s="3"/>
      <c r="P940" s="4"/>
      <c r="Q940" s="5"/>
      <c r="R940" s="6"/>
      <c r="S940" s="2"/>
      <c r="T940" s="2"/>
      <c r="U940" s="2"/>
      <c r="V940" s="2"/>
      <c r="W940" s="2"/>
    </row>
    <row r="941" spans="1:23" ht="12.75" customHeight="1">
      <c r="A941" s="2"/>
      <c r="B941" s="2"/>
      <c r="C941" s="2"/>
      <c r="D941" s="4"/>
      <c r="E941" s="4"/>
      <c r="F941" s="4"/>
      <c r="G941" s="3"/>
      <c r="H941" s="4"/>
      <c r="I941" s="3"/>
      <c r="J941" s="4"/>
      <c r="K941" s="3"/>
      <c r="L941" s="4"/>
      <c r="M941" s="5"/>
      <c r="N941" s="6"/>
      <c r="O941" s="3"/>
      <c r="P941" s="4"/>
      <c r="Q941" s="5"/>
      <c r="R941" s="6"/>
      <c r="S941" s="2"/>
      <c r="T941" s="2"/>
      <c r="U941" s="2"/>
      <c r="V941" s="2"/>
      <c r="W941" s="2"/>
    </row>
    <row r="942" spans="1:23" ht="12.75" customHeight="1">
      <c r="A942" s="2"/>
      <c r="B942" s="2"/>
      <c r="C942" s="2"/>
      <c r="D942" s="4"/>
      <c r="E942" s="4"/>
      <c r="F942" s="4"/>
      <c r="G942" s="3"/>
      <c r="H942" s="4"/>
      <c r="I942" s="3"/>
      <c r="J942" s="4"/>
      <c r="K942" s="3"/>
      <c r="L942" s="4"/>
      <c r="M942" s="5"/>
      <c r="N942" s="6"/>
      <c r="O942" s="3"/>
      <c r="P942" s="4"/>
      <c r="Q942" s="5"/>
      <c r="R942" s="6"/>
      <c r="S942" s="2"/>
      <c r="T942" s="2"/>
      <c r="U942" s="2"/>
      <c r="V942" s="2"/>
      <c r="W942" s="2"/>
    </row>
    <row r="943" spans="1:23" ht="12.75" customHeight="1">
      <c r="A943" s="2"/>
      <c r="B943" s="2"/>
      <c r="C943" s="2"/>
      <c r="D943" s="4"/>
      <c r="E943" s="4"/>
      <c r="F943" s="4"/>
      <c r="G943" s="3"/>
      <c r="H943" s="4"/>
      <c r="I943" s="3"/>
      <c r="J943" s="4"/>
      <c r="K943" s="3"/>
      <c r="L943" s="4"/>
      <c r="M943" s="5"/>
      <c r="N943" s="6"/>
      <c r="O943" s="3"/>
      <c r="P943" s="4"/>
      <c r="Q943" s="5"/>
      <c r="R943" s="6"/>
      <c r="S943" s="2"/>
      <c r="T943" s="2"/>
      <c r="U943" s="2"/>
      <c r="V943" s="2"/>
      <c r="W943" s="2"/>
    </row>
    <row r="944" spans="1:23" ht="12.75" customHeight="1">
      <c r="A944" s="2"/>
      <c r="B944" s="2"/>
      <c r="C944" s="2"/>
      <c r="D944" s="4"/>
      <c r="E944" s="4"/>
      <c r="F944" s="4"/>
      <c r="G944" s="3"/>
      <c r="H944" s="4"/>
      <c r="I944" s="3"/>
      <c r="J944" s="4"/>
      <c r="K944" s="3"/>
      <c r="L944" s="4"/>
      <c r="M944" s="5"/>
      <c r="N944" s="6"/>
      <c r="O944" s="3"/>
      <c r="P944" s="4"/>
      <c r="Q944" s="5"/>
      <c r="R944" s="6"/>
      <c r="S944" s="2"/>
      <c r="T944" s="2"/>
      <c r="U944" s="2"/>
      <c r="V944" s="2"/>
      <c r="W944" s="2"/>
    </row>
    <row r="945" spans="1:23" ht="12.75" customHeight="1">
      <c r="A945" s="2"/>
      <c r="B945" s="2"/>
      <c r="C945" s="2"/>
      <c r="D945" s="4"/>
      <c r="E945" s="4"/>
      <c r="F945" s="4"/>
      <c r="G945" s="3"/>
      <c r="H945" s="4"/>
      <c r="I945" s="3"/>
      <c r="J945" s="4"/>
      <c r="K945" s="3"/>
      <c r="L945" s="4"/>
      <c r="M945" s="5"/>
      <c r="N945" s="6"/>
      <c r="O945" s="3"/>
      <c r="P945" s="4"/>
      <c r="Q945" s="5"/>
      <c r="R945" s="6"/>
      <c r="S945" s="2"/>
      <c r="T945" s="2"/>
      <c r="U945" s="2"/>
      <c r="V945" s="2"/>
      <c r="W945" s="2"/>
    </row>
    <row r="946" spans="1:23" ht="12.75" customHeight="1">
      <c r="A946" s="2"/>
      <c r="B946" s="2"/>
      <c r="C946" s="2"/>
      <c r="D946" s="4"/>
      <c r="E946" s="4"/>
      <c r="F946" s="4"/>
      <c r="G946" s="3"/>
      <c r="H946" s="4"/>
      <c r="I946" s="3"/>
      <c r="J946" s="4"/>
      <c r="K946" s="3"/>
      <c r="L946" s="4"/>
      <c r="M946" s="5"/>
      <c r="N946" s="6"/>
      <c r="O946" s="3"/>
      <c r="P946" s="4"/>
      <c r="Q946" s="5"/>
      <c r="R946" s="6"/>
      <c r="S946" s="2"/>
      <c r="T946" s="2"/>
      <c r="U946" s="2"/>
      <c r="V946" s="2"/>
      <c r="W946" s="2"/>
    </row>
    <row r="947" spans="1:23" ht="12.75" customHeight="1">
      <c r="A947" s="2"/>
      <c r="B947" s="2"/>
      <c r="C947" s="2"/>
      <c r="D947" s="4"/>
      <c r="E947" s="4"/>
      <c r="F947" s="4"/>
      <c r="G947" s="3"/>
      <c r="H947" s="4"/>
      <c r="I947" s="3"/>
      <c r="J947" s="4"/>
      <c r="K947" s="3"/>
      <c r="L947" s="4"/>
      <c r="M947" s="5"/>
      <c r="N947" s="6"/>
      <c r="O947" s="3"/>
      <c r="P947" s="4"/>
      <c r="Q947" s="5"/>
      <c r="R947" s="6"/>
      <c r="S947" s="2"/>
      <c r="T947" s="2"/>
      <c r="U947" s="2"/>
      <c r="V947" s="2"/>
      <c r="W947" s="2"/>
    </row>
    <row r="948" spans="1:23" ht="12.75" customHeight="1">
      <c r="A948" s="2"/>
      <c r="B948" s="2"/>
      <c r="C948" s="2"/>
      <c r="D948" s="4"/>
      <c r="E948" s="4"/>
      <c r="F948" s="4"/>
      <c r="G948" s="3"/>
      <c r="H948" s="4"/>
      <c r="I948" s="3"/>
      <c r="J948" s="4"/>
      <c r="K948" s="3"/>
      <c r="L948" s="4"/>
      <c r="M948" s="5"/>
      <c r="N948" s="6"/>
      <c r="O948" s="3"/>
      <c r="P948" s="4"/>
      <c r="Q948" s="5"/>
      <c r="R948" s="6"/>
      <c r="S948" s="2"/>
      <c r="T948" s="2"/>
      <c r="U948" s="2"/>
      <c r="V948" s="2"/>
      <c r="W948" s="2"/>
    </row>
    <row r="949" spans="1:23" ht="12.75" customHeight="1">
      <c r="A949" s="2"/>
      <c r="B949" s="2"/>
      <c r="C949" s="2"/>
      <c r="D949" s="4"/>
      <c r="E949" s="4"/>
      <c r="F949" s="4"/>
      <c r="G949" s="3"/>
      <c r="H949" s="4"/>
      <c r="I949" s="3"/>
      <c r="J949" s="4"/>
      <c r="K949" s="3"/>
      <c r="L949" s="4"/>
      <c r="M949" s="5"/>
      <c r="N949" s="6"/>
      <c r="O949" s="3"/>
      <c r="P949" s="4"/>
      <c r="Q949" s="5"/>
      <c r="R949" s="6"/>
      <c r="S949" s="2"/>
      <c r="T949" s="2"/>
      <c r="U949" s="2"/>
      <c r="V949" s="2"/>
      <c r="W949" s="2"/>
    </row>
    <row r="950" spans="1:23" ht="12.75" customHeight="1">
      <c r="A950" s="2"/>
      <c r="B950" s="2"/>
      <c r="C950" s="2"/>
      <c r="D950" s="4"/>
      <c r="E950" s="4"/>
      <c r="F950" s="4"/>
      <c r="G950" s="3"/>
      <c r="H950" s="4"/>
      <c r="I950" s="3"/>
      <c r="J950" s="4"/>
      <c r="K950" s="3"/>
      <c r="L950" s="4"/>
      <c r="M950" s="5"/>
      <c r="N950" s="6"/>
      <c r="O950" s="3"/>
      <c r="P950" s="4"/>
      <c r="Q950" s="5"/>
      <c r="R950" s="6"/>
      <c r="S950" s="2"/>
      <c r="T950" s="2"/>
      <c r="U950" s="2"/>
      <c r="V950" s="2"/>
      <c r="W950" s="2"/>
    </row>
    <row r="951" spans="1:23" ht="12.75" customHeight="1">
      <c r="A951" s="2"/>
      <c r="B951" s="2"/>
      <c r="C951" s="2"/>
      <c r="D951" s="4"/>
      <c r="E951" s="4"/>
      <c r="F951" s="4"/>
      <c r="G951" s="3"/>
      <c r="H951" s="4"/>
      <c r="I951" s="3"/>
      <c r="J951" s="4"/>
      <c r="K951" s="3"/>
      <c r="L951" s="4"/>
      <c r="M951" s="5"/>
      <c r="N951" s="6"/>
      <c r="O951" s="3"/>
      <c r="P951" s="4"/>
      <c r="Q951" s="5"/>
      <c r="R951" s="6"/>
      <c r="S951" s="2"/>
      <c r="T951" s="2"/>
      <c r="U951" s="2"/>
      <c r="V951" s="2"/>
      <c r="W951" s="2"/>
    </row>
    <row r="952" spans="1:23" ht="12.75" customHeight="1">
      <c r="A952" s="2"/>
      <c r="B952" s="2"/>
      <c r="C952" s="2"/>
      <c r="D952" s="4"/>
      <c r="E952" s="4"/>
      <c r="F952" s="4"/>
      <c r="G952" s="3"/>
      <c r="H952" s="4"/>
      <c r="I952" s="3"/>
      <c r="J952" s="4"/>
      <c r="K952" s="3"/>
      <c r="L952" s="4"/>
      <c r="M952" s="5"/>
      <c r="N952" s="6"/>
      <c r="O952" s="3"/>
      <c r="P952" s="4"/>
      <c r="Q952" s="5"/>
      <c r="R952" s="6"/>
      <c r="S952" s="2"/>
      <c r="T952" s="2"/>
      <c r="U952" s="2"/>
      <c r="V952" s="2"/>
      <c r="W952" s="2"/>
    </row>
    <row r="953" spans="1:23" ht="12.75" customHeight="1">
      <c r="A953" s="2"/>
      <c r="B953" s="2"/>
      <c r="C953" s="2"/>
      <c r="D953" s="4"/>
      <c r="E953" s="4"/>
      <c r="F953" s="4"/>
      <c r="G953" s="3"/>
      <c r="H953" s="4"/>
      <c r="I953" s="3"/>
      <c r="J953" s="4"/>
      <c r="K953" s="3"/>
      <c r="L953" s="4"/>
      <c r="M953" s="5"/>
      <c r="N953" s="6"/>
      <c r="O953" s="3"/>
      <c r="P953" s="4"/>
      <c r="Q953" s="5"/>
      <c r="R953" s="6"/>
      <c r="S953" s="2"/>
      <c r="T953" s="2"/>
      <c r="U953" s="2"/>
      <c r="V953" s="2"/>
      <c r="W953" s="2"/>
    </row>
    <row r="954" spans="1:23" ht="12.75" customHeight="1">
      <c r="A954" s="2"/>
      <c r="B954" s="2"/>
      <c r="C954" s="2"/>
      <c r="D954" s="4"/>
      <c r="E954" s="4"/>
      <c r="F954" s="4"/>
      <c r="G954" s="3"/>
      <c r="H954" s="4"/>
      <c r="I954" s="3"/>
      <c r="J954" s="4"/>
      <c r="K954" s="3"/>
      <c r="L954" s="4"/>
      <c r="M954" s="5"/>
      <c r="N954" s="6"/>
      <c r="O954" s="3"/>
      <c r="P954" s="4"/>
      <c r="Q954" s="5"/>
      <c r="R954" s="6"/>
      <c r="S954" s="2"/>
      <c r="T954" s="2"/>
      <c r="U954" s="2"/>
      <c r="V954" s="2"/>
      <c r="W954" s="2"/>
    </row>
    <row r="955" spans="1:23" ht="12.75" customHeight="1">
      <c r="A955" s="2"/>
      <c r="B955" s="2"/>
      <c r="C955" s="2"/>
      <c r="D955" s="4"/>
      <c r="E955" s="4"/>
      <c r="F955" s="4"/>
      <c r="G955" s="3"/>
      <c r="H955" s="4"/>
      <c r="I955" s="3"/>
      <c r="J955" s="4"/>
      <c r="K955" s="3"/>
      <c r="L955" s="4"/>
      <c r="M955" s="5"/>
      <c r="N955" s="6"/>
      <c r="O955" s="3"/>
      <c r="P955" s="4"/>
      <c r="Q955" s="5"/>
      <c r="R955" s="6"/>
      <c r="S955" s="2"/>
      <c r="T955" s="2"/>
      <c r="U955" s="2"/>
      <c r="V955" s="2"/>
      <c r="W955" s="2"/>
    </row>
    <row r="956" spans="1:23" ht="12.75" customHeight="1">
      <c r="A956" s="2"/>
      <c r="B956" s="2"/>
      <c r="C956" s="2"/>
      <c r="D956" s="4"/>
      <c r="E956" s="4"/>
      <c r="F956" s="4"/>
      <c r="G956" s="3"/>
      <c r="H956" s="4"/>
      <c r="I956" s="3"/>
      <c r="J956" s="4"/>
      <c r="K956" s="3"/>
      <c r="L956" s="4"/>
      <c r="M956" s="5"/>
      <c r="N956" s="6"/>
      <c r="O956" s="3"/>
      <c r="P956" s="4"/>
      <c r="Q956" s="5"/>
      <c r="R956" s="6"/>
      <c r="S956" s="2"/>
      <c r="T956" s="2"/>
      <c r="U956" s="2"/>
      <c r="V956" s="2"/>
      <c r="W956" s="2"/>
    </row>
    <row r="957" spans="1:23" ht="12.75" customHeight="1">
      <c r="A957" s="2"/>
      <c r="B957" s="2"/>
      <c r="C957" s="2"/>
      <c r="D957" s="4"/>
      <c r="E957" s="4"/>
      <c r="F957" s="4"/>
      <c r="G957" s="3"/>
      <c r="H957" s="4"/>
      <c r="I957" s="3"/>
      <c r="J957" s="4"/>
      <c r="K957" s="3"/>
      <c r="L957" s="4"/>
      <c r="M957" s="5"/>
      <c r="N957" s="6"/>
      <c r="O957" s="3"/>
      <c r="P957" s="4"/>
      <c r="Q957" s="5"/>
      <c r="R957" s="6"/>
      <c r="S957" s="2"/>
      <c r="T957" s="2"/>
      <c r="U957" s="2"/>
      <c r="V957" s="2"/>
      <c r="W957" s="2"/>
    </row>
    <row r="958" spans="1:23" ht="12.75" customHeight="1">
      <c r="A958" s="2"/>
      <c r="B958" s="2"/>
      <c r="C958" s="2"/>
      <c r="D958" s="4"/>
      <c r="E958" s="4"/>
      <c r="F958" s="4"/>
      <c r="G958" s="3"/>
      <c r="H958" s="4"/>
      <c r="I958" s="3"/>
      <c r="J958" s="4"/>
      <c r="K958" s="3"/>
      <c r="L958" s="4"/>
      <c r="M958" s="5"/>
      <c r="N958" s="6"/>
      <c r="O958" s="3"/>
      <c r="P958" s="4"/>
      <c r="Q958" s="5"/>
      <c r="R958" s="6"/>
      <c r="S958" s="2"/>
      <c r="T958" s="2"/>
      <c r="U958" s="2"/>
      <c r="V958" s="2"/>
      <c r="W958" s="2"/>
    </row>
    <row r="959" spans="1:23" ht="12.75" customHeight="1">
      <c r="A959" s="2"/>
      <c r="B959" s="2"/>
      <c r="C959" s="2"/>
      <c r="D959" s="4"/>
      <c r="E959" s="4"/>
      <c r="F959" s="4"/>
      <c r="G959" s="3"/>
      <c r="H959" s="4"/>
      <c r="I959" s="3"/>
      <c r="J959" s="4"/>
      <c r="K959" s="3"/>
      <c r="L959" s="4"/>
      <c r="M959" s="5"/>
      <c r="N959" s="6"/>
      <c r="O959" s="3"/>
      <c r="P959" s="4"/>
      <c r="Q959" s="5"/>
      <c r="R959" s="6"/>
      <c r="S959" s="2"/>
      <c r="T959" s="2"/>
      <c r="U959" s="2"/>
      <c r="V959" s="2"/>
      <c r="W959" s="2"/>
    </row>
    <row r="960" spans="1:23" ht="12.75" customHeight="1">
      <c r="A960" s="2"/>
      <c r="B960" s="2"/>
      <c r="C960" s="2"/>
      <c r="D960" s="4"/>
      <c r="E960" s="4"/>
      <c r="F960" s="4"/>
      <c r="G960" s="3"/>
      <c r="H960" s="4"/>
      <c r="I960" s="3"/>
      <c r="J960" s="4"/>
      <c r="K960" s="3"/>
      <c r="L960" s="4"/>
      <c r="M960" s="5"/>
      <c r="N960" s="6"/>
      <c r="O960" s="3"/>
      <c r="P960" s="4"/>
      <c r="Q960" s="5"/>
      <c r="R960" s="6"/>
      <c r="S960" s="2"/>
      <c r="T960" s="2"/>
      <c r="U960" s="2"/>
      <c r="V960" s="2"/>
      <c r="W960" s="2"/>
    </row>
    <row r="961" spans="1:23" ht="12.75" customHeight="1">
      <c r="A961" s="2"/>
      <c r="B961" s="2"/>
      <c r="C961" s="2"/>
      <c r="D961" s="4"/>
      <c r="E961" s="4"/>
      <c r="F961" s="4"/>
      <c r="G961" s="3"/>
      <c r="H961" s="4"/>
      <c r="I961" s="3"/>
      <c r="J961" s="4"/>
      <c r="K961" s="3"/>
      <c r="L961" s="4"/>
      <c r="M961" s="5"/>
      <c r="N961" s="6"/>
      <c r="O961" s="3"/>
      <c r="P961" s="4"/>
      <c r="Q961" s="5"/>
      <c r="R961" s="6"/>
      <c r="S961" s="2"/>
      <c r="T961" s="2"/>
      <c r="U961" s="2"/>
      <c r="V961" s="2"/>
      <c r="W961" s="2"/>
    </row>
    <row r="962" spans="1:23" ht="12.75" customHeight="1">
      <c r="A962" s="2"/>
      <c r="B962" s="2"/>
      <c r="C962" s="2"/>
      <c r="D962" s="4"/>
      <c r="E962" s="4"/>
      <c r="F962" s="4"/>
      <c r="G962" s="3"/>
      <c r="H962" s="4"/>
      <c r="I962" s="3"/>
      <c r="J962" s="4"/>
      <c r="K962" s="3"/>
      <c r="L962" s="4"/>
      <c r="M962" s="5"/>
      <c r="N962" s="6"/>
      <c r="O962" s="3"/>
      <c r="P962" s="4"/>
      <c r="Q962" s="5"/>
      <c r="R962" s="6"/>
      <c r="S962" s="2"/>
      <c r="T962" s="2"/>
      <c r="U962" s="2"/>
      <c r="V962" s="2"/>
      <c r="W962" s="2"/>
    </row>
    <row r="963" spans="1:23" ht="12.75" customHeight="1">
      <c r="A963" s="2"/>
      <c r="B963" s="2"/>
      <c r="C963" s="2"/>
      <c r="D963" s="4"/>
      <c r="E963" s="4"/>
      <c r="F963" s="4"/>
      <c r="G963" s="3"/>
      <c r="H963" s="4"/>
      <c r="I963" s="3"/>
      <c r="J963" s="4"/>
      <c r="K963" s="3"/>
      <c r="L963" s="4"/>
      <c r="M963" s="5"/>
      <c r="N963" s="6"/>
      <c r="O963" s="3"/>
      <c r="P963" s="4"/>
      <c r="Q963" s="5"/>
      <c r="R963" s="6"/>
      <c r="S963" s="2"/>
      <c r="T963" s="2"/>
      <c r="U963" s="2"/>
      <c r="V963" s="2"/>
      <c r="W963" s="2"/>
    </row>
    <row r="964" spans="1:23" ht="12.75" customHeight="1">
      <c r="A964" s="2"/>
      <c r="B964" s="2"/>
      <c r="C964" s="2"/>
      <c r="D964" s="4"/>
      <c r="E964" s="4"/>
      <c r="F964" s="4"/>
      <c r="G964" s="3"/>
      <c r="H964" s="4"/>
      <c r="I964" s="3"/>
      <c r="J964" s="4"/>
      <c r="K964" s="3"/>
      <c r="L964" s="4"/>
      <c r="M964" s="5"/>
      <c r="N964" s="6"/>
      <c r="O964" s="3"/>
      <c r="P964" s="4"/>
      <c r="Q964" s="5"/>
      <c r="R964" s="6"/>
      <c r="S964" s="2"/>
      <c r="T964" s="2"/>
      <c r="U964" s="2"/>
      <c r="V964" s="2"/>
      <c r="W964" s="2"/>
    </row>
    <row r="965" spans="1:23" ht="12.75" customHeight="1">
      <c r="A965" s="2"/>
      <c r="B965" s="2"/>
      <c r="C965" s="2"/>
      <c r="D965" s="4"/>
      <c r="E965" s="4"/>
      <c r="F965" s="4"/>
      <c r="G965" s="3"/>
      <c r="H965" s="4"/>
      <c r="I965" s="3"/>
      <c r="J965" s="4"/>
      <c r="K965" s="3"/>
      <c r="L965" s="4"/>
      <c r="M965" s="5"/>
      <c r="N965" s="6"/>
      <c r="O965" s="3"/>
      <c r="P965" s="4"/>
      <c r="Q965" s="5"/>
      <c r="R965" s="6"/>
      <c r="S965" s="2"/>
      <c r="T965" s="2"/>
      <c r="U965" s="2"/>
      <c r="V965" s="2"/>
      <c r="W965" s="2"/>
    </row>
    <row r="966" spans="1:23" ht="12.75" customHeight="1">
      <c r="A966" s="2"/>
      <c r="B966" s="2"/>
      <c r="C966" s="2"/>
      <c r="D966" s="4"/>
      <c r="E966" s="4"/>
      <c r="F966" s="4"/>
      <c r="G966" s="3"/>
      <c r="H966" s="4"/>
      <c r="I966" s="3"/>
      <c r="J966" s="4"/>
      <c r="K966" s="3"/>
      <c r="L966" s="4"/>
      <c r="M966" s="5"/>
      <c r="N966" s="6"/>
      <c r="O966" s="3"/>
      <c r="P966" s="4"/>
      <c r="Q966" s="5"/>
      <c r="R966" s="6"/>
      <c r="S966" s="2"/>
      <c r="T966" s="2"/>
      <c r="U966" s="2"/>
      <c r="V966" s="2"/>
      <c r="W966" s="2"/>
    </row>
    <row r="967" spans="1:23" ht="12.75" customHeight="1">
      <c r="A967" s="2"/>
      <c r="B967" s="2"/>
      <c r="C967" s="2"/>
      <c r="D967" s="4"/>
      <c r="E967" s="4"/>
      <c r="F967" s="4"/>
      <c r="G967" s="3"/>
      <c r="H967" s="4"/>
      <c r="I967" s="3"/>
      <c r="J967" s="4"/>
      <c r="K967" s="3"/>
      <c r="L967" s="4"/>
      <c r="M967" s="5"/>
      <c r="N967" s="6"/>
      <c r="O967" s="3"/>
      <c r="P967" s="4"/>
      <c r="Q967" s="5"/>
      <c r="R967" s="6"/>
      <c r="S967" s="2"/>
      <c r="T967" s="2"/>
      <c r="U967" s="2"/>
      <c r="V967" s="2"/>
      <c r="W967" s="2"/>
    </row>
    <row r="968" spans="1:23" ht="12.75" customHeight="1">
      <c r="A968" s="2"/>
      <c r="B968" s="2"/>
      <c r="C968" s="2"/>
      <c r="D968" s="4"/>
      <c r="E968" s="4"/>
      <c r="F968" s="4"/>
      <c r="G968" s="3"/>
      <c r="H968" s="4"/>
      <c r="I968" s="3"/>
      <c r="J968" s="4"/>
      <c r="K968" s="3"/>
      <c r="L968" s="4"/>
      <c r="M968" s="5"/>
      <c r="N968" s="6"/>
      <c r="O968" s="3"/>
      <c r="P968" s="4"/>
      <c r="Q968" s="5"/>
      <c r="R968" s="6"/>
      <c r="S968" s="2"/>
      <c r="T968" s="2"/>
      <c r="U968" s="2"/>
      <c r="V968" s="2"/>
      <c r="W968" s="2"/>
    </row>
    <row r="969" spans="1:23" ht="12.75" customHeight="1">
      <c r="A969" s="2"/>
      <c r="B969" s="2"/>
      <c r="C969" s="2"/>
      <c r="D969" s="4"/>
      <c r="E969" s="4"/>
      <c r="F969" s="4"/>
      <c r="G969" s="3"/>
      <c r="H969" s="4"/>
      <c r="I969" s="3"/>
      <c r="J969" s="4"/>
      <c r="K969" s="3"/>
      <c r="L969" s="4"/>
      <c r="M969" s="5"/>
      <c r="N969" s="6"/>
      <c r="O969" s="3"/>
      <c r="P969" s="4"/>
      <c r="Q969" s="5"/>
      <c r="R969" s="6"/>
      <c r="S969" s="2"/>
      <c r="T969" s="2"/>
      <c r="U969" s="2"/>
      <c r="V969" s="2"/>
      <c r="W969" s="2"/>
    </row>
    <row r="970" spans="1:23" ht="12.75" customHeight="1">
      <c r="A970" s="2"/>
      <c r="B970" s="2"/>
      <c r="C970" s="2"/>
      <c r="D970" s="4"/>
      <c r="E970" s="4"/>
      <c r="F970" s="4"/>
      <c r="G970" s="3"/>
      <c r="H970" s="4"/>
      <c r="I970" s="3"/>
      <c r="J970" s="4"/>
      <c r="K970" s="3"/>
      <c r="L970" s="4"/>
      <c r="M970" s="5"/>
      <c r="N970" s="6"/>
      <c r="O970" s="3"/>
      <c r="P970" s="4"/>
      <c r="Q970" s="5"/>
      <c r="R970" s="6"/>
      <c r="S970" s="2"/>
      <c r="T970" s="2"/>
      <c r="U970" s="2"/>
      <c r="V970" s="2"/>
      <c r="W970" s="2"/>
    </row>
    <row r="971" spans="1:23" ht="12.75" customHeight="1">
      <c r="A971" s="2"/>
      <c r="B971" s="2"/>
      <c r="C971" s="2"/>
      <c r="D971" s="4"/>
      <c r="E971" s="4"/>
      <c r="F971" s="4"/>
      <c r="G971" s="3"/>
      <c r="H971" s="4"/>
      <c r="I971" s="3"/>
      <c r="J971" s="4"/>
      <c r="K971" s="3"/>
      <c r="L971" s="4"/>
      <c r="M971" s="5"/>
      <c r="N971" s="6"/>
      <c r="O971" s="3"/>
      <c r="P971" s="4"/>
      <c r="Q971" s="5"/>
      <c r="R971" s="6"/>
      <c r="S971" s="2"/>
      <c r="T971" s="2"/>
      <c r="U971" s="2"/>
      <c r="V971" s="2"/>
      <c r="W971" s="2"/>
    </row>
    <row r="972" spans="1:23" ht="12.75" customHeight="1">
      <c r="A972" s="2"/>
      <c r="B972" s="2"/>
      <c r="C972" s="2"/>
      <c r="D972" s="4"/>
      <c r="E972" s="4"/>
      <c r="F972" s="4"/>
      <c r="G972" s="3"/>
      <c r="H972" s="4"/>
      <c r="I972" s="3"/>
      <c r="J972" s="4"/>
      <c r="K972" s="3"/>
      <c r="L972" s="4"/>
      <c r="M972" s="5"/>
      <c r="N972" s="6"/>
      <c r="O972" s="3"/>
      <c r="P972" s="4"/>
      <c r="Q972" s="5"/>
      <c r="R972" s="6"/>
      <c r="S972" s="2"/>
      <c r="T972" s="2"/>
      <c r="U972" s="2"/>
      <c r="V972" s="2"/>
      <c r="W972" s="2"/>
    </row>
    <row r="973" spans="1:23" ht="12.75" customHeight="1">
      <c r="A973" s="2"/>
      <c r="B973" s="2"/>
      <c r="C973" s="2"/>
      <c r="D973" s="4"/>
      <c r="E973" s="4"/>
      <c r="F973" s="4"/>
      <c r="G973" s="3"/>
      <c r="H973" s="4"/>
      <c r="I973" s="3"/>
      <c r="J973" s="4"/>
      <c r="K973" s="3"/>
      <c r="L973" s="4"/>
      <c r="M973" s="5"/>
      <c r="N973" s="6"/>
      <c r="O973" s="3"/>
      <c r="P973" s="4"/>
      <c r="Q973" s="5"/>
      <c r="R973" s="6"/>
      <c r="S973" s="2"/>
      <c r="T973" s="2"/>
      <c r="U973" s="2"/>
      <c r="V973" s="2"/>
      <c r="W973" s="2"/>
    </row>
    <row r="974" spans="1:23" ht="12.75" customHeight="1">
      <c r="A974" s="2"/>
      <c r="B974" s="2"/>
      <c r="C974" s="2"/>
      <c r="D974" s="4"/>
      <c r="E974" s="4"/>
      <c r="F974" s="4"/>
      <c r="G974" s="3"/>
      <c r="H974" s="4"/>
      <c r="I974" s="3"/>
      <c r="J974" s="4"/>
      <c r="K974" s="3"/>
      <c r="L974" s="4"/>
      <c r="M974" s="5"/>
      <c r="N974" s="6"/>
      <c r="O974" s="3"/>
      <c r="P974" s="4"/>
      <c r="Q974" s="5"/>
      <c r="R974" s="6"/>
      <c r="S974" s="2"/>
      <c r="T974" s="2"/>
      <c r="U974" s="2"/>
      <c r="V974" s="2"/>
      <c r="W974" s="2"/>
    </row>
    <row r="975" spans="1:23" ht="12.75" customHeight="1">
      <c r="A975" s="2"/>
      <c r="B975" s="2"/>
      <c r="C975" s="2"/>
      <c r="D975" s="4"/>
      <c r="E975" s="4"/>
      <c r="F975" s="4"/>
      <c r="G975" s="3"/>
      <c r="H975" s="4"/>
      <c r="I975" s="3"/>
      <c r="J975" s="4"/>
      <c r="K975" s="3"/>
      <c r="L975" s="4"/>
      <c r="M975" s="5"/>
      <c r="N975" s="6"/>
      <c r="O975" s="3"/>
      <c r="P975" s="4"/>
      <c r="Q975" s="5"/>
      <c r="R975" s="6"/>
      <c r="S975" s="2"/>
      <c r="T975" s="2"/>
      <c r="U975" s="2"/>
      <c r="V975" s="2"/>
      <c r="W975" s="2"/>
    </row>
    <row r="976" spans="1:23" ht="12.75" customHeight="1">
      <c r="A976" s="2"/>
      <c r="B976" s="2"/>
      <c r="C976" s="2"/>
      <c r="D976" s="4"/>
      <c r="E976" s="4"/>
      <c r="F976" s="4"/>
      <c r="G976" s="3"/>
      <c r="H976" s="4"/>
      <c r="I976" s="3"/>
      <c r="J976" s="4"/>
      <c r="K976" s="3"/>
      <c r="L976" s="4"/>
      <c r="M976" s="5"/>
      <c r="N976" s="6"/>
      <c r="O976" s="3"/>
      <c r="P976" s="4"/>
      <c r="Q976" s="5"/>
      <c r="R976" s="6"/>
      <c r="S976" s="2"/>
      <c r="T976" s="2"/>
      <c r="U976" s="2"/>
      <c r="V976" s="2"/>
      <c r="W976" s="2"/>
    </row>
    <row r="977" spans="1:23" ht="12.75" customHeight="1">
      <c r="A977" s="2"/>
      <c r="B977" s="2"/>
      <c r="C977" s="2"/>
      <c r="D977" s="4"/>
      <c r="E977" s="4"/>
      <c r="F977" s="4"/>
      <c r="G977" s="3"/>
      <c r="H977" s="4"/>
      <c r="I977" s="3"/>
      <c r="J977" s="4"/>
      <c r="K977" s="3"/>
      <c r="L977" s="4"/>
      <c r="M977" s="5"/>
      <c r="N977" s="6"/>
      <c r="O977" s="3"/>
      <c r="P977" s="4"/>
      <c r="Q977" s="5"/>
      <c r="R977" s="6"/>
      <c r="S977" s="2"/>
      <c r="T977" s="2"/>
      <c r="U977" s="2"/>
      <c r="V977" s="2"/>
      <c r="W977" s="2"/>
    </row>
    <row r="978" spans="1:23" ht="12.75" customHeight="1">
      <c r="A978" s="2"/>
      <c r="B978" s="2"/>
      <c r="C978" s="2"/>
      <c r="D978" s="4"/>
      <c r="E978" s="4"/>
      <c r="F978" s="4"/>
      <c r="G978" s="3"/>
      <c r="H978" s="4"/>
      <c r="I978" s="3"/>
      <c r="J978" s="4"/>
      <c r="K978" s="3"/>
      <c r="L978" s="4"/>
      <c r="M978" s="5"/>
      <c r="N978" s="6"/>
      <c r="O978" s="3"/>
      <c r="P978" s="4"/>
      <c r="Q978" s="5"/>
      <c r="R978" s="6"/>
      <c r="S978" s="2"/>
      <c r="T978" s="2"/>
      <c r="U978" s="2"/>
      <c r="V978" s="2"/>
      <c r="W978" s="2"/>
    </row>
    <row r="979" spans="1:23" ht="12.75" customHeight="1">
      <c r="A979" s="2"/>
      <c r="B979" s="2"/>
      <c r="C979" s="2"/>
      <c r="D979" s="4"/>
      <c r="E979" s="4"/>
      <c r="F979" s="4"/>
      <c r="G979" s="3"/>
      <c r="H979" s="4"/>
      <c r="I979" s="3"/>
      <c r="J979" s="4"/>
      <c r="K979" s="3"/>
      <c r="L979" s="4"/>
      <c r="M979" s="5"/>
      <c r="N979" s="6"/>
      <c r="O979" s="3"/>
      <c r="P979" s="4"/>
      <c r="Q979" s="5"/>
      <c r="R979" s="6"/>
      <c r="S979" s="2"/>
      <c r="T979" s="2"/>
      <c r="U979" s="2"/>
      <c r="V979" s="2"/>
      <c r="W979" s="2"/>
    </row>
    <row r="980" spans="1:23" ht="12.75" customHeight="1">
      <c r="A980" s="2"/>
      <c r="B980" s="2"/>
      <c r="C980" s="2"/>
      <c r="D980" s="4"/>
      <c r="E980" s="4"/>
      <c r="F980" s="4"/>
      <c r="G980" s="3"/>
      <c r="H980" s="4"/>
      <c r="I980" s="3"/>
      <c r="J980" s="4"/>
      <c r="K980" s="3"/>
      <c r="L980" s="4"/>
      <c r="M980" s="5"/>
      <c r="N980" s="6"/>
      <c r="O980" s="3"/>
      <c r="P980" s="4"/>
      <c r="Q980" s="5"/>
      <c r="R980" s="6"/>
      <c r="S980" s="2"/>
      <c r="T980" s="2"/>
      <c r="U980" s="2"/>
      <c r="V980" s="2"/>
      <c r="W980" s="2"/>
    </row>
    <row r="981" spans="1:23" ht="12.75" customHeight="1">
      <c r="A981" s="2"/>
      <c r="B981" s="2"/>
      <c r="C981" s="2"/>
      <c r="D981" s="4"/>
      <c r="E981" s="4"/>
      <c r="F981" s="4"/>
      <c r="G981" s="3"/>
      <c r="H981" s="4"/>
      <c r="I981" s="3"/>
      <c r="J981" s="4"/>
      <c r="K981" s="3"/>
      <c r="L981" s="4"/>
      <c r="M981" s="5"/>
      <c r="N981" s="6"/>
      <c r="O981" s="3"/>
      <c r="P981" s="4"/>
      <c r="Q981" s="5"/>
      <c r="R981" s="6"/>
      <c r="S981" s="2"/>
      <c r="T981" s="2"/>
      <c r="U981" s="2"/>
      <c r="V981" s="2"/>
      <c r="W981" s="2"/>
    </row>
    <row r="982" spans="1:23" ht="12.75" customHeight="1">
      <c r="A982" s="2"/>
      <c r="B982" s="2"/>
      <c r="C982" s="2"/>
      <c r="D982" s="4"/>
      <c r="E982" s="4"/>
      <c r="F982" s="4"/>
      <c r="G982" s="3"/>
      <c r="H982" s="4"/>
      <c r="I982" s="3"/>
      <c r="J982" s="4"/>
      <c r="K982" s="3"/>
      <c r="L982" s="4"/>
      <c r="M982" s="5"/>
      <c r="N982" s="6"/>
      <c r="O982" s="3"/>
      <c r="P982" s="4"/>
      <c r="Q982" s="5"/>
      <c r="R982" s="6"/>
      <c r="S982" s="2"/>
      <c r="T982" s="2"/>
      <c r="U982" s="2"/>
      <c r="V982" s="2"/>
      <c r="W982" s="2"/>
    </row>
    <row r="983" spans="1:23" ht="12.75" customHeight="1">
      <c r="A983" s="2"/>
      <c r="B983" s="2"/>
      <c r="C983" s="2"/>
      <c r="D983" s="4"/>
      <c r="E983" s="4"/>
      <c r="F983" s="4"/>
      <c r="G983" s="3"/>
      <c r="H983" s="4"/>
      <c r="I983" s="3"/>
      <c r="J983" s="4"/>
      <c r="K983" s="3"/>
      <c r="L983" s="4"/>
      <c r="M983" s="5"/>
      <c r="N983" s="6"/>
      <c r="O983" s="3"/>
      <c r="P983" s="4"/>
      <c r="Q983" s="5"/>
      <c r="R983" s="6"/>
      <c r="S983" s="2"/>
      <c r="T983" s="2"/>
      <c r="U983" s="2"/>
      <c r="V983" s="2"/>
      <c r="W983" s="2"/>
    </row>
    <row r="984" spans="1:23" ht="12.75" customHeight="1">
      <c r="A984" s="2"/>
      <c r="B984" s="2"/>
      <c r="C984" s="2"/>
      <c r="D984" s="4"/>
      <c r="E984" s="4"/>
      <c r="F984" s="4"/>
      <c r="G984" s="3"/>
      <c r="H984" s="4"/>
      <c r="I984" s="3"/>
      <c r="J984" s="4"/>
      <c r="K984" s="3"/>
      <c r="L984" s="4"/>
      <c r="M984" s="5"/>
      <c r="N984" s="6"/>
      <c r="O984" s="3"/>
      <c r="P984" s="4"/>
      <c r="Q984" s="5"/>
      <c r="R984" s="6"/>
      <c r="S984" s="2"/>
      <c r="T984" s="2"/>
      <c r="U984" s="2"/>
      <c r="V984" s="2"/>
      <c r="W984" s="2"/>
    </row>
    <row r="985" spans="1:23" ht="12.75" customHeight="1">
      <c r="A985" s="2"/>
      <c r="B985" s="2"/>
      <c r="C985" s="2"/>
      <c r="D985" s="4"/>
      <c r="E985" s="4"/>
      <c r="F985" s="4"/>
      <c r="G985" s="3"/>
      <c r="H985" s="4"/>
      <c r="I985" s="3"/>
      <c r="J985" s="4"/>
      <c r="K985" s="3"/>
      <c r="L985" s="4"/>
      <c r="M985" s="5"/>
      <c r="N985" s="6"/>
      <c r="O985" s="3"/>
      <c r="P985" s="4"/>
      <c r="Q985" s="5"/>
      <c r="R985" s="6"/>
      <c r="S985" s="2"/>
      <c r="T985" s="2"/>
      <c r="U985" s="2"/>
      <c r="V985" s="2"/>
      <c r="W985" s="2"/>
    </row>
    <row r="986" spans="1:23" ht="12.75" customHeight="1">
      <c r="A986" s="2"/>
      <c r="B986" s="2"/>
      <c r="C986" s="2"/>
      <c r="D986" s="4"/>
      <c r="E986" s="4"/>
      <c r="F986" s="4"/>
      <c r="G986" s="3"/>
      <c r="H986" s="4"/>
      <c r="I986" s="3"/>
      <c r="J986" s="4"/>
      <c r="K986" s="3"/>
      <c r="L986" s="4"/>
      <c r="M986" s="5"/>
      <c r="N986" s="6"/>
      <c r="O986" s="3"/>
      <c r="P986" s="4"/>
      <c r="Q986" s="5"/>
      <c r="R986" s="6"/>
      <c r="S986" s="2"/>
      <c r="T986" s="2"/>
      <c r="U986" s="2"/>
      <c r="V986" s="2"/>
      <c r="W986" s="2"/>
    </row>
    <row r="987" spans="1:23" ht="12.75" customHeight="1">
      <c r="A987" s="2"/>
      <c r="B987" s="2"/>
      <c r="C987" s="2"/>
      <c r="D987" s="4"/>
      <c r="E987" s="4"/>
      <c r="F987" s="4"/>
      <c r="G987" s="3"/>
      <c r="H987" s="4"/>
      <c r="I987" s="3"/>
      <c r="J987" s="4"/>
      <c r="K987" s="3"/>
      <c r="L987" s="4"/>
      <c r="M987" s="5"/>
      <c r="N987" s="6"/>
      <c r="O987" s="3"/>
      <c r="P987" s="4"/>
      <c r="Q987" s="5"/>
      <c r="R987" s="6"/>
      <c r="S987" s="2"/>
      <c r="T987" s="2"/>
      <c r="U987" s="2"/>
      <c r="V987" s="2"/>
      <c r="W987" s="2"/>
    </row>
    <row r="988" spans="1:23" ht="12.75" customHeight="1">
      <c r="A988" s="2"/>
      <c r="B988" s="2"/>
      <c r="C988" s="2"/>
      <c r="D988" s="4"/>
      <c r="E988" s="4"/>
      <c r="F988" s="4"/>
      <c r="G988" s="3"/>
      <c r="H988" s="4"/>
      <c r="I988" s="3"/>
      <c r="J988" s="4"/>
      <c r="K988" s="3"/>
      <c r="L988" s="4"/>
      <c r="M988" s="5"/>
      <c r="N988" s="6"/>
      <c r="O988" s="3"/>
      <c r="P988" s="4"/>
      <c r="Q988" s="5"/>
      <c r="R988" s="6"/>
      <c r="S988" s="2"/>
      <c r="T988" s="2"/>
      <c r="U988" s="2"/>
      <c r="V988" s="2"/>
      <c r="W988" s="2"/>
    </row>
    <row r="989" spans="1:23" ht="12.75" customHeight="1">
      <c r="A989" s="2"/>
      <c r="B989" s="2"/>
      <c r="C989" s="2"/>
      <c r="D989" s="4"/>
      <c r="E989" s="4"/>
      <c r="F989" s="4"/>
      <c r="G989" s="3"/>
      <c r="H989" s="4"/>
      <c r="I989" s="3"/>
      <c r="J989" s="4"/>
      <c r="K989" s="3"/>
      <c r="L989" s="4"/>
      <c r="M989" s="5"/>
      <c r="N989" s="6"/>
      <c r="O989" s="3"/>
      <c r="P989" s="4"/>
      <c r="Q989" s="5"/>
      <c r="R989" s="6"/>
      <c r="S989" s="2"/>
      <c r="T989" s="2"/>
      <c r="U989" s="2"/>
      <c r="V989" s="2"/>
      <c r="W989" s="2"/>
    </row>
    <row r="990" spans="1:23" ht="12.75" customHeight="1">
      <c r="A990" s="2"/>
      <c r="B990" s="2"/>
      <c r="C990" s="2"/>
      <c r="D990" s="4"/>
      <c r="E990" s="4"/>
      <c r="F990" s="4"/>
      <c r="G990" s="3"/>
      <c r="H990" s="4"/>
      <c r="I990" s="3"/>
      <c r="J990" s="4"/>
      <c r="K990" s="3"/>
      <c r="L990" s="4"/>
      <c r="M990" s="5"/>
      <c r="N990" s="6"/>
      <c r="O990" s="3"/>
      <c r="P990" s="4"/>
      <c r="Q990" s="5"/>
      <c r="R990" s="6"/>
      <c r="S990" s="2"/>
      <c r="T990" s="2"/>
      <c r="U990" s="2"/>
      <c r="V990" s="2"/>
      <c r="W990" s="2"/>
    </row>
    <row r="991" spans="1:23" ht="12.75" customHeight="1">
      <c r="A991" s="2"/>
      <c r="B991" s="2"/>
      <c r="C991" s="2"/>
      <c r="D991" s="4"/>
      <c r="E991" s="4"/>
      <c r="F991" s="4"/>
      <c r="G991" s="3"/>
      <c r="H991" s="4"/>
      <c r="I991" s="3"/>
      <c r="J991" s="4"/>
      <c r="K991" s="3"/>
      <c r="L991" s="4"/>
      <c r="M991" s="5"/>
      <c r="N991" s="6"/>
      <c r="O991" s="3"/>
      <c r="P991" s="4"/>
      <c r="Q991" s="5"/>
      <c r="R991" s="6"/>
      <c r="S991" s="2"/>
      <c r="T991" s="2"/>
      <c r="U991" s="2"/>
      <c r="V991" s="2"/>
      <c r="W991" s="2"/>
    </row>
    <row r="992" spans="1:23" ht="12.75" customHeight="1">
      <c r="A992" s="2"/>
      <c r="B992" s="2"/>
      <c r="C992" s="2"/>
      <c r="D992" s="4"/>
      <c r="E992" s="4"/>
      <c r="F992" s="4"/>
      <c r="G992" s="3"/>
      <c r="H992" s="4"/>
      <c r="I992" s="3"/>
      <c r="J992" s="4"/>
      <c r="K992" s="3"/>
      <c r="L992" s="4"/>
      <c r="M992" s="5"/>
      <c r="N992" s="6"/>
      <c r="O992" s="3"/>
      <c r="P992" s="4"/>
      <c r="Q992" s="5"/>
      <c r="R992" s="6"/>
      <c r="S992" s="2"/>
      <c r="T992" s="2"/>
      <c r="U992" s="2"/>
      <c r="V992" s="2"/>
      <c r="W992" s="2"/>
    </row>
    <row r="993" spans="1:23" ht="12.75" customHeight="1">
      <c r="A993" s="2"/>
      <c r="B993" s="2"/>
      <c r="C993" s="2"/>
      <c r="D993" s="4"/>
      <c r="E993" s="4"/>
      <c r="F993" s="4"/>
      <c r="G993" s="3"/>
      <c r="H993" s="4"/>
      <c r="I993" s="3"/>
      <c r="J993" s="4"/>
      <c r="K993" s="3"/>
      <c r="L993" s="4"/>
      <c r="M993" s="5"/>
      <c r="N993" s="6"/>
      <c r="O993" s="3"/>
      <c r="P993" s="4"/>
      <c r="Q993" s="5"/>
      <c r="R993" s="6"/>
      <c r="S993" s="2"/>
      <c r="T993" s="2"/>
      <c r="U993" s="2"/>
      <c r="V993" s="2"/>
      <c r="W993" s="2"/>
    </row>
    <row r="994" spans="1:23" ht="12.75" customHeight="1">
      <c r="A994" s="2"/>
      <c r="B994" s="2"/>
      <c r="C994" s="2"/>
      <c r="D994" s="4"/>
      <c r="E994" s="4"/>
      <c r="F994" s="4"/>
      <c r="G994" s="3"/>
      <c r="H994" s="4"/>
      <c r="I994" s="3"/>
      <c r="J994" s="4"/>
      <c r="K994" s="3"/>
      <c r="L994" s="4"/>
      <c r="M994" s="5"/>
      <c r="N994" s="6"/>
      <c r="O994" s="3"/>
      <c r="P994" s="4"/>
      <c r="Q994" s="5"/>
      <c r="R994" s="6"/>
      <c r="S994" s="2"/>
      <c r="T994" s="2"/>
      <c r="U994" s="2"/>
      <c r="V994" s="2"/>
      <c r="W994" s="2"/>
    </row>
    <row r="995" spans="1:23" ht="12.75" customHeight="1">
      <c r="A995" s="2"/>
      <c r="B995" s="2"/>
      <c r="C995" s="2"/>
      <c r="D995" s="4"/>
      <c r="E995" s="4"/>
      <c r="F995" s="4"/>
      <c r="G995" s="3"/>
      <c r="H995" s="4"/>
      <c r="I995" s="3"/>
      <c r="J995" s="4"/>
      <c r="K995" s="3"/>
      <c r="L995" s="4"/>
      <c r="M995" s="5"/>
      <c r="N995" s="6"/>
      <c r="O995" s="3"/>
      <c r="P995" s="4"/>
      <c r="Q995" s="5"/>
      <c r="R995" s="6"/>
      <c r="S995" s="2"/>
      <c r="T995" s="2"/>
      <c r="U995" s="2"/>
      <c r="V995" s="2"/>
      <c r="W995" s="2"/>
    </row>
    <row r="996" spans="1:23" ht="12.75" customHeight="1">
      <c r="A996" s="2"/>
      <c r="B996" s="2"/>
      <c r="C996" s="2"/>
      <c r="D996" s="4"/>
      <c r="E996" s="4"/>
      <c r="F996" s="4"/>
      <c r="G996" s="3"/>
      <c r="H996" s="4"/>
      <c r="I996" s="3"/>
      <c r="J996" s="4"/>
      <c r="K996" s="3"/>
      <c r="L996" s="4"/>
      <c r="M996" s="5"/>
      <c r="N996" s="6"/>
      <c r="O996" s="3"/>
      <c r="P996" s="4"/>
      <c r="Q996" s="5"/>
      <c r="R996" s="6"/>
      <c r="S996" s="2"/>
      <c r="T996" s="2"/>
      <c r="U996" s="2"/>
      <c r="V996" s="2"/>
      <c r="W996" s="2"/>
    </row>
    <row r="997" spans="1:23" ht="12.75" customHeight="1">
      <c r="A997" s="2"/>
      <c r="B997" s="2"/>
      <c r="C997" s="2"/>
      <c r="D997" s="4"/>
      <c r="E997" s="4"/>
      <c r="F997" s="4"/>
      <c r="G997" s="3"/>
      <c r="H997" s="4"/>
      <c r="I997" s="3"/>
      <c r="J997" s="4"/>
      <c r="K997" s="3"/>
      <c r="L997" s="4"/>
      <c r="M997" s="5"/>
      <c r="N997" s="6"/>
      <c r="O997" s="3"/>
      <c r="P997" s="4"/>
      <c r="Q997" s="5"/>
      <c r="R997" s="6"/>
      <c r="S997" s="2"/>
      <c r="T997" s="2"/>
      <c r="U997" s="2"/>
      <c r="V997" s="2"/>
      <c r="W997" s="2"/>
    </row>
    <row r="998" spans="1:23" ht="12.75" customHeight="1">
      <c r="A998" s="2"/>
      <c r="B998" s="2"/>
      <c r="C998" s="2"/>
      <c r="D998" s="4"/>
      <c r="E998" s="4"/>
      <c r="F998" s="4"/>
      <c r="G998" s="3"/>
      <c r="H998" s="4"/>
      <c r="I998" s="3"/>
      <c r="J998" s="4"/>
      <c r="K998" s="3"/>
      <c r="L998" s="4"/>
      <c r="M998" s="5"/>
      <c r="N998" s="6"/>
      <c r="O998" s="3"/>
      <c r="P998" s="4"/>
      <c r="Q998" s="5"/>
      <c r="R998" s="6"/>
      <c r="S998" s="2"/>
      <c r="T998" s="2"/>
      <c r="U998" s="2"/>
      <c r="V998" s="2"/>
      <c r="W998" s="2"/>
    </row>
    <row r="999" spans="1:23" ht="12.75" customHeight="1">
      <c r="A999" s="2"/>
      <c r="B999" s="2"/>
      <c r="C999" s="2"/>
      <c r="D999" s="4"/>
      <c r="E999" s="4"/>
      <c r="F999" s="4"/>
      <c r="G999" s="3"/>
      <c r="H999" s="4"/>
      <c r="I999" s="3"/>
      <c r="J999" s="4"/>
      <c r="K999" s="3"/>
      <c r="L999" s="4"/>
      <c r="M999" s="5"/>
      <c r="N999" s="6"/>
      <c r="O999" s="3"/>
      <c r="P999" s="4"/>
      <c r="Q999" s="5"/>
      <c r="R999" s="6"/>
      <c r="S999" s="2"/>
      <c r="T999" s="2"/>
      <c r="U999" s="2"/>
      <c r="V999" s="2"/>
      <c r="W999" s="2"/>
    </row>
    <row r="1000" spans="1:23" ht="12.75" customHeight="1">
      <c r="A1000" s="2"/>
      <c r="B1000" s="2"/>
      <c r="C1000" s="2"/>
      <c r="D1000" s="4"/>
      <c r="E1000" s="4"/>
      <c r="F1000" s="4"/>
      <c r="G1000" s="3"/>
      <c r="H1000" s="4"/>
      <c r="I1000" s="3"/>
      <c r="J1000" s="4"/>
      <c r="K1000" s="3"/>
      <c r="L1000" s="4"/>
      <c r="M1000" s="5"/>
      <c r="N1000" s="6"/>
      <c r="O1000" s="3"/>
      <c r="P1000" s="4"/>
      <c r="Q1000" s="5"/>
      <c r="R1000" s="6"/>
      <c r="S1000" s="2"/>
      <c r="T1000" s="2"/>
      <c r="U1000" s="2"/>
      <c r="V1000" s="2"/>
      <c r="W1000" s="2"/>
    </row>
    <row r="1001" spans="1:23" ht="12.75" customHeight="1">
      <c r="A1001" s="2"/>
      <c r="B1001" s="2"/>
      <c r="C1001" s="2"/>
      <c r="D1001" s="4"/>
      <c r="E1001" s="4"/>
      <c r="F1001" s="4"/>
      <c r="G1001" s="3"/>
      <c r="H1001" s="4"/>
      <c r="I1001" s="3"/>
      <c r="J1001" s="4"/>
      <c r="K1001" s="3"/>
      <c r="L1001" s="4"/>
      <c r="M1001" s="5"/>
      <c r="N1001" s="6"/>
      <c r="O1001" s="3"/>
      <c r="P1001" s="4"/>
      <c r="Q1001" s="5"/>
      <c r="R1001" s="6"/>
      <c r="S1001" s="2"/>
      <c r="T1001" s="2"/>
      <c r="U1001" s="2"/>
      <c r="V1001" s="2"/>
      <c r="W1001" s="2"/>
    </row>
    <row r="1002" spans="1:23" ht="12.75" customHeight="1">
      <c r="A1002" s="2"/>
      <c r="B1002" s="2"/>
      <c r="C1002" s="2"/>
      <c r="D1002" s="4"/>
      <c r="E1002" s="4"/>
      <c r="F1002" s="4"/>
      <c r="G1002" s="3"/>
      <c r="H1002" s="4"/>
      <c r="I1002" s="3"/>
      <c r="J1002" s="4"/>
      <c r="K1002" s="3"/>
      <c r="L1002" s="4"/>
      <c r="M1002" s="5"/>
      <c r="N1002" s="6"/>
      <c r="O1002" s="3"/>
      <c r="P1002" s="4"/>
      <c r="Q1002" s="5"/>
      <c r="R1002" s="6"/>
      <c r="S1002" s="2"/>
      <c r="T1002" s="2"/>
      <c r="U1002" s="2"/>
      <c r="V1002" s="2"/>
      <c r="W1002" s="2"/>
    </row>
    <row r="1003" spans="1:23" ht="12.75" customHeight="1">
      <c r="A1003" s="2"/>
      <c r="B1003" s="2"/>
      <c r="C1003" s="2"/>
      <c r="D1003" s="4"/>
      <c r="E1003" s="4"/>
      <c r="F1003" s="4"/>
      <c r="G1003" s="3"/>
      <c r="H1003" s="4"/>
      <c r="I1003" s="3"/>
      <c r="J1003" s="4"/>
      <c r="K1003" s="3"/>
      <c r="L1003" s="4"/>
      <c r="M1003" s="5"/>
      <c r="N1003" s="6"/>
      <c r="O1003" s="3"/>
      <c r="P1003" s="4"/>
      <c r="Q1003" s="5"/>
      <c r="R1003" s="6"/>
      <c r="S1003" s="2"/>
      <c r="T1003" s="2"/>
      <c r="U1003" s="2"/>
      <c r="V1003" s="2"/>
      <c r="W1003" s="2"/>
    </row>
    <row r="1004" spans="1:23" ht="12.75" customHeight="1">
      <c r="A1004" s="2"/>
      <c r="B1004" s="2"/>
      <c r="C1004" s="2"/>
      <c r="D1004" s="4"/>
      <c r="E1004" s="4"/>
      <c r="F1004" s="4"/>
      <c r="G1004" s="3"/>
      <c r="H1004" s="4"/>
      <c r="I1004" s="3"/>
      <c r="J1004" s="4"/>
      <c r="K1004" s="3"/>
      <c r="L1004" s="4"/>
      <c r="M1004" s="5"/>
      <c r="N1004" s="6"/>
      <c r="O1004" s="3"/>
      <c r="P1004" s="4"/>
      <c r="Q1004" s="5"/>
      <c r="R1004" s="6"/>
      <c r="S1004" s="2"/>
      <c r="T1004" s="2"/>
      <c r="U1004" s="2"/>
      <c r="V1004" s="2"/>
      <c r="W1004" s="2"/>
    </row>
    <row r="1005" spans="1:23" ht="12.75" customHeight="1">
      <c r="A1005" s="2"/>
      <c r="B1005" s="2"/>
      <c r="C1005" s="2"/>
      <c r="D1005" s="4"/>
      <c r="E1005" s="4"/>
      <c r="F1005" s="4"/>
      <c r="G1005" s="3"/>
      <c r="H1005" s="4"/>
      <c r="I1005" s="3"/>
      <c r="J1005" s="4"/>
      <c r="K1005" s="3"/>
      <c r="L1005" s="4"/>
      <c r="M1005" s="5"/>
      <c r="N1005" s="6"/>
      <c r="O1005" s="3"/>
      <c r="P1005" s="4"/>
      <c r="Q1005" s="5"/>
      <c r="R1005" s="6"/>
      <c r="S1005" s="2"/>
      <c r="T1005" s="2"/>
      <c r="U1005" s="2"/>
      <c r="V1005" s="2"/>
      <c r="W1005" s="2"/>
    </row>
    <row r="1006" spans="1:23" ht="12.75" customHeight="1">
      <c r="A1006" s="2"/>
      <c r="B1006" s="2"/>
      <c r="C1006" s="2"/>
      <c r="D1006" s="4"/>
      <c r="E1006" s="4"/>
      <c r="F1006" s="4"/>
      <c r="G1006" s="3"/>
      <c r="H1006" s="4"/>
      <c r="I1006" s="3"/>
      <c r="J1006" s="4"/>
      <c r="K1006" s="3"/>
      <c r="L1006" s="4"/>
      <c r="M1006" s="5"/>
      <c r="N1006" s="6"/>
      <c r="O1006" s="3"/>
      <c r="P1006" s="4"/>
      <c r="Q1006" s="5"/>
      <c r="R1006" s="6"/>
      <c r="S1006" s="2"/>
      <c r="T1006" s="2"/>
      <c r="U1006" s="2"/>
      <c r="V1006" s="2"/>
      <c r="W1006" s="2"/>
    </row>
    <row r="1007" spans="1:23" ht="12.75" customHeight="1">
      <c r="A1007" s="2"/>
      <c r="B1007" s="2"/>
      <c r="C1007" s="2"/>
      <c r="D1007" s="4"/>
      <c r="E1007" s="4"/>
      <c r="F1007" s="4"/>
      <c r="G1007" s="3"/>
      <c r="H1007" s="4"/>
      <c r="I1007" s="3"/>
      <c r="J1007" s="4"/>
      <c r="K1007" s="3"/>
      <c r="L1007" s="4"/>
      <c r="M1007" s="5"/>
      <c r="N1007" s="6"/>
      <c r="O1007" s="3"/>
      <c r="P1007" s="4"/>
      <c r="Q1007" s="5"/>
      <c r="R1007" s="6"/>
      <c r="S1007" s="2"/>
      <c r="T1007" s="2"/>
      <c r="U1007" s="2"/>
      <c r="V1007" s="2"/>
      <c r="W1007" s="2"/>
    </row>
    <row r="1008" spans="1:23" ht="12.75" customHeight="1">
      <c r="A1008" s="2"/>
      <c r="B1008" s="2"/>
      <c r="C1008" s="2"/>
      <c r="D1008" s="4"/>
      <c r="E1008" s="4"/>
      <c r="F1008" s="4"/>
      <c r="G1008" s="3"/>
      <c r="H1008" s="4"/>
      <c r="I1008" s="3"/>
      <c r="J1008" s="4"/>
      <c r="K1008" s="3"/>
      <c r="L1008" s="4"/>
      <c r="M1008" s="5"/>
      <c r="N1008" s="6"/>
      <c r="O1008" s="3"/>
      <c r="P1008" s="4"/>
      <c r="Q1008" s="5"/>
      <c r="R1008" s="6"/>
      <c r="S1008" s="2"/>
      <c r="T1008" s="2"/>
      <c r="U1008" s="2"/>
      <c r="V1008" s="2"/>
      <c r="W1008" s="2"/>
    </row>
    <row r="1009" spans="1:23" ht="12.75" customHeight="1">
      <c r="A1009" s="2"/>
      <c r="B1009" s="2"/>
      <c r="C1009" s="2"/>
      <c r="D1009" s="4"/>
      <c r="E1009" s="4"/>
      <c r="F1009" s="4"/>
      <c r="G1009" s="3"/>
      <c r="H1009" s="4"/>
      <c r="I1009" s="3"/>
      <c r="J1009" s="4"/>
      <c r="K1009" s="3"/>
      <c r="L1009" s="4"/>
      <c r="M1009" s="5"/>
      <c r="N1009" s="6"/>
      <c r="O1009" s="3"/>
      <c r="P1009" s="4"/>
      <c r="Q1009" s="5"/>
      <c r="R1009" s="6"/>
      <c r="S1009" s="2"/>
      <c r="T1009" s="2"/>
      <c r="U1009" s="2"/>
      <c r="V1009" s="2"/>
      <c r="W1009" s="2"/>
    </row>
    <row r="1010" spans="1:23" ht="15" customHeight="1">
      <c r="A1010" s="2"/>
      <c r="B1010" s="2"/>
      <c r="C1010" s="2"/>
      <c r="D1010" s="4"/>
      <c r="E1010" s="4"/>
      <c r="F1010" s="4"/>
      <c r="G1010" s="3"/>
      <c r="H1010" s="4"/>
      <c r="I1010" s="3"/>
      <c r="J1010" s="4"/>
      <c r="K1010" s="3"/>
      <c r="L1010" s="4"/>
      <c r="M1010" s="5"/>
      <c r="N1010" s="6"/>
      <c r="O1010" s="3"/>
      <c r="P1010" s="4"/>
      <c r="Q1010" s="5"/>
      <c r="R1010" s="6"/>
      <c r="S1010" s="2"/>
      <c r="T1010" s="2"/>
      <c r="U1010" s="2"/>
      <c r="V1010" s="2"/>
      <c r="W1010" s="2"/>
    </row>
    <row r="1011" spans="1:23" ht="15" customHeight="1">
      <c r="C1011" s="2"/>
      <c r="D1011" s="4"/>
      <c r="E1011" s="4"/>
      <c r="F1011" s="4"/>
      <c r="G1011" s="3"/>
      <c r="H1011" s="4"/>
      <c r="I1011" s="3"/>
      <c r="J1011" s="4"/>
      <c r="K1011" s="3"/>
      <c r="L1011" s="4"/>
      <c r="M1011" s="5"/>
      <c r="N1011" s="6"/>
      <c r="O1011" s="3"/>
      <c r="P1011" s="4"/>
      <c r="Q1011" s="5"/>
      <c r="R1011" s="6"/>
      <c r="S1011" s="2"/>
      <c r="T1011" s="2"/>
      <c r="U1011" s="2"/>
      <c r="V1011" s="2"/>
      <c r="W1011" s="2"/>
    </row>
    <row r="1012" spans="1:23" ht="15" customHeight="1">
      <c r="C1012" s="2"/>
      <c r="D1012" s="4"/>
      <c r="E1012" s="4"/>
      <c r="F1012" s="4"/>
      <c r="G1012" s="3"/>
      <c r="H1012" s="4"/>
      <c r="I1012" s="3"/>
      <c r="J1012" s="4"/>
      <c r="K1012" s="3"/>
      <c r="L1012" s="4"/>
      <c r="M1012" s="5"/>
      <c r="N1012" s="6"/>
      <c r="O1012" s="3"/>
      <c r="P1012" s="4"/>
      <c r="Q1012" s="5"/>
      <c r="R1012" s="6"/>
      <c r="S1012" s="2"/>
      <c r="T1012" s="2"/>
      <c r="U1012" s="2"/>
      <c r="V1012" s="2"/>
      <c r="W1012" s="2"/>
    </row>
    <row r="1013" spans="1:23" ht="15" customHeight="1">
      <c r="C1013" s="2"/>
      <c r="D1013" s="4"/>
      <c r="E1013" s="4"/>
      <c r="F1013" s="4"/>
      <c r="G1013" s="3"/>
      <c r="H1013" s="4"/>
      <c r="I1013" s="3"/>
      <c r="J1013" s="4"/>
      <c r="K1013" s="3"/>
      <c r="L1013" s="4"/>
      <c r="M1013" s="5"/>
      <c r="N1013" s="6"/>
      <c r="O1013" s="3"/>
      <c r="P1013" s="4"/>
      <c r="Q1013" s="5"/>
      <c r="R1013" s="6"/>
      <c r="S1013" s="2"/>
      <c r="T1013" s="2"/>
      <c r="U1013" s="2"/>
      <c r="V1013" s="2"/>
      <c r="W1013" s="2"/>
    </row>
  </sheetData>
  <mergeCells count="41">
    <mergeCell ref="A7:A10"/>
    <mergeCell ref="C7:C10"/>
    <mergeCell ref="D7:D10"/>
    <mergeCell ref="E7:E10"/>
    <mergeCell ref="G7:R7"/>
    <mergeCell ref="F7:F10"/>
    <mergeCell ref="G8:H8"/>
    <mergeCell ref="G9:H9"/>
    <mergeCell ref="B7:B10"/>
    <mergeCell ref="O8:P8"/>
    <mergeCell ref="I9:J9"/>
    <mergeCell ref="A2:W2"/>
    <mergeCell ref="Q8:R8"/>
    <mergeCell ref="T7:T10"/>
    <mergeCell ref="U7:U10"/>
    <mergeCell ref="V7:V10"/>
    <mergeCell ref="W7:W10"/>
    <mergeCell ref="H4:J4"/>
    <mergeCell ref="L4:N4"/>
    <mergeCell ref="K9:L9"/>
    <mergeCell ref="M9:N9"/>
    <mergeCell ref="O9:P9"/>
    <mergeCell ref="Q9:R9"/>
    <mergeCell ref="I8:J8"/>
    <mergeCell ref="K8:L8"/>
    <mergeCell ref="M8:N8"/>
    <mergeCell ref="S7:S10"/>
    <mergeCell ref="M46:O46"/>
    <mergeCell ref="U46:V46"/>
    <mergeCell ref="G43:H43"/>
    <mergeCell ref="I43:J43"/>
    <mergeCell ref="K43:L43"/>
    <mergeCell ref="M43:N43"/>
    <mergeCell ref="O43:P43"/>
    <mergeCell ref="Q43:R43"/>
    <mergeCell ref="Q42:R42"/>
    <mergeCell ref="G42:H42"/>
    <mergeCell ref="I42:J42"/>
    <mergeCell ref="K42:L42"/>
    <mergeCell ref="M42:N42"/>
    <mergeCell ref="O42:P42"/>
  </mergeCells>
  <conditionalFormatting sqref="G10:R10">
    <cfRule type="cellIs" dxfId="6" priority="10" stopIfTrue="1" operator="lessThanOrEqual">
      <formula>0</formula>
    </cfRule>
  </conditionalFormatting>
  <pageMargins left="0.70866141732283472" right="0.70866141732283472" top="0.74803149606299213" bottom="0.74803149606299213" header="0" footer="0"/>
  <pageSetup paperSize="9" scale="3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1740-93BC-4AC9-AFDA-BE479510A9EE}">
  <dimension ref="A1"/>
  <sheetViews>
    <sheetView workbookViewId="0"/>
  </sheetViews>
  <sheetFormatPr baseColWidth="10"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0601-1DD4-4CB7-A188-488F4E4EC13A}">
  <dimension ref="A1:CG77"/>
  <sheetViews>
    <sheetView tabSelected="1" topLeftCell="B1" zoomScale="130" zoomScaleNormal="130" workbookViewId="0">
      <pane ySplit="6" topLeftCell="A37" activePane="bottomLeft" state="frozen"/>
      <selection pane="bottomLeft" activeCell="D51" sqref="D51"/>
    </sheetView>
  </sheetViews>
  <sheetFormatPr baseColWidth="10" defaultColWidth="11.44140625" defaultRowHeight="10.199999999999999"/>
  <cols>
    <col min="1" max="1" width="2.109375" style="29" customWidth="1"/>
    <col min="2" max="2" width="8.5546875" style="29" customWidth="1"/>
    <col min="3" max="3" width="42" style="29" customWidth="1"/>
    <col min="4" max="4" width="35.44140625" style="29" customWidth="1"/>
    <col min="5" max="5" width="8" style="29" customWidth="1"/>
    <col min="6" max="6" width="11.44140625" style="29"/>
    <col min="7" max="7" width="13.44140625" style="29" customWidth="1"/>
    <col min="8" max="8" width="15.44140625" style="29" bestFit="1" customWidth="1"/>
    <col min="9" max="16384" width="11.44140625" style="29"/>
  </cols>
  <sheetData>
    <row r="1" spans="1:85" ht="11.1" hidden="1" customHeight="1" thickBot="1"/>
    <row r="2" spans="1:85" ht="16.2" thickBot="1">
      <c r="B2" s="622" t="s">
        <v>53</v>
      </c>
      <c r="C2" s="623"/>
      <c r="D2" s="623"/>
      <c r="E2" s="624"/>
    </row>
    <row r="3" spans="1:85" ht="15" customHeight="1" thickBot="1">
      <c r="B3" s="60" t="s">
        <v>39</v>
      </c>
      <c r="C3" s="614" t="s">
        <v>35</v>
      </c>
      <c r="D3" s="621"/>
      <c r="E3" s="615"/>
    </row>
    <row r="4" spans="1:85" ht="12" customHeight="1" thickBot="1">
      <c r="B4" s="34" t="s">
        <v>54</v>
      </c>
      <c r="C4" s="618">
        <f>+'TAREO SEMANAL'!F4</f>
        <v>2</v>
      </c>
      <c r="D4" s="619"/>
      <c r="E4" s="620"/>
    </row>
    <row r="5" spans="1:85" ht="18.75" customHeight="1">
      <c r="B5" s="616" t="s">
        <v>40</v>
      </c>
      <c r="C5" s="616" t="s">
        <v>43</v>
      </c>
      <c r="D5" s="625" t="s">
        <v>58</v>
      </c>
      <c r="E5" s="627" t="s">
        <v>52</v>
      </c>
    </row>
    <row r="6" spans="1:85" ht="18.75" customHeight="1" thickBot="1">
      <c r="B6" s="617"/>
      <c r="C6" s="617"/>
      <c r="D6" s="626"/>
      <c r="E6" s="628"/>
    </row>
    <row r="7" spans="1:85">
      <c r="B7" s="35">
        <v>1</v>
      </c>
      <c r="C7" s="478" t="s">
        <v>3596</v>
      </c>
      <c r="D7" s="483" t="s">
        <v>3597</v>
      </c>
      <c r="E7" s="480">
        <f ca="1">SUMIF('TAREO LUNES'!$C$7:$C$76,'TAREO ACTIVIDADES TOTAL'!C7,'TAREO LUNES'!$E$7:$E$76)+SUMIF('TAREO MARTES'!$C$7:$C$76,'TAREO ACTIVIDADES TOTAL'!C7,'TAREO MARTES'!$E$7:$E$76)+SUMIF('TAREO MIERCOLES'!$C$7:$C$76,'TAREO ACTIVIDADES TOTAL'!C7,'TAREO MIERCOLES'!$E$7:$E$76)+SUMIF('TAREO JUEVES'!$C$7:$C$76,'TAREO ACTIVIDADES TOTAL'!C7,'TAREO JUEVES'!$E$7:$E$76)+SUMIF('TAREO VIERNES'!$C$7:$C$76,'TAREO ACTIVIDADES TOTAL'!C7,'TAREO VIERNES'!$E$7:$E$56)+SUMIF('TAREO SABADO'!$C$7:$C$76,'TAREO ACTIVIDADES TOTAL'!C7,'TAREO SABADO'!$E$7:$E$56)</f>
        <v>0</v>
      </c>
    </row>
    <row r="8" spans="1:85" s="57" customFormat="1">
      <c r="A8" s="29"/>
      <c r="B8" s="36">
        <f t="shared" ref="B8:B71" si="0">B7+1</f>
        <v>2</v>
      </c>
      <c r="C8" s="478" t="s">
        <v>3610</v>
      </c>
      <c r="D8" s="483" t="s">
        <v>60</v>
      </c>
      <c r="E8" s="486">
        <f ca="1">SUMIF('TAREO LUNES'!$C$7:$C$76,'TAREO ACTIVIDADES TOTAL'!C8,'TAREO LUNES'!$E$7:$E$76)+SUMIF('TAREO MARTES'!$C$7:$C$76,'TAREO ACTIVIDADES TOTAL'!C8,'TAREO MARTES'!$E$7:$E$76)+SUMIF('TAREO MIERCOLES'!$C$7:$C$76,'TAREO ACTIVIDADES TOTAL'!C8,'TAREO MIERCOLES'!$E$7:$E$76)+SUMIF('TAREO JUEVES'!$C$7:$C$76,'TAREO ACTIVIDADES TOTAL'!C8,'TAREO JUEVES'!$E$7:$E$76)+SUMIF('TAREO VIERNES'!$C$7:$C$76,'TAREO ACTIVIDADES TOTAL'!C8,'TAREO VIERNES'!$E$7:$E$56)+SUMIF('TAREO SABADO'!$C$7:$C$76,'TAREO ACTIVIDADES TOTAL'!C8,'TAREO SABADO'!$E$7:$E$56)</f>
        <v>42.5</v>
      </c>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row>
    <row r="9" spans="1:85" s="57" customFormat="1">
      <c r="A9" s="29"/>
      <c r="B9" s="36">
        <f t="shared" si="0"/>
        <v>3</v>
      </c>
      <c r="C9" s="479" t="s">
        <v>3614</v>
      </c>
      <c r="D9" s="483" t="s">
        <v>60</v>
      </c>
      <c r="E9" s="486">
        <f ca="1">SUMIF('TAREO LUNES'!$C$7:$C$76,'TAREO ACTIVIDADES TOTAL'!C9,'TAREO LUNES'!$E$7:$E$76)+SUMIF('TAREO MARTES'!$C$7:$C$76,'TAREO ACTIVIDADES TOTAL'!C9,'TAREO MARTES'!$E$7:$E$76)+SUMIF('TAREO MIERCOLES'!$C$7:$C$76,'TAREO ACTIVIDADES TOTAL'!C9,'TAREO MIERCOLES'!$E$7:$E$76)+SUMIF('TAREO JUEVES'!$C$7:$C$76,'TAREO ACTIVIDADES TOTAL'!C9,'TAREO JUEVES'!$E$7:$E$76)+SUMIF('TAREO VIERNES'!$C$7:$C$76,'TAREO ACTIVIDADES TOTAL'!C9,'TAREO VIERNES'!$E$7:$E$56)+SUMIF('TAREO SABADO'!$C$7:$C$76,'TAREO ACTIVIDADES TOTAL'!C9,'TAREO SABADO'!$E$7:$E$56)</f>
        <v>39.5</v>
      </c>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row>
    <row r="10" spans="1:85" s="57" customFormat="1">
      <c r="A10" s="29"/>
      <c r="B10" s="36">
        <f t="shared" si="0"/>
        <v>4</v>
      </c>
      <c r="C10" s="478" t="s">
        <v>44</v>
      </c>
      <c r="D10" s="483" t="s">
        <v>3544</v>
      </c>
      <c r="E10" s="486">
        <f ca="1">SUMIF('TAREO LUNES'!$C$7:$C$76,'TAREO ACTIVIDADES TOTAL'!C10,'TAREO LUNES'!$E$7:$E$76)+SUMIF('TAREO MARTES'!$C$7:$C$76,'TAREO ACTIVIDADES TOTAL'!C10,'TAREO MARTES'!$E$7:$E$76)+SUMIF('TAREO MIERCOLES'!$C$7:$C$76,'TAREO ACTIVIDADES TOTAL'!C10,'TAREO MIERCOLES'!$E$7:$E$76)+SUMIF('TAREO JUEVES'!$C$7:$C$76,'TAREO ACTIVIDADES TOTAL'!C10,'TAREO JUEVES'!$E$7:$E$76)+SUMIF('TAREO VIERNES'!$C$7:$C$76,'TAREO ACTIVIDADES TOTAL'!C10,'TAREO VIERNES'!$E$7:$E$56)+SUMIF('TAREO SABADO'!$C$7:$C$76,'TAREO ACTIVIDADES TOTAL'!C10,'TAREO SABADO'!$E$7:$E$56)</f>
        <v>11.5</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row>
    <row r="11" spans="1:85" s="57" customFormat="1">
      <c r="A11" s="29"/>
      <c r="B11" s="36">
        <f t="shared" si="0"/>
        <v>5</v>
      </c>
      <c r="C11" s="478" t="s">
        <v>3608</v>
      </c>
      <c r="D11" s="483" t="s">
        <v>60</v>
      </c>
      <c r="E11" s="486">
        <f ca="1">SUMIF('TAREO LUNES'!$C$7:$C$76,'TAREO ACTIVIDADES TOTAL'!C11,'TAREO LUNES'!$E$7:$E$76)+SUMIF('TAREO MARTES'!$C$7:$C$76,'TAREO ACTIVIDADES TOTAL'!C11,'TAREO MARTES'!$E$7:$E$76)+SUMIF('TAREO MIERCOLES'!$C$7:$C$76,'TAREO ACTIVIDADES TOTAL'!C11,'TAREO MIERCOLES'!$E$7:$E$76)+SUMIF('TAREO JUEVES'!$C$7:$C$76,'TAREO ACTIVIDADES TOTAL'!C11,'TAREO JUEVES'!$E$7:$E$76)+SUMIF('TAREO VIERNES'!$C$7:$C$76,'TAREO ACTIVIDADES TOTAL'!C11,'TAREO VIERNES'!$E$7:$E$56)+SUMIF('TAREO SABADO'!$C$7:$C$76,'TAREO ACTIVIDADES TOTAL'!C11,'TAREO SABADO'!$E$7:$E$56)</f>
        <v>34</v>
      </c>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row>
    <row r="12" spans="1:85">
      <c r="B12" s="36">
        <f t="shared" si="0"/>
        <v>6</v>
      </c>
      <c r="C12" s="478" t="s">
        <v>3598</v>
      </c>
      <c r="D12" s="483" t="s">
        <v>3597</v>
      </c>
      <c r="E12" s="486">
        <f ca="1">SUMIF('TAREO LUNES'!$C$7:$C$76,'TAREO ACTIVIDADES TOTAL'!C12,'TAREO LUNES'!$E$7:$E$76)+SUMIF('TAREO MARTES'!$C$7:$C$76,'TAREO ACTIVIDADES TOTAL'!C12,'TAREO MARTES'!$E$7:$E$76)+SUMIF('TAREO MIERCOLES'!$C$7:$C$76,'TAREO ACTIVIDADES TOTAL'!C12,'TAREO MIERCOLES'!$E$7:$E$76)+SUMIF('TAREO JUEVES'!$C$7:$C$76,'TAREO ACTIVIDADES TOTAL'!C12,'TAREO JUEVES'!$E$7:$E$76)+SUMIF('TAREO VIERNES'!$C$7:$C$76,'TAREO ACTIVIDADES TOTAL'!C12,'TAREO VIERNES'!$E$7:$E$56)+SUMIF('TAREO SABADO'!$C$7:$C$76,'TAREO ACTIVIDADES TOTAL'!C12,'TAREO SABADO'!$E$7:$E$56)</f>
        <v>8.5</v>
      </c>
    </row>
    <row r="13" spans="1:85">
      <c r="B13" s="36">
        <f t="shared" si="0"/>
        <v>7</v>
      </c>
      <c r="C13" s="479" t="s">
        <v>3528</v>
      </c>
      <c r="D13" s="483" t="s">
        <v>117</v>
      </c>
      <c r="E13" s="486">
        <f ca="1">SUMIF('TAREO LUNES'!$C$7:$C$76,'TAREO ACTIVIDADES TOTAL'!C13,'TAREO LUNES'!$E$7:$E$76)+SUMIF('TAREO MARTES'!$C$7:$C$76,'TAREO ACTIVIDADES TOTAL'!C13,'TAREO MARTES'!$E$7:$E$76)+SUMIF('TAREO MIERCOLES'!$C$7:$C$76,'TAREO ACTIVIDADES TOTAL'!C13,'TAREO MIERCOLES'!$E$7:$E$76)+SUMIF('TAREO JUEVES'!$C$7:$C$76,'TAREO ACTIVIDADES TOTAL'!C13,'TAREO JUEVES'!$E$7:$E$76)+SUMIF('TAREO VIERNES'!$C$7:$C$76,'TAREO ACTIVIDADES TOTAL'!C13,'TAREO VIERNES'!$E$7:$E$56)+SUMIF('TAREO SABADO'!$C$7:$C$76,'TAREO ACTIVIDADES TOTAL'!C13,'TAREO SABADO'!$E$7:$E$56)</f>
        <v>8.5</v>
      </c>
    </row>
    <row r="14" spans="1:85">
      <c r="B14" s="36">
        <f t="shared" si="0"/>
        <v>8</v>
      </c>
      <c r="C14" s="479" t="s">
        <v>3519</v>
      </c>
      <c r="D14" s="483" t="s">
        <v>144</v>
      </c>
      <c r="E14" s="486">
        <f ca="1">SUMIF('TAREO LUNES'!$C$7:$C$76,'TAREO ACTIVIDADES TOTAL'!C14,'TAREO LUNES'!$E$7:$E$76)+SUMIF('TAREO MARTES'!$C$7:$C$76,'TAREO ACTIVIDADES TOTAL'!C14,'TAREO MARTES'!$E$7:$E$76)+SUMIF('TAREO MIERCOLES'!$C$7:$C$76,'TAREO ACTIVIDADES TOTAL'!C14,'TAREO MIERCOLES'!$E$7:$E$76)+SUMIF('TAREO JUEVES'!$C$7:$C$76,'TAREO ACTIVIDADES TOTAL'!C14,'TAREO JUEVES'!$E$7:$E$76)+SUMIF('TAREO VIERNES'!$C$7:$C$76,'TAREO ACTIVIDADES TOTAL'!C14,'TAREO VIERNES'!$E$7:$E$56)+SUMIF('TAREO SABADO'!$C$7:$C$76,'TAREO ACTIVIDADES TOTAL'!C14,'TAREO SABADO'!$E$7:$E$56)</f>
        <v>0</v>
      </c>
    </row>
    <row r="15" spans="1:85">
      <c r="B15" s="36">
        <f t="shared" si="0"/>
        <v>9</v>
      </c>
      <c r="C15" s="479" t="s">
        <v>45</v>
      </c>
      <c r="D15" s="483" t="s">
        <v>60</v>
      </c>
      <c r="E15" s="486">
        <f ca="1">SUMIF('TAREO LUNES'!$C$7:$C$76,'TAREO ACTIVIDADES TOTAL'!C15,'TAREO LUNES'!$E$7:$E$76)+SUMIF('TAREO MARTES'!$C$7:$C$76,'TAREO ACTIVIDADES TOTAL'!C15,'TAREO MARTES'!$E$7:$E$76)+SUMIF('TAREO MIERCOLES'!$C$7:$C$76,'TAREO ACTIVIDADES TOTAL'!C15,'TAREO MIERCOLES'!$E$7:$E$76)+SUMIF('TAREO JUEVES'!$C$7:$C$76,'TAREO ACTIVIDADES TOTAL'!C15,'TAREO JUEVES'!$E$7:$E$76)+SUMIF('TAREO VIERNES'!$C$7:$C$76,'TAREO ACTIVIDADES TOTAL'!C15,'TAREO VIERNES'!$E$7:$E$56)+SUMIF('TAREO SABADO'!$C$7:$C$76,'TAREO ACTIVIDADES TOTAL'!C15,'TAREO SABADO'!$E$7:$E$56)</f>
        <v>8</v>
      </c>
    </row>
    <row r="16" spans="1:85" s="57" customFormat="1">
      <c r="A16" s="29"/>
      <c r="B16" s="36">
        <f t="shared" si="0"/>
        <v>10</v>
      </c>
      <c r="C16" s="479" t="s">
        <v>55</v>
      </c>
      <c r="D16" s="483" t="s">
        <v>61</v>
      </c>
      <c r="E16" s="486">
        <f ca="1">SUMIF('TAREO LUNES'!$C$7:$C$76,'TAREO ACTIVIDADES TOTAL'!C16,'TAREO LUNES'!$E$7:$E$76)+SUMIF('TAREO MARTES'!$C$7:$C$76,'TAREO ACTIVIDADES TOTAL'!C16,'TAREO MARTES'!$E$7:$E$76)+SUMIF('TAREO MIERCOLES'!$C$7:$C$76,'TAREO ACTIVIDADES TOTAL'!C16,'TAREO MIERCOLES'!$E$7:$E$76)+SUMIF('TAREO JUEVES'!$C$7:$C$76,'TAREO ACTIVIDADES TOTAL'!C16,'TAREO JUEVES'!$E$7:$E$76)+SUMIF('TAREO VIERNES'!$C$7:$C$76,'TAREO ACTIVIDADES TOTAL'!C16,'TAREO VIERNES'!$E$7:$E$56)+SUMIF('TAREO SABADO'!$C$7:$C$76,'TAREO ACTIVIDADES TOTAL'!C16,'TAREO SABADO'!$E$7:$E$56)</f>
        <v>96</v>
      </c>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row>
    <row r="17" spans="1:85">
      <c r="B17" s="36">
        <f t="shared" si="0"/>
        <v>11</v>
      </c>
      <c r="C17" s="479" t="s">
        <v>48</v>
      </c>
      <c r="D17" s="483" t="s">
        <v>60</v>
      </c>
      <c r="E17" s="486">
        <f ca="1">SUMIF('TAREO LUNES'!$C$7:$C$76,'TAREO ACTIVIDADES TOTAL'!C17,'TAREO LUNES'!$E$7:$E$76)+SUMIF('TAREO MARTES'!$C$7:$C$76,'TAREO ACTIVIDADES TOTAL'!C17,'TAREO MARTES'!$E$7:$E$76)+SUMIF('TAREO MIERCOLES'!$C$7:$C$76,'TAREO ACTIVIDADES TOTAL'!C17,'TAREO MIERCOLES'!$E$7:$E$76)+SUMIF('TAREO JUEVES'!$C$7:$C$76,'TAREO ACTIVIDADES TOTAL'!C17,'TAREO JUEVES'!$E$7:$E$76)+SUMIF('TAREO VIERNES'!$C$7:$C$76,'TAREO ACTIVIDADES TOTAL'!C17,'TAREO VIERNES'!$E$7:$E$56)+SUMIF('TAREO SABADO'!$C$7:$C$76,'TAREO ACTIVIDADES TOTAL'!C17,'TAREO SABADO'!$E$7:$E$56)</f>
        <v>0</v>
      </c>
    </row>
    <row r="18" spans="1:85" s="57" customFormat="1">
      <c r="A18" s="29"/>
      <c r="B18" s="36">
        <f t="shared" si="0"/>
        <v>12</v>
      </c>
      <c r="C18" s="479" t="s">
        <v>49</v>
      </c>
      <c r="D18" s="483" t="s">
        <v>3544</v>
      </c>
      <c r="E18" s="486">
        <f ca="1">SUMIF('TAREO LUNES'!$C$7:$C$76,'TAREO ACTIVIDADES TOTAL'!C18,'TAREO LUNES'!$E$7:$E$76)+SUMIF('TAREO MARTES'!$C$7:$C$76,'TAREO ACTIVIDADES TOTAL'!C18,'TAREO MARTES'!$E$7:$E$76)+SUMIF('TAREO MIERCOLES'!$C$7:$C$76,'TAREO ACTIVIDADES TOTAL'!C18,'TAREO MIERCOLES'!$E$7:$E$76)+SUMIF('TAREO JUEVES'!$C$7:$C$76,'TAREO ACTIVIDADES TOTAL'!C18,'TAREO JUEVES'!$E$7:$E$76)+SUMIF('TAREO VIERNES'!$C$7:$C$76,'TAREO ACTIVIDADES TOTAL'!C18,'TAREO VIERNES'!$E$7:$E$56)+SUMIF('TAREO SABADO'!$C$7:$C$76,'TAREO ACTIVIDADES TOTAL'!C18,'TAREO SABADO'!$E$7:$E$56)</f>
        <v>0</v>
      </c>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row>
    <row r="19" spans="1:85" s="57" customFormat="1">
      <c r="A19" s="29"/>
      <c r="B19" s="36">
        <f t="shared" si="0"/>
        <v>13</v>
      </c>
      <c r="C19" s="479" t="s">
        <v>50</v>
      </c>
      <c r="D19" s="483" t="s">
        <v>64</v>
      </c>
      <c r="E19" s="486">
        <f ca="1">SUMIF('TAREO LUNES'!$C$7:$C$76,'TAREO ACTIVIDADES TOTAL'!C19,'TAREO LUNES'!$E$7:$E$76)+SUMIF('TAREO MARTES'!$C$7:$C$76,'TAREO ACTIVIDADES TOTAL'!C19,'TAREO MARTES'!$E$7:$E$76)+SUMIF('TAREO MIERCOLES'!$C$7:$C$76,'TAREO ACTIVIDADES TOTAL'!C19,'TAREO MIERCOLES'!$E$7:$E$76)+SUMIF('TAREO JUEVES'!$C$7:$C$76,'TAREO ACTIVIDADES TOTAL'!C19,'TAREO JUEVES'!$E$7:$E$76)+SUMIF('TAREO VIERNES'!$C$7:$C$76,'TAREO ACTIVIDADES TOTAL'!C19,'TAREO VIERNES'!$E$7:$E$56)+SUMIF('TAREO SABADO'!$C$7:$C$76,'TAREO ACTIVIDADES TOTAL'!C19,'TAREO SABADO'!$E$7:$E$56)</f>
        <v>0</v>
      </c>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row>
    <row r="20" spans="1:85" s="57" customFormat="1">
      <c r="A20" s="29"/>
      <c r="B20" s="36">
        <f t="shared" si="0"/>
        <v>14</v>
      </c>
      <c r="C20" s="479" t="s">
        <v>3615</v>
      </c>
      <c r="D20" s="483" t="s">
        <v>3616</v>
      </c>
      <c r="E20" s="486">
        <f ca="1">SUMIF('TAREO LUNES'!$C$7:$C$76,'TAREO ACTIVIDADES TOTAL'!C20,'TAREO LUNES'!$E$7:$E$76)+SUMIF('TAREO MARTES'!$C$7:$C$76,'TAREO ACTIVIDADES TOTAL'!C20,'TAREO MARTES'!$E$7:$E$76)+SUMIF('TAREO MIERCOLES'!$C$7:$C$76,'TAREO ACTIVIDADES TOTAL'!C20,'TAREO MIERCOLES'!$E$7:$E$76)+SUMIF('TAREO JUEVES'!$C$7:$C$76,'TAREO ACTIVIDADES TOTAL'!C20,'TAREO JUEVES'!$E$7:$E$76)+SUMIF('TAREO VIERNES'!$C$7:$C$76,'TAREO ACTIVIDADES TOTAL'!C20,'TAREO VIERNES'!$E$7:$E$56)+SUMIF('TAREO SABADO'!$C$7:$C$76,'TAREO ACTIVIDADES TOTAL'!C20,'TAREO SABADO'!$E$7:$E$56)</f>
        <v>20</v>
      </c>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row>
    <row r="21" spans="1:85">
      <c r="B21" s="36">
        <f t="shared" si="0"/>
        <v>15</v>
      </c>
      <c r="C21" s="479" t="s">
        <v>65</v>
      </c>
      <c r="D21" s="483" t="s">
        <v>64</v>
      </c>
      <c r="E21" s="486">
        <f ca="1">SUMIF('TAREO LUNES'!$C$7:$C$76,'TAREO ACTIVIDADES TOTAL'!C21,'TAREO LUNES'!$E$7:$E$76)+SUMIF('TAREO MARTES'!$C$7:$C$76,'TAREO ACTIVIDADES TOTAL'!C21,'TAREO MARTES'!$E$7:$E$76)+SUMIF('TAREO MIERCOLES'!$C$7:$C$76,'TAREO ACTIVIDADES TOTAL'!C21,'TAREO MIERCOLES'!$E$7:$E$76)+SUMIF('TAREO JUEVES'!$C$7:$C$76,'TAREO ACTIVIDADES TOTAL'!C21,'TAREO JUEVES'!$E$7:$E$76)+SUMIF('TAREO VIERNES'!$C$7:$C$76,'TAREO ACTIVIDADES TOTAL'!C21,'TAREO VIERNES'!$E$7:$E$56)+SUMIF('TAREO SABADO'!$C$7:$C$76,'TAREO ACTIVIDADES TOTAL'!C21,'TAREO SABADO'!$E$7:$E$56)</f>
        <v>0</v>
      </c>
    </row>
    <row r="22" spans="1:85">
      <c r="B22" s="36">
        <f t="shared" si="0"/>
        <v>16</v>
      </c>
      <c r="C22" s="479" t="s">
        <v>66</v>
      </c>
      <c r="D22" s="483" t="s">
        <v>64</v>
      </c>
      <c r="E22" s="486">
        <f ca="1">SUMIF('TAREO LUNES'!$C$7:$C$76,'TAREO ACTIVIDADES TOTAL'!C22,'TAREO LUNES'!$E$7:$E$76)+SUMIF('TAREO MARTES'!$C$7:$C$76,'TAREO ACTIVIDADES TOTAL'!C22,'TAREO MARTES'!$E$7:$E$76)+SUMIF('TAREO MIERCOLES'!$C$7:$C$76,'TAREO ACTIVIDADES TOTAL'!C22,'TAREO MIERCOLES'!$E$7:$E$76)+SUMIF('TAREO JUEVES'!$C$7:$C$76,'TAREO ACTIVIDADES TOTAL'!C22,'TAREO JUEVES'!$E$7:$E$76)+SUMIF('TAREO VIERNES'!$C$7:$C$76,'TAREO ACTIVIDADES TOTAL'!C22,'TAREO VIERNES'!$E$7:$E$56)+SUMIF('TAREO SABADO'!$C$7:$C$76,'TAREO ACTIVIDADES TOTAL'!C22,'TAREO SABADO'!$E$7:$E$56)</f>
        <v>0</v>
      </c>
    </row>
    <row r="23" spans="1:85" s="57" customFormat="1">
      <c r="A23" s="29"/>
      <c r="B23" s="36">
        <f t="shared" si="0"/>
        <v>17</v>
      </c>
      <c r="C23" s="479" t="s">
        <v>76</v>
      </c>
      <c r="D23" s="483" t="s">
        <v>73</v>
      </c>
      <c r="E23" s="486">
        <f ca="1">SUMIF('TAREO LUNES'!$C$7:$C$76,'TAREO ACTIVIDADES TOTAL'!C23,'TAREO LUNES'!$E$7:$E$76)+SUMIF('TAREO MARTES'!$C$7:$C$76,'TAREO ACTIVIDADES TOTAL'!C23,'TAREO MARTES'!$E$7:$E$76)+SUMIF('TAREO MIERCOLES'!$C$7:$C$76,'TAREO ACTIVIDADES TOTAL'!C23,'TAREO MIERCOLES'!$E$7:$E$76)+SUMIF('TAREO JUEVES'!$C$7:$C$76,'TAREO ACTIVIDADES TOTAL'!C23,'TAREO JUEVES'!$E$7:$E$76)+SUMIF('TAREO VIERNES'!$C$7:$C$76,'TAREO ACTIVIDADES TOTAL'!C23,'TAREO VIERNES'!$E$7:$E$56)+SUMIF('TAREO SABADO'!$C$7:$C$76,'TAREO ACTIVIDADES TOTAL'!C23,'TAREO SABADO'!$E$7:$E$56)</f>
        <v>0</v>
      </c>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row>
    <row r="24" spans="1:85">
      <c r="B24" s="36">
        <f t="shared" si="0"/>
        <v>18</v>
      </c>
      <c r="C24" s="479" t="s">
        <v>3542</v>
      </c>
      <c r="D24" s="483" t="s">
        <v>1330</v>
      </c>
      <c r="E24" s="486">
        <f ca="1">SUMIF('TAREO LUNES'!$C$7:$C$76,'TAREO ACTIVIDADES TOTAL'!C24,'TAREO LUNES'!$E$7:$E$76)+SUMIF('TAREO MARTES'!$C$7:$C$76,'TAREO ACTIVIDADES TOTAL'!C24,'TAREO MARTES'!$E$7:$E$76)+SUMIF('TAREO MIERCOLES'!$C$7:$C$76,'TAREO ACTIVIDADES TOTAL'!C24,'TAREO MIERCOLES'!$E$7:$E$76)+SUMIF('TAREO JUEVES'!$C$7:$C$76,'TAREO ACTIVIDADES TOTAL'!C24,'TAREO JUEVES'!$E$7:$E$76)+SUMIF('TAREO VIERNES'!$C$7:$C$76,'TAREO ACTIVIDADES TOTAL'!C24,'TAREO VIERNES'!$E$7:$E$56)+SUMIF('TAREO SABADO'!$C$7:$C$76,'TAREO ACTIVIDADES TOTAL'!C24,'TAREO SABADO'!$E$7:$E$56)</f>
        <v>0</v>
      </c>
    </row>
    <row r="25" spans="1:85">
      <c r="B25" s="36">
        <f t="shared" si="0"/>
        <v>19</v>
      </c>
      <c r="C25" s="479" t="s">
        <v>3589</v>
      </c>
      <c r="D25" s="483" t="s">
        <v>3580</v>
      </c>
      <c r="E25" s="486">
        <f ca="1">SUMIF('TAREO LUNES'!$C$7:$C$76,'TAREO ACTIVIDADES TOTAL'!C25,'TAREO LUNES'!$E$7:$E$76)+SUMIF('TAREO MARTES'!$C$7:$C$76,'TAREO ACTIVIDADES TOTAL'!C25,'TAREO MARTES'!$E$7:$E$76)+SUMIF('TAREO MIERCOLES'!$C$7:$C$76,'TAREO ACTIVIDADES TOTAL'!C25,'TAREO MIERCOLES'!$E$7:$E$76)+SUMIF('TAREO JUEVES'!$C$7:$C$76,'TAREO ACTIVIDADES TOTAL'!C25,'TAREO JUEVES'!$E$7:$E$76)+SUMIF('TAREO VIERNES'!$C$7:$C$76,'TAREO ACTIVIDADES TOTAL'!C25,'TAREO VIERNES'!$E$7:$E$56)+SUMIF('TAREO SABADO'!$C$7:$C$76,'TAREO ACTIVIDADES TOTAL'!C25,'TAREO SABADO'!$E$7:$E$56)</f>
        <v>0</v>
      </c>
    </row>
    <row r="26" spans="1:85">
      <c r="B26" s="36">
        <f t="shared" si="0"/>
        <v>20</v>
      </c>
      <c r="C26" s="479" t="s">
        <v>3585</v>
      </c>
      <c r="D26" s="483" t="s">
        <v>839</v>
      </c>
      <c r="E26" s="486">
        <f ca="1">SUMIF('TAREO LUNES'!$C$7:$C$76,'TAREO ACTIVIDADES TOTAL'!C26,'TAREO LUNES'!$E$7:$E$76)+SUMIF('TAREO MARTES'!$C$7:$C$76,'TAREO ACTIVIDADES TOTAL'!C26,'TAREO MARTES'!$E$7:$E$76)+SUMIF('TAREO MIERCOLES'!$C$7:$C$76,'TAREO ACTIVIDADES TOTAL'!C26,'TAREO MIERCOLES'!$E$7:$E$76)+SUMIF('TAREO JUEVES'!$C$7:$C$76,'TAREO ACTIVIDADES TOTAL'!C26,'TAREO JUEVES'!$E$7:$E$76)+SUMIF('TAREO VIERNES'!$C$7:$C$76,'TAREO ACTIVIDADES TOTAL'!C26,'TAREO VIERNES'!$E$7:$E$56)+SUMIF('TAREO SABADO'!$C$7:$C$76,'TAREO ACTIVIDADES TOTAL'!C26,'TAREO SABADO'!$E$7:$E$56)</f>
        <v>0</v>
      </c>
    </row>
    <row r="27" spans="1:85">
      <c r="B27" s="36">
        <f t="shared" si="0"/>
        <v>21</v>
      </c>
      <c r="C27" s="479" t="s">
        <v>3540</v>
      </c>
      <c r="D27" s="483" t="s">
        <v>3520</v>
      </c>
      <c r="E27" s="486">
        <f ca="1">SUMIF('TAREO LUNES'!$C$7:$C$76,'TAREO ACTIVIDADES TOTAL'!C27,'TAREO LUNES'!$E$7:$E$76)+SUMIF('TAREO MARTES'!$C$7:$C$76,'TAREO ACTIVIDADES TOTAL'!C27,'TAREO MARTES'!$E$7:$E$76)+SUMIF('TAREO MIERCOLES'!$C$7:$C$76,'TAREO ACTIVIDADES TOTAL'!C27,'TAREO MIERCOLES'!$E$7:$E$76)+SUMIF('TAREO JUEVES'!$C$7:$C$76,'TAREO ACTIVIDADES TOTAL'!C27,'TAREO JUEVES'!$E$7:$E$76)+SUMIF('TAREO VIERNES'!$C$7:$C$76,'TAREO ACTIVIDADES TOTAL'!C27,'TAREO VIERNES'!$E$7:$E$56)+SUMIF('TAREO SABADO'!$C$7:$C$76,'TAREO ACTIVIDADES TOTAL'!C27,'TAREO SABADO'!$E$7:$E$56)</f>
        <v>0</v>
      </c>
    </row>
    <row r="28" spans="1:85">
      <c r="B28" s="36">
        <f t="shared" si="0"/>
        <v>22</v>
      </c>
      <c r="C28" s="478" t="s">
        <v>3553</v>
      </c>
      <c r="D28" s="483" t="s">
        <v>873</v>
      </c>
      <c r="E28" s="486">
        <f ca="1">SUMIF('TAREO LUNES'!$C$7:$C$76,'TAREO ACTIVIDADES TOTAL'!C28,'TAREO LUNES'!$E$7:$E$76)+SUMIF('TAREO MARTES'!$C$7:$C$76,'TAREO ACTIVIDADES TOTAL'!C28,'TAREO MARTES'!$E$7:$E$76)+SUMIF('TAREO MIERCOLES'!$C$7:$C$76,'TAREO ACTIVIDADES TOTAL'!C28,'TAREO MIERCOLES'!$E$7:$E$76)+SUMIF('TAREO JUEVES'!$C$7:$C$76,'TAREO ACTIVIDADES TOTAL'!C28,'TAREO JUEVES'!$E$7:$E$76)+SUMIF('TAREO VIERNES'!$C$7:$C$76,'TAREO ACTIVIDADES TOTAL'!C28,'TAREO VIERNES'!$E$7:$E$56)+SUMIF('TAREO SABADO'!$C$7:$C$76,'TAREO ACTIVIDADES TOTAL'!C28,'TAREO SABADO'!$E$7:$E$56)</f>
        <v>0</v>
      </c>
    </row>
    <row r="29" spans="1:85" s="57" customFormat="1">
      <c r="A29" s="29"/>
      <c r="B29" s="36">
        <f t="shared" si="0"/>
        <v>23</v>
      </c>
      <c r="C29" s="479" t="s">
        <v>3526</v>
      </c>
      <c r="D29" s="483" t="s">
        <v>3527</v>
      </c>
      <c r="E29" s="486">
        <f ca="1">SUMIF('TAREO LUNES'!$C$7:$C$76,'TAREO ACTIVIDADES TOTAL'!C29,'TAREO LUNES'!$E$7:$E$76)+SUMIF('TAREO MARTES'!$C$7:$C$76,'TAREO ACTIVIDADES TOTAL'!C29,'TAREO MARTES'!$E$7:$E$76)+SUMIF('TAREO MIERCOLES'!$C$7:$C$76,'TAREO ACTIVIDADES TOTAL'!C29,'TAREO MIERCOLES'!$E$7:$E$76)+SUMIF('TAREO JUEVES'!$C$7:$C$76,'TAREO ACTIVIDADES TOTAL'!C29,'TAREO JUEVES'!$E$7:$E$76)+SUMIF('TAREO VIERNES'!$C$7:$C$76,'TAREO ACTIVIDADES TOTAL'!C29,'TAREO VIERNES'!$E$7:$E$56)+SUMIF('TAREO SABADO'!$C$7:$C$76,'TAREO ACTIVIDADES TOTAL'!C29,'TAREO SABADO'!$E$7:$E$56)</f>
        <v>0</v>
      </c>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row>
    <row r="30" spans="1:85" s="57" customFormat="1">
      <c r="A30" s="29"/>
      <c r="B30" s="36">
        <f t="shared" si="0"/>
        <v>24</v>
      </c>
      <c r="C30" s="503" t="s">
        <v>3556</v>
      </c>
      <c r="D30" s="504" t="s">
        <v>839</v>
      </c>
      <c r="E30" s="486">
        <f ca="1">SUMIF('TAREO LUNES'!$C$7:$C$76,'TAREO ACTIVIDADES TOTAL'!C30,'TAREO LUNES'!$E$7:$E$76)+SUMIF('TAREO MARTES'!$C$7:$C$76,'TAREO ACTIVIDADES TOTAL'!C30,'TAREO MARTES'!$E$7:$E$76)+SUMIF('TAREO MIERCOLES'!$C$7:$C$76,'TAREO ACTIVIDADES TOTAL'!C30,'TAREO MIERCOLES'!$E$7:$E$76)+SUMIF('TAREO JUEVES'!$C$7:$C$76,'TAREO ACTIVIDADES TOTAL'!C30,'TAREO JUEVES'!$E$7:$E$76)+SUMIF('TAREO VIERNES'!$C$7:$C$76,'TAREO ACTIVIDADES TOTAL'!C30,'TAREO VIERNES'!$E$7:$E$56)+SUMIF('TAREO SABADO'!$C$7:$C$76,'TAREO ACTIVIDADES TOTAL'!C30,'TAREO SABADO'!$E$7:$E$56)</f>
        <v>0</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row>
    <row r="31" spans="1:85">
      <c r="B31" s="36">
        <f t="shared" si="0"/>
        <v>25</v>
      </c>
      <c r="C31" s="543" t="s">
        <v>3587</v>
      </c>
      <c r="D31" s="483" t="s">
        <v>3580</v>
      </c>
      <c r="E31" s="486">
        <f ca="1">SUMIF('TAREO LUNES'!$C$7:$C$76,'TAREO ACTIVIDADES TOTAL'!C31,'TAREO LUNES'!$E$7:$E$76)+SUMIF('TAREO MARTES'!$C$7:$C$76,'TAREO ACTIVIDADES TOTAL'!C31,'TAREO MARTES'!$E$7:$E$76)+SUMIF('TAREO MIERCOLES'!$C$7:$C$76,'TAREO ACTIVIDADES TOTAL'!C31,'TAREO MIERCOLES'!$E$7:$E$76)+SUMIF('TAREO JUEVES'!$C$7:$C$76,'TAREO ACTIVIDADES TOTAL'!C31,'TAREO JUEVES'!$E$7:$E$76)+SUMIF('TAREO VIERNES'!$C$7:$C$76,'TAREO ACTIVIDADES TOTAL'!C31,'TAREO VIERNES'!$E$7:$E$56)+SUMIF('TAREO SABADO'!$C$7:$C$76,'TAREO ACTIVIDADES TOTAL'!C31,'TAREO SABADO'!$E$7:$E$56)</f>
        <v>0</v>
      </c>
      <c r="H31" s="109"/>
    </row>
    <row r="32" spans="1:85">
      <c r="B32" s="36">
        <f t="shared" si="0"/>
        <v>26</v>
      </c>
      <c r="C32" s="541" t="s">
        <v>3586</v>
      </c>
      <c r="D32" s="542" t="s">
        <v>873</v>
      </c>
      <c r="E32" s="486">
        <f ca="1">SUMIF('TAREO LUNES'!$C$7:$C$76,'TAREO ACTIVIDADES TOTAL'!C32,'TAREO LUNES'!$E$7:$E$76)+SUMIF('TAREO MARTES'!$C$7:$C$76,'TAREO ACTIVIDADES TOTAL'!C32,'TAREO MARTES'!$E$7:$E$76)+SUMIF('TAREO MIERCOLES'!$C$7:$C$76,'TAREO ACTIVIDADES TOTAL'!C32,'TAREO MIERCOLES'!$E$7:$E$76)+SUMIF('TAREO JUEVES'!$C$7:$C$76,'TAREO ACTIVIDADES TOTAL'!C32,'TAREO JUEVES'!$E$7:$E$76)+SUMIF('TAREO VIERNES'!$C$7:$C$76,'TAREO ACTIVIDADES TOTAL'!C32,'TAREO VIERNES'!$E$7:$E$56)+SUMIF('TAREO SABADO'!$C$7:$C$76,'TAREO ACTIVIDADES TOTAL'!C32,'TAREO SABADO'!$E$7:$E$56)</f>
        <v>0</v>
      </c>
      <c r="H32" s="109"/>
    </row>
    <row r="33" spans="1:85">
      <c r="B33" s="36">
        <f t="shared" si="0"/>
        <v>27</v>
      </c>
      <c r="C33" s="503" t="s">
        <v>3568</v>
      </c>
      <c r="D33" s="483" t="s">
        <v>60</v>
      </c>
      <c r="E33" s="486">
        <f ca="1">SUMIF('TAREO LUNES'!$C$7:$C$76,'TAREO ACTIVIDADES TOTAL'!C33,'TAREO LUNES'!$E$7:$E$76)+SUMIF('TAREO MARTES'!$C$7:$C$76,'TAREO ACTIVIDADES TOTAL'!C33,'TAREO MARTES'!$E$7:$E$76)+SUMIF('TAREO MIERCOLES'!$C$7:$C$76,'TAREO ACTIVIDADES TOTAL'!C33,'TAREO MIERCOLES'!$E$7:$E$76)+SUMIF('TAREO JUEVES'!$C$7:$C$76,'TAREO ACTIVIDADES TOTAL'!C33,'TAREO JUEVES'!$E$7:$E$76)+SUMIF('TAREO VIERNES'!$C$7:$C$76,'TAREO ACTIVIDADES TOTAL'!C33,'TAREO VIERNES'!$E$7:$E$56)+SUMIF('TAREO SABADO'!$C$7:$C$76,'TAREO ACTIVIDADES TOTAL'!C33,'TAREO SABADO'!$E$7:$E$56)</f>
        <v>0</v>
      </c>
      <c r="H33" s="109"/>
    </row>
    <row r="34" spans="1:85" s="57" customFormat="1">
      <c r="A34" s="29"/>
      <c r="B34" s="36">
        <f t="shared" si="0"/>
        <v>28</v>
      </c>
      <c r="C34" s="37" t="s">
        <v>3569</v>
      </c>
      <c r="D34" s="483" t="s">
        <v>73</v>
      </c>
      <c r="E34" s="486">
        <f ca="1">SUMIF('TAREO LUNES'!$C$7:$C$76,'TAREO ACTIVIDADES TOTAL'!C34,'TAREO LUNES'!$E$7:$E$76)+SUMIF('TAREO MARTES'!$C$7:$C$76,'TAREO ACTIVIDADES TOTAL'!C34,'TAREO MARTES'!$E$7:$E$76)+SUMIF('TAREO MIERCOLES'!$C$7:$C$76,'TAREO ACTIVIDADES TOTAL'!C34,'TAREO MIERCOLES'!$E$7:$E$76)+SUMIF('TAREO JUEVES'!$C$7:$C$76,'TAREO ACTIVIDADES TOTAL'!C34,'TAREO JUEVES'!$E$7:$E$76)+SUMIF('TAREO VIERNES'!$C$7:$C$76,'TAREO ACTIVIDADES TOTAL'!C34,'TAREO VIERNES'!$E$7:$E$56)+SUMIF('TAREO SABADO'!$C$7:$C$76,'TAREO ACTIVIDADES TOTAL'!C34,'TAREO SABADO'!$E$7:$E$56)</f>
        <v>0</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row>
    <row r="35" spans="1:85">
      <c r="B35" s="36">
        <f t="shared" si="0"/>
        <v>29</v>
      </c>
      <c r="C35" s="37" t="s">
        <v>3588</v>
      </c>
      <c r="D35" s="484" t="s">
        <v>3520</v>
      </c>
      <c r="E35" s="486">
        <f ca="1">SUMIF('TAREO LUNES'!$C$7:$C$76,'TAREO ACTIVIDADES TOTAL'!C35,'TAREO LUNES'!$E$7:$E$76)+SUMIF('TAREO MARTES'!$C$7:$C$76,'TAREO ACTIVIDADES TOTAL'!C35,'TAREO MARTES'!$E$7:$E$76)+SUMIF('TAREO MIERCOLES'!$C$7:$C$76,'TAREO ACTIVIDADES TOTAL'!C35,'TAREO MIERCOLES'!$E$7:$E$76)+SUMIF('TAREO JUEVES'!$C$7:$C$76,'TAREO ACTIVIDADES TOTAL'!C35,'TAREO JUEVES'!$E$7:$E$76)+SUMIF('TAREO VIERNES'!$C$7:$C$76,'TAREO ACTIVIDADES TOTAL'!C35,'TAREO VIERNES'!$E$7:$E$56)+SUMIF('TAREO SABADO'!$C$7:$C$76,'TAREO ACTIVIDADES TOTAL'!C35,'TAREO SABADO'!$E$7:$E$56)</f>
        <v>0</v>
      </c>
      <c r="G35" s="109"/>
    </row>
    <row r="36" spans="1:85">
      <c r="B36" s="36">
        <f t="shared" si="0"/>
        <v>30</v>
      </c>
      <c r="C36" s="479" t="s">
        <v>3575</v>
      </c>
      <c r="D36" s="483" t="s">
        <v>60</v>
      </c>
      <c r="E36" s="486">
        <f ca="1">SUMIF('TAREO LUNES'!$C$7:$C$76,'TAREO ACTIVIDADES TOTAL'!C36,'TAREO LUNES'!$E$7:$E$76)+SUMIF('TAREO MARTES'!$C$7:$C$76,'TAREO ACTIVIDADES TOTAL'!C36,'TAREO MARTES'!$E$7:$E$76)+SUMIF('TAREO MIERCOLES'!$C$7:$C$76,'TAREO ACTIVIDADES TOTAL'!C36,'TAREO MIERCOLES'!$E$7:$E$76)+SUMIF('TAREO JUEVES'!$C$7:$C$76,'TAREO ACTIVIDADES TOTAL'!C36,'TAREO JUEVES'!$E$7:$E$76)+SUMIF('TAREO VIERNES'!$C$7:$C$76,'TAREO ACTIVIDADES TOTAL'!C36,'TAREO VIERNES'!$E$7:$E$56)+SUMIF('TAREO SABADO'!$C$7:$C$76,'TAREO ACTIVIDADES TOTAL'!C36,'TAREO SABADO'!$E$7:$E$56)</f>
        <v>0</v>
      </c>
    </row>
    <row r="37" spans="1:85">
      <c r="B37" s="36">
        <f t="shared" si="0"/>
        <v>31</v>
      </c>
      <c r="C37" s="503" t="s">
        <v>3551</v>
      </c>
      <c r="D37" s="483" t="s">
        <v>231</v>
      </c>
      <c r="E37" s="486">
        <f ca="1">SUMIF('TAREO LUNES'!$C$7:$C$76,'TAREO ACTIVIDADES TOTAL'!C37,'TAREO LUNES'!$E$7:$E$76)+SUMIF('TAREO MARTES'!$C$7:$C$76,'TAREO ACTIVIDADES TOTAL'!C37,'TAREO MARTES'!$E$7:$E$76)+SUMIF('TAREO MIERCOLES'!$C$7:$C$76,'TAREO ACTIVIDADES TOTAL'!C37,'TAREO MIERCOLES'!$E$7:$E$76)+SUMIF('TAREO JUEVES'!$C$7:$C$76,'TAREO ACTIVIDADES TOTAL'!C37,'TAREO JUEVES'!$E$7:$E$76)+SUMIF('TAREO VIERNES'!$C$7:$C$76,'TAREO ACTIVIDADES TOTAL'!C37,'TAREO VIERNES'!$E$7:$E$56)+SUMIF('TAREO SABADO'!$C$7:$C$76,'TAREO ACTIVIDADES TOTAL'!C37,'TAREO SABADO'!$E$7:$E$56)</f>
        <v>0</v>
      </c>
    </row>
    <row r="38" spans="1:85" s="57" customFormat="1">
      <c r="A38" s="29"/>
      <c r="B38" s="36">
        <f t="shared" si="0"/>
        <v>32</v>
      </c>
      <c r="C38" s="37" t="s">
        <v>3555</v>
      </c>
      <c r="D38" s="483" t="s">
        <v>873</v>
      </c>
      <c r="E38" s="486">
        <f ca="1">SUMIF('TAREO LUNES'!$C$7:$C$76,'TAREO ACTIVIDADES TOTAL'!C38,'TAREO LUNES'!$E$7:$E$76)+SUMIF('TAREO MARTES'!$C$7:$C$76,'TAREO ACTIVIDADES TOTAL'!C38,'TAREO MARTES'!$E$7:$E$76)+SUMIF('TAREO MIERCOLES'!$C$7:$C$76,'TAREO ACTIVIDADES TOTAL'!C38,'TAREO MIERCOLES'!$E$7:$E$76)+SUMIF('TAREO JUEVES'!$C$7:$C$76,'TAREO ACTIVIDADES TOTAL'!C38,'TAREO JUEVES'!$E$7:$E$76)+SUMIF('TAREO VIERNES'!$C$7:$C$76,'TAREO ACTIVIDADES TOTAL'!C38,'TAREO VIERNES'!$E$7:$E$56)+SUMIF('TAREO SABADO'!$C$7:$C$76,'TAREO ACTIVIDADES TOTAL'!C38,'TAREO SABADO'!$E$7:$E$56)</f>
        <v>0</v>
      </c>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row>
    <row r="39" spans="1:85" s="477" customFormat="1">
      <c r="A39" s="29"/>
      <c r="B39" s="36">
        <f t="shared" si="0"/>
        <v>33</v>
      </c>
      <c r="C39" s="37" t="s">
        <v>3549</v>
      </c>
      <c r="D39" s="483" t="s">
        <v>73</v>
      </c>
      <c r="E39" s="486">
        <f ca="1">SUMIF('TAREO LUNES'!$C$7:$C$76,'TAREO ACTIVIDADES TOTAL'!C39,'TAREO LUNES'!$E$7:$E$76)+SUMIF('TAREO MARTES'!$C$7:$C$76,'TAREO ACTIVIDADES TOTAL'!C39,'TAREO MARTES'!$E$7:$E$76)+SUMIF('TAREO MIERCOLES'!$C$7:$C$76,'TAREO ACTIVIDADES TOTAL'!C39,'TAREO MIERCOLES'!$E$7:$E$76)+SUMIF('TAREO JUEVES'!$C$7:$C$76,'TAREO ACTIVIDADES TOTAL'!C39,'TAREO JUEVES'!$E$7:$E$76)+SUMIF('TAREO VIERNES'!$C$7:$C$76,'TAREO ACTIVIDADES TOTAL'!C39,'TAREO VIERNES'!$E$7:$E$56)+SUMIF('TAREO SABADO'!$C$7:$C$76,'TAREO ACTIVIDADES TOTAL'!C39,'TAREO SABADO'!$E$7:$E$56)</f>
        <v>0</v>
      </c>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row>
    <row r="40" spans="1:85">
      <c r="B40" s="36">
        <f t="shared" si="0"/>
        <v>34</v>
      </c>
      <c r="C40" s="37" t="s">
        <v>3536</v>
      </c>
      <c r="D40" s="483" t="s">
        <v>873</v>
      </c>
      <c r="E40" s="486">
        <f ca="1">SUMIF('TAREO LUNES'!$C$7:$C$76,'TAREO ACTIVIDADES TOTAL'!C40,'TAREO LUNES'!$E$7:$E$76)+SUMIF('TAREO MARTES'!$C$7:$C$76,'TAREO ACTIVIDADES TOTAL'!C40,'TAREO MARTES'!$E$7:$E$76)+SUMIF('TAREO MIERCOLES'!$C$7:$C$76,'TAREO ACTIVIDADES TOTAL'!C40,'TAREO MIERCOLES'!$E$7:$E$76)+SUMIF('TAREO JUEVES'!$C$7:$C$76,'TAREO ACTIVIDADES TOTAL'!C40,'TAREO JUEVES'!$E$7:$E$76)+SUMIF('TAREO VIERNES'!$C$7:$C$76,'TAREO ACTIVIDADES TOTAL'!C40,'TAREO VIERNES'!$E$7:$E$56)+SUMIF('TAREO SABADO'!$C$7:$C$76,'TAREO ACTIVIDADES TOTAL'!C40,'TAREO SABADO'!$E$7:$E$56)</f>
        <v>0</v>
      </c>
    </row>
    <row r="41" spans="1:85">
      <c r="B41" s="36">
        <f t="shared" si="0"/>
        <v>35</v>
      </c>
      <c r="C41" s="37" t="s">
        <v>3590</v>
      </c>
      <c r="D41" s="483" t="s">
        <v>855</v>
      </c>
      <c r="E41" s="486">
        <f ca="1">SUMIF('TAREO LUNES'!$C$7:$C$76,'TAREO ACTIVIDADES TOTAL'!C41,'TAREO LUNES'!$E$7:$E$76)+SUMIF('TAREO MARTES'!$C$7:$C$76,'TAREO ACTIVIDADES TOTAL'!C41,'TAREO MARTES'!$E$7:$E$76)+SUMIF('TAREO MIERCOLES'!$C$7:$C$76,'TAREO ACTIVIDADES TOTAL'!C41,'TAREO MIERCOLES'!$E$7:$E$76)+SUMIF('TAREO JUEVES'!$C$7:$C$76,'TAREO ACTIVIDADES TOTAL'!C41,'TAREO JUEVES'!$E$7:$E$76)+SUMIF('TAREO VIERNES'!$C$7:$C$76,'TAREO ACTIVIDADES TOTAL'!C41,'TAREO VIERNES'!$E$7:$E$56)+SUMIF('TAREO SABADO'!$C$7:$C$76,'TAREO ACTIVIDADES TOTAL'!C41,'TAREO SABADO'!$E$7:$E$56)</f>
        <v>0</v>
      </c>
    </row>
    <row r="42" spans="1:85" s="57" customFormat="1">
      <c r="A42" s="29"/>
      <c r="B42" s="36">
        <f t="shared" si="0"/>
        <v>36</v>
      </c>
      <c r="C42" s="37" t="s">
        <v>3570</v>
      </c>
      <c r="D42" s="483" t="s">
        <v>3520</v>
      </c>
      <c r="E42" s="486">
        <f ca="1">SUMIF('TAREO LUNES'!$C$7:$C$76,'TAREO ACTIVIDADES TOTAL'!C42,'TAREO LUNES'!$E$7:$E$76)+SUMIF('TAREO MARTES'!$C$7:$C$76,'TAREO ACTIVIDADES TOTAL'!C42,'TAREO MARTES'!$E$7:$E$76)+SUMIF('TAREO MIERCOLES'!$C$7:$C$76,'TAREO ACTIVIDADES TOTAL'!C42,'TAREO MIERCOLES'!$E$7:$E$76)+SUMIF('TAREO JUEVES'!$C$7:$C$76,'TAREO ACTIVIDADES TOTAL'!C42,'TAREO JUEVES'!$E$7:$E$76)+SUMIF('TAREO VIERNES'!$C$7:$C$76,'TAREO ACTIVIDADES TOTAL'!C42,'TAREO VIERNES'!$E$7:$E$56)+SUMIF('TAREO SABADO'!$C$7:$C$76,'TAREO ACTIVIDADES TOTAL'!C42,'TAREO SABADO'!$E$7:$E$56)</f>
        <v>0</v>
      </c>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row>
    <row r="43" spans="1:85" s="57" customFormat="1">
      <c r="A43" s="29"/>
      <c r="B43" s="36">
        <f t="shared" si="0"/>
        <v>37</v>
      </c>
      <c r="C43" s="37" t="s">
        <v>3571</v>
      </c>
      <c r="D43" s="483" t="s">
        <v>3520</v>
      </c>
      <c r="E43" s="486">
        <f ca="1">SUMIF('TAREO LUNES'!$C$7:$C$76,'TAREO ACTIVIDADES TOTAL'!C43,'TAREO LUNES'!$E$7:$E$76)+SUMIF('TAREO MARTES'!$C$7:$C$76,'TAREO ACTIVIDADES TOTAL'!C43,'TAREO MARTES'!$E$7:$E$76)+SUMIF('TAREO MIERCOLES'!$C$7:$C$76,'TAREO ACTIVIDADES TOTAL'!C43,'TAREO MIERCOLES'!$E$7:$E$76)+SUMIF('TAREO JUEVES'!$C$7:$C$76,'TAREO ACTIVIDADES TOTAL'!C43,'TAREO JUEVES'!$E$7:$E$76)+SUMIF('TAREO VIERNES'!$C$7:$C$76,'TAREO ACTIVIDADES TOTAL'!C43,'TAREO VIERNES'!$E$7:$E$56)+SUMIF('TAREO SABADO'!$C$7:$C$76,'TAREO ACTIVIDADES TOTAL'!C43,'TAREO SABADO'!$E$7:$E$56)</f>
        <v>0</v>
      </c>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row>
    <row r="44" spans="1:85">
      <c r="B44" s="36">
        <f t="shared" si="0"/>
        <v>38</v>
      </c>
      <c r="C44" s="37" t="s">
        <v>3534</v>
      </c>
      <c r="D44" s="484" t="s">
        <v>834</v>
      </c>
      <c r="E44" s="486">
        <f ca="1">SUMIF('TAREO LUNES'!$C$7:$C$76,'TAREO ACTIVIDADES TOTAL'!C44,'TAREO LUNES'!$E$7:$E$76)+SUMIF('TAREO MARTES'!$C$7:$C$76,'TAREO ACTIVIDADES TOTAL'!C44,'TAREO MARTES'!$E$7:$E$76)+SUMIF('TAREO MIERCOLES'!$C$7:$C$76,'TAREO ACTIVIDADES TOTAL'!C44,'TAREO MIERCOLES'!$E$7:$E$76)+SUMIF('TAREO JUEVES'!$C$7:$C$76,'TAREO ACTIVIDADES TOTAL'!C44,'TAREO JUEVES'!$E$7:$E$76)+SUMIF('TAREO VIERNES'!$C$7:$C$76,'TAREO ACTIVIDADES TOTAL'!C44,'TAREO VIERNES'!$E$7:$E$56)+SUMIF('TAREO SABADO'!$C$7:$C$76,'TAREO ACTIVIDADES TOTAL'!C44,'TAREO SABADO'!$E$7:$E$56)</f>
        <v>0</v>
      </c>
    </row>
    <row r="45" spans="1:85">
      <c r="B45" s="36">
        <f t="shared" si="0"/>
        <v>39</v>
      </c>
      <c r="C45" s="503" t="s">
        <v>3572</v>
      </c>
      <c r="D45" s="484" t="s">
        <v>839</v>
      </c>
      <c r="E45" s="486">
        <f ca="1">SUMIF('TAREO LUNES'!$C$7:$C$76,'TAREO ACTIVIDADES TOTAL'!C45,'TAREO LUNES'!$E$7:$E$76)+SUMIF('TAREO MARTES'!$C$7:$C$76,'TAREO ACTIVIDADES TOTAL'!C45,'TAREO MARTES'!$E$7:$E$76)+SUMIF('TAREO MIERCOLES'!$C$7:$C$76,'TAREO ACTIVIDADES TOTAL'!C45,'TAREO MIERCOLES'!$E$7:$E$76)+SUMIF('TAREO JUEVES'!$C$7:$C$76,'TAREO ACTIVIDADES TOTAL'!C45,'TAREO JUEVES'!$E$7:$E$76)+SUMIF('TAREO VIERNES'!$C$7:$C$76,'TAREO ACTIVIDADES TOTAL'!C45,'TAREO VIERNES'!$E$7:$E$56)+SUMIF('TAREO SABADO'!$C$7:$C$76,'TAREO ACTIVIDADES TOTAL'!C45,'TAREO SABADO'!$E$7:$E$56)</f>
        <v>0</v>
      </c>
    </row>
    <row r="46" spans="1:85" s="57" customFormat="1">
      <c r="A46" s="29"/>
      <c r="B46" s="36">
        <f t="shared" si="0"/>
        <v>40</v>
      </c>
      <c r="C46" s="37" t="s">
        <v>3550</v>
      </c>
      <c r="D46" s="484" t="s">
        <v>3543</v>
      </c>
      <c r="E46" s="486">
        <f ca="1">SUMIF('TAREO LUNES'!$C$7:$C$76,'TAREO ACTIVIDADES TOTAL'!C46,'TAREO LUNES'!$E$7:$E$76)+SUMIF('TAREO MARTES'!$C$7:$C$76,'TAREO ACTIVIDADES TOTAL'!C46,'TAREO MARTES'!$E$7:$E$76)+SUMIF('TAREO MIERCOLES'!$C$7:$C$76,'TAREO ACTIVIDADES TOTAL'!C46,'TAREO MIERCOLES'!$E$7:$E$76)+SUMIF('TAREO JUEVES'!$C$7:$C$76,'TAREO ACTIVIDADES TOTAL'!C46,'TAREO JUEVES'!$E$7:$E$76)+SUMIF('TAREO VIERNES'!$C$7:$C$76,'TAREO ACTIVIDADES TOTAL'!C46,'TAREO VIERNES'!$E$7:$E$56)+SUMIF('TAREO SABADO'!$C$7:$C$76,'TAREO ACTIVIDADES TOTAL'!C46,'TAREO SABADO'!$E$7:$E$56)</f>
        <v>0</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row>
    <row r="47" spans="1:85">
      <c r="B47" s="36">
        <f t="shared" si="0"/>
        <v>41</v>
      </c>
      <c r="C47" s="37" t="s">
        <v>3535</v>
      </c>
      <c r="D47" s="484" t="s">
        <v>834</v>
      </c>
      <c r="E47" s="486">
        <f ca="1">SUMIF('TAREO LUNES'!$C$7:$C$76,'TAREO ACTIVIDADES TOTAL'!C47,'TAREO LUNES'!$E$7:$E$76)+SUMIF('TAREO MARTES'!$C$7:$C$76,'TAREO ACTIVIDADES TOTAL'!C47,'TAREO MARTES'!$E$7:$E$76)+SUMIF('TAREO MIERCOLES'!$C$7:$C$76,'TAREO ACTIVIDADES TOTAL'!C47,'TAREO MIERCOLES'!$E$7:$E$76)+SUMIF('TAREO JUEVES'!$C$7:$C$76,'TAREO ACTIVIDADES TOTAL'!C47,'TAREO JUEVES'!$E$7:$E$76)+SUMIF('TAREO VIERNES'!$C$7:$C$76,'TAREO ACTIVIDADES TOTAL'!C47,'TAREO VIERNES'!$E$7:$E$56)+SUMIF('TAREO SABADO'!$C$7:$C$76,'TAREO ACTIVIDADES TOTAL'!C47,'TAREO SABADO'!$E$7:$E$56)</f>
        <v>0</v>
      </c>
    </row>
    <row r="48" spans="1:85" s="57" customFormat="1">
      <c r="A48" s="29"/>
      <c r="B48" s="36">
        <f t="shared" si="0"/>
        <v>42</v>
      </c>
      <c r="C48" s="503" t="s">
        <v>3573</v>
      </c>
      <c r="D48" s="504" t="s">
        <v>1938</v>
      </c>
      <c r="E48" s="486">
        <f ca="1">SUMIF('TAREO LUNES'!$C$7:$C$76,'TAREO ACTIVIDADES TOTAL'!C48,'TAREO LUNES'!$E$7:$E$76)+SUMIF('TAREO MARTES'!$C$7:$C$76,'TAREO ACTIVIDADES TOTAL'!C48,'TAREO MARTES'!$E$7:$E$76)+SUMIF('TAREO MIERCOLES'!$C$7:$C$76,'TAREO ACTIVIDADES TOTAL'!C48,'TAREO MIERCOLES'!$E$7:$E$76)+SUMIF('TAREO JUEVES'!$C$7:$C$76,'TAREO ACTIVIDADES TOTAL'!C48,'TAREO JUEVES'!$E$7:$E$76)+SUMIF('TAREO VIERNES'!$C$7:$C$76,'TAREO ACTIVIDADES TOTAL'!C48,'TAREO VIERNES'!$E$7:$E$56)+SUMIF('TAREO SABADO'!$C$7:$C$76,'TAREO ACTIVIDADES TOTAL'!C48,'TAREO SABADO'!$E$7:$E$56)</f>
        <v>0</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row>
    <row r="49" spans="2:8">
      <c r="B49" s="36">
        <f t="shared" si="0"/>
        <v>43</v>
      </c>
      <c r="C49" s="503" t="s">
        <v>3538</v>
      </c>
      <c r="D49" s="504" t="s">
        <v>948</v>
      </c>
      <c r="E49" s="486">
        <f ca="1">SUMIF('TAREO LUNES'!$C$7:$C$76,'TAREO ACTIVIDADES TOTAL'!C49,'TAREO LUNES'!$E$7:$E$76)+SUMIF('TAREO MARTES'!$C$7:$C$76,'TAREO ACTIVIDADES TOTAL'!C49,'TAREO MARTES'!$E$7:$E$76)+SUMIF('TAREO MIERCOLES'!$C$7:$C$76,'TAREO ACTIVIDADES TOTAL'!C49,'TAREO MIERCOLES'!$E$7:$E$76)+SUMIF('TAREO JUEVES'!$C$7:$C$76,'TAREO ACTIVIDADES TOTAL'!C49,'TAREO JUEVES'!$E$7:$E$76)+SUMIF('TAREO VIERNES'!$C$7:$C$76,'TAREO ACTIVIDADES TOTAL'!C49,'TAREO VIERNES'!$E$7:$E$56)+SUMIF('TAREO SABADO'!$C$7:$C$76,'TAREO ACTIVIDADES TOTAL'!C49,'TAREO SABADO'!$E$7:$E$56)</f>
        <v>0</v>
      </c>
    </row>
    <row r="50" spans="2:8">
      <c r="B50" s="36">
        <f t="shared" si="0"/>
        <v>44</v>
      </c>
      <c r="C50" s="503" t="s">
        <v>3584</v>
      </c>
      <c r="D50" s="504" t="s">
        <v>73</v>
      </c>
      <c r="E50" s="486">
        <f ca="1">SUMIF('TAREO LUNES'!$C$7:$C$76,'TAREO ACTIVIDADES TOTAL'!C50,'TAREO LUNES'!$E$7:$E$76)+SUMIF('TAREO MARTES'!$C$7:$C$76,'TAREO ACTIVIDADES TOTAL'!C50,'TAREO MARTES'!$E$7:$E$76)+SUMIF('TAREO MIERCOLES'!$C$7:$C$76,'TAREO ACTIVIDADES TOTAL'!C50,'TAREO MIERCOLES'!$E$7:$E$76)+SUMIF('TAREO JUEVES'!$C$7:$C$76,'TAREO ACTIVIDADES TOTAL'!C50,'TAREO JUEVES'!$E$7:$E$76)+SUMIF('TAREO VIERNES'!$C$7:$C$76,'TAREO ACTIVIDADES TOTAL'!C50,'TAREO VIERNES'!$E$7:$E$56)+SUMIF('TAREO SABADO'!$C$7:$C$76,'TAREO ACTIVIDADES TOTAL'!C50,'TAREO SABADO'!$E$7:$E$56)</f>
        <v>0</v>
      </c>
    </row>
    <row r="51" spans="2:8">
      <c r="B51" s="36">
        <f t="shared" si="0"/>
        <v>45</v>
      </c>
      <c r="C51" s="503" t="s">
        <v>3583</v>
      </c>
      <c r="D51" s="504" t="s">
        <v>1243</v>
      </c>
      <c r="E51" s="486">
        <f ca="1">SUMIF('TAREO LUNES'!$C$7:$C$76,'TAREO ACTIVIDADES TOTAL'!C51,'TAREO LUNES'!$E$7:$E$76)+SUMIF('TAREO MARTES'!$C$7:$C$76,'TAREO ACTIVIDADES TOTAL'!C51,'TAREO MARTES'!$E$7:$E$76)+SUMIF('TAREO MIERCOLES'!$C$7:$C$76,'TAREO ACTIVIDADES TOTAL'!C51,'TAREO MIERCOLES'!$E$7:$E$76)+SUMIF('TAREO JUEVES'!$C$7:$C$76,'TAREO ACTIVIDADES TOTAL'!C51,'TAREO JUEVES'!$E$7:$E$76)+SUMIF('TAREO VIERNES'!$C$7:$C$76,'TAREO ACTIVIDADES TOTAL'!C51,'TAREO VIERNES'!$E$7:$E$56)+SUMIF('TAREO SABADO'!$C$7:$C$76,'TAREO ACTIVIDADES TOTAL'!C51,'TAREO SABADO'!$E$7:$E$56)</f>
        <v>0</v>
      </c>
    </row>
    <row r="52" spans="2:8">
      <c r="B52" s="36">
        <f t="shared" si="0"/>
        <v>46</v>
      </c>
      <c r="C52" s="503" t="s">
        <v>3574</v>
      </c>
      <c r="D52" s="504" t="s">
        <v>929</v>
      </c>
      <c r="E52" s="486">
        <f ca="1">SUMIF('TAREO LUNES'!$C$7:$C$76,'TAREO ACTIVIDADES TOTAL'!C52,'TAREO LUNES'!$E$7:$E$76)+SUMIF('TAREO MARTES'!$C$7:$C$76,'TAREO ACTIVIDADES TOTAL'!C52,'TAREO MARTES'!$E$7:$E$76)+SUMIF('TAREO MIERCOLES'!$C$7:$C$76,'TAREO ACTIVIDADES TOTAL'!C52,'TAREO MIERCOLES'!$E$7:$E$76)+SUMIF('TAREO JUEVES'!$C$7:$C$76,'TAREO ACTIVIDADES TOTAL'!C52,'TAREO JUEVES'!$E$7:$E$76)+SUMIF('TAREO VIERNES'!$C$7:$C$76,'TAREO ACTIVIDADES TOTAL'!C52,'TAREO VIERNES'!$E$7:$E$56)+SUMIF('TAREO SABADO'!$C$7:$C$76,'TAREO ACTIVIDADES TOTAL'!C52,'TAREO SABADO'!$E$7:$E$56)</f>
        <v>0</v>
      </c>
    </row>
    <row r="53" spans="2:8">
      <c r="B53" s="36">
        <f t="shared" si="0"/>
        <v>47</v>
      </c>
      <c r="C53" s="503" t="s">
        <v>3539</v>
      </c>
      <c r="D53" s="483" t="s">
        <v>873</v>
      </c>
      <c r="E53" s="486">
        <f ca="1">SUMIF('TAREO LUNES'!$C$7:$C$76,'TAREO ACTIVIDADES TOTAL'!C53,'TAREO LUNES'!$E$7:$E$76)+SUMIF('TAREO MARTES'!$C$7:$C$76,'TAREO ACTIVIDADES TOTAL'!C53,'TAREO MARTES'!$E$7:$E$76)+SUMIF('TAREO MIERCOLES'!$C$7:$C$76,'TAREO ACTIVIDADES TOTAL'!C53,'TAREO MIERCOLES'!$E$7:$E$76)+SUMIF('TAREO JUEVES'!$C$7:$C$76,'TAREO ACTIVIDADES TOTAL'!C53,'TAREO JUEVES'!$E$7:$E$76)+SUMIF('TAREO VIERNES'!$C$7:$C$76,'TAREO ACTIVIDADES TOTAL'!C53,'TAREO VIERNES'!$E$7:$E$56)+SUMIF('TAREO SABADO'!$C$7:$C$76,'TAREO ACTIVIDADES TOTAL'!C53,'TAREO SABADO'!$E$7:$E$56)</f>
        <v>0</v>
      </c>
      <c r="H53" s="109"/>
    </row>
    <row r="54" spans="2:8">
      <c r="B54" s="36">
        <f t="shared" si="0"/>
        <v>48</v>
      </c>
      <c r="C54" s="37" t="s">
        <v>3545</v>
      </c>
      <c r="D54" s="484" t="s">
        <v>1354</v>
      </c>
      <c r="E54" s="486">
        <f ca="1">SUMIF('TAREO LUNES'!$C$7:$C$76,'TAREO ACTIVIDADES TOTAL'!C54,'TAREO LUNES'!$E$7:$E$76)+SUMIF('TAREO MARTES'!$C$7:$C$76,'TAREO ACTIVIDADES TOTAL'!C54,'TAREO MARTES'!$E$7:$E$76)+SUMIF('TAREO MIERCOLES'!$C$7:$C$76,'TAREO ACTIVIDADES TOTAL'!C54,'TAREO MIERCOLES'!$E$7:$E$76)+SUMIF('TAREO JUEVES'!$C$7:$C$76,'TAREO ACTIVIDADES TOTAL'!C54,'TAREO JUEVES'!$E$7:$E$76)+SUMIF('TAREO VIERNES'!$C$7:$C$76,'TAREO ACTIVIDADES TOTAL'!C54,'TAREO VIERNES'!$E$7:$E$56)+SUMIF('TAREO SABADO'!$C$7:$C$76,'TAREO ACTIVIDADES TOTAL'!C54,'TAREO SABADO'!$E$7:$E$56)</f>
        <v>17</v>
      </c>
      <c r="H54" s="109"/>
    </row>
    <row r="55" spans="2:8">
      <c r="B55" s="36">
        <f t="shared" si="0"/>
        <v>49</v>
      </c>
      <c r="C55" s="37" t="s">
        <v>3582</v>
      </c>
      <c r="D55" s="504" t="s">
        <v>873</v>
      </c>
      <c r="E55" s="486">
        <f ca="1">SUMIF('TAREO LUNES'!$C$7:$C$76,'TAREO ACTIVIDADES TOTAL'!C55,'TAREO LUNES'!$E$7:$E$76)+SUMIF('TAREO MARTES'!$C$7:$C$76,'TAREO ACTIVIDADES TOTAL'!C55,'TAREO MARTES'!$E$7:$E$76)+SUMIF('TAREO MIERCOLES'!$C$7:$C$76,'TAREO ACTIVIDADES TOTAL'!C55,'TAREO MIERCOLES'!$E$7:$E$76)+SUMIF('TAREO JUEVES'!$C$7:$C$76,'TAREO ACTIVIDADES TOTAL'!C55,'TAREO JUEVES'!$E$7:$E$76)+SUMIF('TAREO VIERNES'!$C$7:$C$76,'TAREO ACTIVIDADES TOTAL'!C55,'TAREO VIERNES'!$E$7:$E$56)+SUMIF('TAREO SABADO'!$C$7:$C$76,'TAREO ACTIVIDADES TOTAL'!C55,'TAREO SABADO'!$E$7:$E$56)</f>
        <v>0</v>
      </c>
      <c r="H55" s="109"/>
    </row>
    <row r="56" spans="2:8">
      <c r="B56" s="36">
        <f t="shared" si="0"/>
        <v>50</v>
      </c>
      <c r="C56" s="37" t="s">
        <v>3581</v>
      </c>
      <c r="D56" s="504" t="s">
        <v>3580</v>
      </c>
      <c r="E56" s="486">
        <f ca="1">SUMIF('TAREO LUNES'!$C$7:$C$76,'TAREO ACTIVIDADES TOTAL'!C56,'TAREO LUNES'!$E$7:$E$76)+SUMIF('TAREO MARTES'!$C$7:$C$76,'TAREO ACTIVIDADES TOTAL'!C56,'TAREO MARTES'!$E$7:$E$76)+SUMIF('TAREO MIERCOLES'!$C$7:$C$76,'TAREO ACTIVIDADES TOTAL'!C56,'TAREO MIERCOLES'!$E$7:$E$76)+SUMIF('TAREO JUEVES'!$C$7:$C$76,'TAREO ACTIVIDADES TOTAL'!C56,'TAREO JUEVES'!$E$7:$E$76)+SUMIF('TAREO VIERNES'!$C$7:$C$76,'TAREO ACTIVIDADES TOTAL'!C56,'TAREO VIERNES'!$E$7:$E$56)+SUMIF('TAREO SABADO'!$C$7:$C$76,'TAREO ACTIVIDADES TOTAL'!C56,'TAREO SABADO'!$E$7:$E$56)</f>
        <v>0</v>
      </c>
      <c r="H56" s="109"/>
    </row>
    <row r="57" spans="2:8">
      <c r="B57" s="36">
        <f t="shared" si="0"/>
        <v>51</v>
      </c>
      <c r="C57" s="37" t="s">
        <v>3579</v>
      </c>
      <c r="D57" s="484" t="s">
        <v>3580</v>
      </c>
      <c r="E57" s="486">
        <f ca="1">SUMIF('TAREO LUNES'!$C$7:$C$76,'TAREO ACTIVIDADES TOTAL'!C57,'TAREO LUNES'!$E$7:$E$76)+SUMIF('TAREO MARTES'!$C$7:$C$76,'TAREO ACTIVIDADES TOTAL'!C57,'TAREO MARTES'!$E$7:$E$76)+SUMIF('TAREO MIERCOLES'!$C$7:$C$76,'TAREO ACTIVIDADES TOTAL'!C57,'TAREO MIERCOLES'!$E$7:$E$76)+SUMIF('TAREO JUEVES'!$C$7:$C$76,'TAREO ACTIVIDADES TOTAL'!C57,'TAREO JUEVES'!$E$7:$E$76)+SUMIF('TAREO VIERNES'!$C$7:$C$76,'TAREO ACTIVIDADES TOTAL'!C57,'TAREO VIERNES'!$E$7:$E$56)+SUMIF('TAREO SABADO'!$C$7:$C$76,'TAREO ACTIVIDADES TOTAL'!C57,'TAREO SABADO'!$E$7:$E$56)</f>
        <v>0</v>
      </c>
      <c r="H57" s="109"/>
    </row>
    <row r="58" spans="2:8">
      <c r="B58" s="36">
        <f t="shared" si="0"/>
        <v>52</v>
      </c>
      <c r="C58" s="503" t="s">
        <v>3546</v>
      </c>
      <c r="D58" s="483" t="s">
        <v>855</v>
      </c>
      <c r="E58" s="486">
        <f ca="1">SUMIF('TAREO LUNES'!$C$7:$C$76,'TAREO ACTIVIDADES TOTAL'!C58,'TAREO LUNES'!$E$7:$E$76)+SUMIF('TAREO MARTES'!$C$7:$C$76,'TAREO ACTIVIDADES TOTAL'!C58,'TAREO MARTES'!$E$7:$E$76)+SUMIF('TAREO MIERCOLES'!$C$7:$C$76,'TAREO ACTIVIDADES TOTAL'!C58,'TAREO MIERCOLES'!$E$7:$E$76)+SUMIF('TAREO JUEVES'!$C$7:$C$76,'TAREO ACTIVIDADES TOTAL'!C58,'TAREO JUEVES'!$E$7:$E$76)+SUMIF('TAREO VIERNES'!$C$7:$C$76,'TAREO ACTIVIDADES TOTAL'!C58,'TAREO VIERNES'!$E$7:$E$56)+SUMIF('TAREO SABADO'!$C$7:$C$76,'TAREO ACTIVIDADES TOTAL'!C58,'TAREO SABADO'!$E$7:$E$56)</f>
        <v>0</v>
      </c>
      <c r="H58" s="109"/>
    </row>
    <row r="59" spans="2:8">
      <c r="B59" s="36">
        <f t="shared" si="0"/>
        <v>53</v>
      </c>
      <c r="C59" s="503" t="s">
        <v>3547</v>
      </c>
      <c r="D59" s="483" t="s">
        <v>61</v>
      </c>
      <c r="E59" s="486">
        <f ca="1">SUMIF('TAREO LUNES'!$C$7:$C$76,'TAREO ACTIVIDADES TOTAL'!C59,'TAREO LUNES'!$E$7:$E$76)+SUMIF('TAREO MARTES'!$C$7:$C$76,'TAREO ACTIVIDADES TOTAL'!C59,'TAREO MARTES'!$E$7:$E$76)+SUMIF('TAREO MIERCOLES'!$C$7:$C$76,'TAREO ACTIVIDADES TOTAL'!C59,'TAREO MIERCOLES'!$E$7:$E$76)+SUMIF('TAREO JUEVES'!$C$7:$C$76,'TAREO ACTIVIDADES TOTAL'!C59,'TAREO JUEVES'!$E$7:$E$76)+SUMIF('TAREO VIERNES'!$C$7:$C$76,'TAREO ACTIVIDADES TOTAL'!C59,'TAREO VIERNES'!$E$7:$E$56)+SUMIF('TAREO SABADO'!$C$7:$C$76,'TAREO ACTIVIDADES TOTAL'!C59,'TAREO SABADO'!$E$7:$E$56)</f>
        <v>0</v>
      </c>
      <c r="H59" s="109"/>
    </row>
    <row r="60" spans="2:8">
      <c r="B60" s="36">
        <f t="shared" si="0"/>
        <v>54</v>
      </c>
      <c r="C60" s="503" t="s">
        <v>3548</v>
      </c>
      <c r="D60" s="483" t="s">
        <v>60</v>
      </c>
      <c r="E60" s="486">
        <f ca="1">SUMIF('TAREO LUNES'!$C$7:$C$76,'TAREO ACTIVIDADES TOTAL'!C60,'TAREO LUNES'!$E$7:$E$76)+SUMIF('TAREO MARTES'!$C$7:$C$76,'TAREO ACTIVIDADES TOTAL'!C60,'TAREO MARTES'!$E$7:$E$76)+SUMIF('TAREO MIERCOLES'!$C$7:$C$76,'TAREO ACTIVIDADES TOTAL'!C60,'TAREO MIERCOLES'!$E$7:$E$76)+SUMIF('TAREO JUEVES'!$C$7:$C$76,'TAREO ACTIVIDADES TOTAL'!C60,'TAREO JUEVES'!$E$7:$E$76)+SUMIF('TAREO VIERNES'!$C$7:$C$76,'TAREO ACTIVIDADES TOTAL'!C60,'TAREO VIERNES'!$E$7:$E$56)+SUMIF('TAREO SABADO'!$C$7:$C$76,'TAREO ACTIVIDADES TOTAL'!C60,'TAREO SABADO'!$E$7:$E$56)</f>
        <v>0</v>
      </c>
      <c r="H60" s="109"/>
    </row>
    <row r="61" spans="2:8">
      <c r="B61" s="36">
        <f t="shared" si="0"/>
        <v>55</v>
      </c>
      <c r="C61" s="503" t="s">
        <v>3557</v>
      </c>
      <c r="D61" s="504" t="s">
        <v>929</v>
      </c>
      <c r="E61" s="486">
        <f ca="1">SUMIF('TAREO LUNES'!$C$7:$C$76,'TAREO ACTIVIDADES TOTAL'!C61,'TAREO LUNES'!$E$7:$E$76)+SUMIF('TAREO MARTES'!$C$7:$C$76,'TAREO ACTIVIDADES TOTAL'!C61,'TAREO MARTES'!$E$7:$E$76)+SUMIF('TAREO MIERCOLES'!$C$7:$C$76,'TAREO ACTIVIDADES TOTAL'!C61,'TAREO MIERCOLES'!$E$7:$E$76)+SUMIF('TAREO JUEVES'!$C$7:$C$76,'TAREO ACTIVIDADES TOTAL'!C61,'TAREO JUEVES'!$E$7:$E$76)+SUMIF('TAREO VIERNES'!$C$7:$C$76,'TAREO ACTIVIDADES TOTAL'!C61,'TAREO VIERNES'!$E$7:$E$56)+SUMIF('TAREO SABADO'!$C$7:$C$76,'TAREO ACTIVIDADES TOTAL'!C61,'TAREO SABADO'!$E$7:$E$56)</f>
        <v>0</v>
      </c>
      <c r="H61" s="109"/>
    </row>
    <row r="62" spans="2:8">
      <c r="B62" s="36">
        <f t="shared" si="0"/>
        <v>56</v>
      </c>
      <c r="C62" s="503" t="s">
        <v>3558</v>
      </c>
      <c r="D62" s="484" t="s">
        <v>873</v>
      </c>
      <c r="E62" s="486">
        <f ca="1">SUMIF('TAREO LUNES'!$C$7:$C$76,'TAREO ACTIVIDADES TOTAL'!C62,'TAREO LUNES'!$E$7:$E$76)+SUMIF('TAREO MARTES'!$C$7:$C$76,'TAREO ACTIVIDADES TOTAL'!C62,'TAREO MARTES'!$E$7:$E$76)+SUMIF('TAREO MIERCOLES'!$C$7:$C$76,'TAREO ACTIVIDADES TOTAL'!C62,'TAREO MIERCOLES'!$E$7:$E$76)+SUMIF('TAREO JUEVES'!$C$7:$C$76,'TAREO ACTIVIDADES TOTAL'!C62,'TAREO JUEVES'!$E$7:$E$76)+SUMIF('TAREO VIERNES'!$C$7:$C$76,'TAREO ACTIVIDADES TOTAL'!C62,'TAREO VIERNES'!$E$7:$E$56)+SUMIF('TAREO SABADO'!$C$7:$C$76,'TAREO ACTIVIDADES TOTAL'!C62,'TAREO SABADO'!$E$7:$E$56)</f>
        <v>0</v>
      </c>
      <c r="H62" s="109"/>
    </row>
    <row r="63" spans="2:8">
      <c r="B63" s="36">
        <f t="shared" si="0"/>
        <v>57</v>
      </c>
      <c r="C63" s="503" t="s">
        <v>3591</v>
      </c>
      <c r="D63" s="504" t="s">
        <v>929</v>
      </c>
      <c r="E63" s="486">
        <f ca="1">SUMIF('TAREO LUNES'!$C$7:$C$76,'TAREO ACTIVIDADES TOTAL'!C63,'TAREO LUNES'!$E$7:$E$76)+SUMIF('TAREO MARTES'!$C$7:$C$76,'TAREO ACTIVIDADES TOTAL'!C63,'TAREO MARTES'!$E$7:$E$76)+SUMIF('TAREO MIERCOLES'!$C$7:$C$76,'TAREO ACTIVIDADES TOTAL'!C63,'TAREO MIERCOLES'!$E$7:$E$76)+SUMIF('TAREO JUEVES'!$C$7:$C$76,'TAREO ACTIVIDADES TOTAL'!C63,'TAREO JUEVES'!$E$7:$E$76)+SUMIF('TAREO VIERNES'!$C$7:$C$76,'TAREO ACTIVIDADES TOTAL'!C63,'TAREO VIERNES'!$E$7:$E$56)+SUMIF('TAREO SABADO'!$C$7:$C$76,'TAREO ACTIVIDADES TOTAL'!C63,'TAREO SABADO'!$E$7:$E$56)</f>
        <v>0</v>
      </c>
      <c r="H63" s="109"/>
    </row>
    <row r="64" spans="2:8">
      <c r="B64" s="36">
        <f t="shared" si="0"/>
        <v>58</v>
      </c>
      <c r="C64" s="503" t="s">
        <v>3560</v>
      </c>
      <c r="D64" s="504" t="s">
        <v>873</v>
      </c>
      <c r="E64" s="486">
        <f ca="1">SUMIF('TAREO LUNES'!$C$7:$C$76,'TAREO ACTIVIDADES TOTAL'!C64,'TAREO LUNES'!$E$7:$E$76)+SUMIF('TAREO MARTES'!$C$7:$C$76,'TAREO ACTIVIDADES TOTAL'!C64,'TAREO MARTES'!$E$7:$E$76)+SUMIF('TAREO MIERCOLES'!$C$7:$C$76,'TAREO ACTIVIDADES TOTAL'!C64,'TAREO MIERCOLES'!$E$7:$E$76)+SUMIF('TAREO JUEVES'!$C$7:$C$76,'TAREO ACTIVIDADES TOTAL'!C64,'TAREO JUEVES'!$E$7:$E$76)+SUMIF('TAREO VIERNES'!$C$7:$C$76,'TAREO ACTIVIDADES TOTAL'!C64,'TAREO VIERNES'!$E$7:$E$56)+SUMIF('TAREO SABADO'!$C$7:$C$76,'TAREO ACTIVIDADES TOTAL'!C64,'TAREO SABADO'!$E$7:$E$56)</f>
        <v>0</v>
      </c>
      <c r="H64" s="109"/>
    </row>
    <row r="65" spans="2:8">
      <c r="B65" s="36">
        <f t="shared" si="0"/>
        <v>59</v>
      </c>
      <c r="C65" s="503" t="s">
        <v>3561</v>
      </c>
      <c r="D65" s="504" t="s">
        <v>873</v>
      </c>
      <c r="E65" s="486">
        <f ca="1">SUMIF('TAREO LUNES'!$C$7:$C$76,'TAREO ACTIVIDADES TOTAL'!C65,'TAREO LUNES'!$E$7:$E$76)+SUMIF('TAREO MARTES'!$C$7:$C$76,'TAREO ACTIVIDADES TOTAL'!C65,'TAREO MARTES'!$E$7:$E$76)+SUMIF('TAREO MIERCOLES'!$C$7:$C$76,'TAREO ACTIVIDADES TOTAL'!C65,'TAREO MIERCOLES'!$E$7:$E$76)+SUMIF('TAREO JUEVES'!$C$7:$C$76,'TAREO ACTIVIDADES TOTAL'!C65,'TAREO JUEVES'!$E$7:$E$76)+SUMIF('TAREO VIERNES'!$C$7:$C$76,'TAREO ACTIVIDADES TOTAL'!C65,'TAREO VIERNES'!$E$7:$E$56)+SUMIF('TAREO SABADO'!$C$7:$C$76,'TAREO ACTIVIDADES TOTAL'!C65,'TAREO SABADO'!$E$7:$E$56)</f>
        <v>8.5</v>
      </c>
      <c r="H65" s="109"/>
    </row>
    <row r="66" spans="2:8">
      <c r="B66" s="36">
        <f t="shared" si="0"/>
        <v>60</v>
      </c>
      <c r="C66" s="503" t="s">
        <v>3559</v>
      </c>
      <c r="D66" s="504" t="s">
        <v>60</v>
      </c>
      <c r="E66" s="486">
        <f ca="1">SUMIF('TAREO LUNES'!$C$7:$C$76,'TAREO ACTIVIDADES TOTAL'!C66,'TAREO LUNES'!$E$7:$E$76)+SUMIF('TAREO MARTES'!$C$7:$C$76,'TAREO ACTIVIDADES TOTAL'!C66,'TAREO MARTES'!$E$7:$E$76)+SUMIF('TAREO MIERCOLES'!$C$7:$C$76,'TAREO ACTIVIDADES TOTAL'!C66,'TAREO MIERCOLES'!$E$7:$E$76)+SUMIF('TAREO JUEVES'!$C$7:$C$76,'TAREO ACTIVIDADES TOTAL'!C66,'TAREO JUEVES'!$E$7:$E$76)+SUMIF('TAREO VIERNES'!$C$7:$C$76,'TAREO ACTIVIDADES TOTAL'!C66,'TAREO VIERNES'!$E$7:$E$56)+SUMIF('TAREO SABADO'!$C$7:$C$76,'TAREO ACTIVIDADES TOTAL'!C66,'TAREO SABADO'!$E$7:$E$56)</f>
        <v>0</v>
      </c>
      <c r="H66" s="109"/>
    </row>
    <row r="67" spans="2:8">
      <c r="B67" s="36">
        <f t="shared" si="0"/>
        <v>61</v>
      </c>
      <c r="C67" s="503" t="s">
        <v>3567</v>
      </c>
      <c r="D67" s="504" t="s">
        <v>929</v>
      </c>
      <c r="E67" s="486">
        <f ca="1">SUMIF('TAREO LUNES'!$C$7:$C$76,'TAREO ACTIVIDADES TOTAL'!C67,'TAREO LUNES'!$E$7:$E$76)+SUMIF('TAREO MARTES'!$C$7:$C$76,'TAREO ACTIVIDADES TOTAL'!C67,'TAREO MARTES'!$E$7:$E$76)+SUMIF('TAREO MIERCOLES'!$C$7:$C$76,'TAREO ACTIVIDADES TOTAL'!C67,'TAREO MIERCOLES'!$E$7:$E$76)+SUMIF('TAREO JUEVES'!$C$7:$C$76,'TAREO ACTIVIDADES TOTAL'!C67,'TAREO JUEVES'!$E$7:$E$76)+SUMIF('TAREO VIERNES'!$C$7:$C$76,'TAREO ACTIVIDADES TOTAL'!C67,'TAREO VIERNES'!$E$7:$E$56)+SUMIF('TAREO SABADO'!$C$7:$C$76,'TAREO ACTIVIDADES TOTAL'!C67,'TAREO SABADO'!$E$7:$E$56)</f>
        <v>0</v>
      </c>
      <c r="H67" s="109"/>
    </row>
    <row r="68" spans="2:8">
      <c r="B68" s="36">
        <f t="shared" si="0"/>
        <v>62</v>
      </c>
      <c r="C68" s="503" t="s">
        <v>3566</v>
      </c>
      <c r="D68" s="504" t="s">
        <v>3520</v>
      </c>
      <c r="E68" s="486">
        <f ca="1">SUMIF('TAREO LUNES'!$C$7:$C$76,'TAREO ACTIVIDADES TOTAL'!C68,'TAREO LUNES'!$E$7:$E$76)+SUMIF('TAREO MARTES'!$C$7:$C$76,'TAREO ACTIVIDADES TOTAL'!C68,'TAREO MARTES'!$E$7:$E$76)+SUMIF('TAREO MIERCOLES'!$C$7:$C$76,'TAREO ACTIVIDADES TOTAL'!C68,'TAREO MIERCOLES'!$E$7:$E$76)+SUMIF('TAREO JUEVES'!$C$7:$C$76,'TAREO ACTIVIDADES TOTAL'!C68,'TAREO JUEVES'!$E$7:$E$76)+SUMIF('TAREO VIERNES'!$C$7:$C$76,'TAREO ACTIVIDADES TOTAL'!C68,'TAREO VIERNES'!$E$7:$E$56)+SUMIF('TAREO SABADO'!$C$7:$C$76,'TAREO ACTIVIDADES TOTAL'!C68,'TAREO SABADO'!$E$7:$E$56)</f>
        <v>0</v>
      </c>
      <c r="H68" s="109"/>
    </row>
    <row r="69" spans="2:8">
      <c r="B69" s="36">
        <f t="shared" si="0"/>
        <v>63</v>
      </c>
      <c r="C69" s="503" t="s">
        <v>3565</v>
      </c>
      <c r="D69" s="504" t="s">
        <v>1638</v>
      </c>
      <c r="E69" s="486">
        <f ca="1">SUMIF('TAREO LUNES'!$C$7:$C$76,'TAREO ACTIVIDADES TOTAL'!C69,'TAREO LUNES'!$E$7:$E$76)+SUMIF('TAREO MARTES'!$C$7:$C$76,'TAREO ACTIVIDADES TOTAL'!C69,'TAREO MARTES'!$E$7:$E$76)+SUMIF('TAREO MIERCOLES'!$C$7:$C$76,'TAREO ACTIVIDADES TOTAL'!C69,'TAREO MIERCOLES'!$E$7:$E$76)+SUMIF('TAREO JUEVES'!$C$7:$C$76,'TAREO ACTIVIDADES TOTAL'!C69,'TAREO JUEVES'!$E$7:$E$76)+SUMIF('TAREO VIERNES'!$C$7:$C$76,'TAREO ACTIVIDADES TOTAL'!C69,'TAREO VIERNES'!$E$7:$E$56)+SUMIF('TAREO SABADO'!$C$7:$C$76,'TAREO ACTIVIDADES TOTAL'!C69,'TAREO SABADO'!$E$7:$E$56)</f>
        <v>0</v>
      </c>
      <c r="H69" s="109"/>
    </row>
    <row r="70" spans="2:8">
      <c r="B70" s="36">
        <f t="shared" si="0"/>
        <v>64</v>
      </c>
      <c r="C70" s="503" t="s">
        <v>3564</v>
      </c>
      <c r="D70" s="504" t="s">
        <v>957</v>
      </c>
      <c r="E70" s="486">
        <f ca="1">SUMIF('TAREO LUNES'!$C$7:$C$76,'TAREO ACTIVIDADES TOTAL'!C70,'TAREO LUNES'!$E$7:$E$76)+SUMIF('TAREO MARTES'!$C$7:$C$76,'TAREO ACTIVIDADES TOTAL'!C70,'TAREO MARTES'!$E$7:$E$76)+SUMIF('TAREO MIERCOLES'!$C$7:$C$76,'TAREO ACTIVIDADES TOTAL'!C70,'TAREO MIERCOLES'!$E$7:$E$76)+SUMIF('TAREO JUEVES'!$C$7:$C$76,'TAREO ACTIVIDADES TOTAL'!C70,'TAREO JUEVES'!$E$7:$E$76)+SUMIF('TAREO VIERNES'!$C$7:$C$76,'TAREO ACTIVIDADES TOTAL'!C70,'TAREO VIERNES'!$E$7:$E$56)+SUMIF('TAREO SABADO'!$C$7:$C$76,'TAREO ACTIVIDADES TOTAL'!C70,'TAREO SABADO'!$E$7:$E$56)</f>
        <v>0</v>
      </c>
      <c r="H70" s="109"/>
    </row>
    <row r="71" spans="2:8">
      <c r="B71" s="36">
        <f t="shared" si="0"/>
        <v>65</v>
      </c>
      <c r="C71" s="37" t="s">
        <v>3593</v>
      </c>
      <c r="D71" s="504" t="s">
        <v>3578</v>
      </c>
      <c r="E71" s="486">
        <f ca="1">SUMIF('TAREO LUNES'!$C$7:$C$76,'TAREO ACTIVIDADES TOTAL'!C71,'TAREO LUNES'!$E$7:$E$76)+SUMIF('TAREO MARTES'!$C$7:$C$76,'TAREO ACTIVIDADES TOTAL'!C71,'TAREO MARTES'!$E$7:$E$76)+SUMIF('TAREO MIERCOLES'!$C$7:$C$76,'TAREO ACTIVIDADES TOTAL'!C71,'TAREO MIERCOLES'!$E$7:$E$76)+SUMIF('TAREO JUEVES'!$C$7:$C$76,'TAREO ACTIVIDADES TOTAL'!C71,'TAREO JUEVES'!$E$7:$E$76)+SUMIF('TAREO VIERNES'!$C$7:$C$76,'TAREO ACTIVIDADES TOTAL'!C71,'TAREO VIERNES'!$E$7:$E$56)+SUMIF('TAREO SABADO'!$C$7:$C$76,'TAREO ACTIVIDADES TOTAL'!C71,'TAREO SABADO'!$E$7:$E$56)</f>
        <v>0</v>
      </c>
      <c r="H71" s="109"/>
    </row>
    <row r="72" spans="2:8">
      <c r="B72" s="36">
        <f t="shared" ref="B72:B76" si="1">B71+1</f>
        <v>66</v>
      </c>
      <c r="C72" s="37" t="s">
        <v>3577</v>
      </c>
      <c r="D72" s="484" t="s">
        <v>3578</v>
      </c>
      <c r="E72" s="486">
        <f ca="1">SUMIF('TAREO LUNES'!$C$7:$C$76,'TAREO ACTIVIDADES TOTAL'!C72,'TAREO LUNES'!$E$7:$E$76)+SUMIF('TAREO MARTES'!$C$7:$C$76,'TAREO ACTIVIDADES TOTAL'!C72,'TAREO MARTES'!$E$7:$E$76)+SUMIF('TAREO MIERCOLES'!$C$7:$C$76,'TAREO ACTIVIDADES TOTAL'!C72,'TAREO MIERCOLES'!$E$7:$E$76)+SUMIF('TAREO JUEVES'!$C$7:$C$76,'TAREO ACTIVIDADES TOTAL'!C72,'TAREO JUEVES'!$E$7:$E$76)+SUMIF('TAREO VIERNES'!$C$7:$C$76,'TAREO ACTIVIDADES TOTAL'!C72,'TAREO VIERNES'!$E$7:$E$56)+SUMIF('TAREO SABADO'!$C$7:$C$76,'TAREO ACTIVIDADES TOTAL'!C72,'TAREO SABADO'!$E$7:$E$56)</f>
        <v>0</v>
      </c>
      <c r="H72" s="109"/>
    </row>
    <row r="73" spans="2:8">
      <c r="B73" s="36">
        <f t="shared" si="1"/>
        <v>67</v>
      </c>
      <c r="C73" s="37" t="s">
        <v>3563</v>
      </c>
      <c r="D73" s="504" t="s">
        <v>1938</v>
      </c>
      <c r="E73" s="486">
        <f ca="1">SUMIF('TAREO LUNES'!$C$7:$C$76,'TAREO ACTIVIDADES TOTAL'!C73,'TAREO LUNES'!$E$7:$E$76)+SUMIF('TAREO MARTES'!$C$7:$C$76,'TAREO ACTIVIDADES TOTAL'!C73,'TAREO MARTES'!$E$7:$E$76)+SUMIF('TAREO MIERCOLES'!$C$7:$C$76,'TAREO ACTIVIDADES TOTAL'!C73,'TAREO MIERCOLES'!$E$7:$E$76)+SUMIF('TAREO JUEVES'!$C$7:$C$76,'TAREO ACTIVIDADES TOTAL'!C73,'TAREO JUEVES'!$E$7:$E$76)+SUMIF('TAREO VIERNES'!$C$7:$C$76,'TAREO ACTIVIDADES TOTAL'!C73,'TAREO VIERNES'!$E$7:$E$56)+SUMIF('TAREO SABADO'!$C$7:$C$76,'TAREO ACTIVIDADES TOTAL'!C73,'TAREO SABADO'!$E$7:$E$56)</f>
        <v>0</v>
      </c>
      <c r="H73" s="109"/>
    </row>
    <row r="74" spans="2:8">
      <c r="B74" s="36">
        <f t="shared" si="1"/>
        <v>68</v>
      </c>
      <c r="C74" s="37" t="s">
        <v>3562</v>
      </c>
      <c r="D74" s="484" t="s">
        <v>855</v>
      </c>
      <c r="E74" s="486">
        <f ca="1">SUMIF('TAREO LUNES'!$C$7:$C$76,'TAREO ACTIVIDADES TOTAL'!C74,'TAREO LUNES'!$E$7:$E$76)+SUMIF('TAREO MARTES'!$C$7:$C$76,'TAREO ACTIVIDADES TOTAL'!C74,'TAREO MARTES'!$E$7:$E$76)+SUMIF('TAREO MIERCOLES'!$C$7:$C$76,'TAREO ACTIVIDADES TOTAL'!C74,'TAREO MIERCOLES'!$E$7:$E$76)+SUMIF('TAREO JUEVES'!$C$7:$C$76,'TAREO ACTIVIDADES TOTAL'!C74,'TAREO JUEVES'!$E$7:$E$76)+SUMIF('TAREO VIERNES'!$C$7:$C$76,'TAREO ACTIVIDADES TOTAL'!C74,'TAREO VIERNES'!$E$7:$E$56)+SUMIF('TAREO SABADO'!$C$7:$C$76,'TAREO ACTIVIDADES TOTAL'!C74,'TAREO SABADO'!$E$7:$E$56)</f>
        <v>0</v>
      </c>
      <c r="H74" s="109"/>
    </row>
    <row r="75" spans="2:8">
      <c r="B75" s="36">
        <f t="shared" si="1"/>
        <v>69</v>
      </c>
      <c r="C75" s="37" t="s">
        <v>3592</v>
      </c>
      <c r="D75" s="504" t="s">
        <v>929</v>
      </c>
      <c r="E75" s="486">
        <f ca="1">SUMIF('TAREO LUNES'!$C$7:$C$76,'TAREO ACTIVIDADES TOTAL'!C75,'TAREO LUNES'!$E$7:$E$76)+SUMIF('TAREO MARTES'!$C$7:$C$76,'TAREO ACTIVIDADES TOTAL'!C75,'TAREO MARTES'!$E$7:$E$76)+SUMIF('TAREO MIERCOLES'!$C$7:$C$76,'TAREO ACTIVIDADES TOTAL'!C75,'TAREO MIERCOLES'!$E$7:$E$76)+SUMIF('TAREO JUEVES'!$C$7:$C$76,'TAREO ACTIVIDADES TOTAL'!C75,'TAREO JUEVES'!$E$7:$E$76)+SUMIF('TAREO VIERNES'!$C$7:$C$76,'TAREO ACTIVIDADES TOTAL'!C75,'TAREO VIERNES'!$E$7:$E$56)+SUMIF('TAREO SABADO'!$C$7:$C$76,'TAREO ACTIVIDADES TOTAL'!C75,'TAREO SABADO'!$E$7:$E$56)</f>
        <v>0</v>
      </c>
      <c r="H75" s="109"/>
    </row>
    <row r="76" spans="2:8" ht="10.8" thickBot="1">
      <c r="B76" s="36">
        <f t="shared" si="1"/>
        <v>70</v>
      </c>
      <c r="C76" s="37"/>
      <c r="D76" s="484"/>
      <c r="E76" s="487">
        <f ca="1">SUMIF('TAREO LUNES'!$C$7:$C$76,'TAREO ACTIVIDADES TOTAL'!C76,'TAREO LUNES'!$E$7:$E$76)+SUMIF('TAREO MARTES'!$C$7:$C$76,'TAREO ACTIVIDADES TOTAL'!C76,'TAREO MARTES'!$E$7:$E$76)+SUMIF('TAREO MIERCOLES'!$C$7:$C$76,'TAREO ACTIVIDADES TOTAL'!C76,'TAREO MIERCOLES'!$E$7:$E$76)+SUMIF('TAREO JUEVES'!$C$7:$C$76,'TAREO ACTIVIDADES TOTAL'!C76,'TAREO JUEVES'!$E$7:$E$76)+SUMIF('TAREO VIERNES'!$C$7:$C$76,'TAREO ACTIVIDADES TOTAL'!C76,'TAREO VIERNES'!$E$7:$E$56)+SUMIF('TAREO SABADO'!$C$7:$C$76,'TAREO ACTIVIDADES TOTAL'!C76,'TAREO SABADO'!$E$7:$E$56)</f>
        <v>0</v>
      </c>
      <c r="H76" s="109"/>
    </row>
    <row r="77" spans="2:8" ht="10.8" thickBot="1">
      <c r="B77" s="614" t="s">
        <v>42</v>
      </c>
      <c r="C77" s="615"/>
      <c r="D77" s="61">
        <f>+'TAREO LUNES'!AK77+'TAREO MARTES'!AK77+'TAREO MIERCOLES'!AK77+'TAREO JUEVES'!AN77+'TAREO VIERNES'!AK77+'TAREO SABADO'!AK77</f>
        <v>160.5</v>
      </c>
      <c r="E77" s="485">
        <f ca="1">SUM(E7:E76)</f>
        <v>294</v>
      </c>
    </row>
  </sheetData>
  <autoFilter ref="B5:E77" xr:uid="{E5460601-1DD4-4CB7-A188-488F4E4EC13A}"/>
  <mergeCells count="8">
    <mergeCell ref="B77:C77"/>
    <mergeCell ref="C5:C6"/>
    <mergeCell ref="C4:E4"/>
    <mergeCell ref="C3:E3"/>
    <mergeCell ref="B2:E2"/>
    <mergeCell ref="D5:D6"/>
    <mergeCell ref="B5:B6"/>
    <mergeCell ref="E5:E6"/>
  </mergeCells>
  <pageMargins left="0.70866141732283472" right="0.70866141732283472" top="0.74803149606299213" bottom="0.74803149606299213" header="0.31496062992125984" footer="0.31496062992125984"/>
  <pageSetup paperSize="9" scale="115" orientation="portrait"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B49C-3271-48A9-9E8B-B6BEA9D74A6B}">
  <dimension ref="B1:AR77"/>
  <sheetViews>
    <sheetView zoomScaleNormal="100" workbookViewId="0">
      <pane ySplit="6" topLeftCell="A7" activePane="bottomLeft" state="frozen"/>
      <selection pane="bottomLeft" activeCell="C5" sqref="C5:K16"/>
    </sheetView>
  </sheetViews>
  <sheetFormatPr baseColWidth="10" defaultColWidth="5.5546875" defaultRowHeight="14.1" customHeight="1"/>
  <cols>
    <col min="1" max="1" width="1" style="29" customWidth="1"/>
    <col min="2" max="2" width="7.6640625" style="29" customWidth="1"/>
    <col min="3" max="3" width="41.109375" style="29" customWidth="1"/>
    <col min="4" max="4" width="41.33203125" style="29" customWidth="1"/>
    <col min="5" max="5" width="6.6640625" style="29" customWidth="1"/>
    <col min="6" max="42" width="6.44140625" style="29" customWidth="1"/>
    <col min="43" max="43" width="17.44140625" style="29" customWidth="1"/>
    <col min="44" max="16384" width="5.5546875" style="29"/>
  </cols>
  <sheetData>
    <row r="1" spans="2:44" ht="4.95" customHeight="1" thickBot="1"/>
    <row r="2" spans="2:44" ht="14.1"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row>
    <row r="3" spans="2:44" ht="14.1" customHeight="1" thickBot="1">
      <c r="B3" s="30" t="s">
        <v>39</v>
      </c>
      <c r="C3" s="31" t="s">
        <v>35</v>
      </c>
      <c r="D3" s="32"/>
      <c r="E3" s="532"/>
      <c r="F3" s="32"/>
      <c r="G3" s="32"/>
      <c r="H3" s="32"/>
      <c r="I3" s="32"/>
      <c r="J3" s="32"/>
      <c r="K3" s="32"/>
      <c r="L3" s="50"/>
      <c r="M3" s="614" t="s">
        <v>47</v>
      </c>
      <c r="N3" s="615"/>
      <c r="O3" s="631">
        <f>+'TAREO SEMANAL'!H4</f>
        <v>45711</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637" t="s">
        <v>56</v>
      </c>
      <c r="AR3" s="44"/>
    </row>
    <row r="4" spans="2:44" ht="14.1" customHeight="1" thickBot="1">
      <c r="B4" s="34"/>
      <c r="C4" s="34"/>
      <c r="D4" s="34"/>
      <c r="E4" s="33"/>
      <c r="F4" s="32"/>
      <c r="G4" s="32"/>
      <c r="H4" s="32"/>
      <c r="I4" s="32"/>
      <c r="J4" s="32"/>
      <c r="K4" s="32"/>
      <c r="L4" s="32"/>
      <c r="M4" s="59"/>
      <c r="N4" s="59"/>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638"/>
    </row>
    <row r="5" spans="2:44" ht="109.95" customHeight="1">
      <c r="B5" s="46" t="s">
        <v>40</v>
      </c>
      <c r="C5" s="30" t="s">
        <v>43</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8" customHeight="1" thickBot="1">
      <c r="B6" s="47"/>
      <c r="C6" s="107"/>
      <c r="D6" s="108"/>
      <c r="E6" s="49"/>
      <c r="F6" s="491">
        <v>1</v>
      </c>
      <c r="G6" s="491">
        <f>+F6+1</f>
        <v>2</v>
      </c>
      <c r="H6" s="491">
        <f t="shared" ref="H6:AJ6" si="0">+G6+1</f>
        <v>3</v>
      </c>
      <c r="I6" s="491">
        <f t="shared" si="0"/>
        <v>4</v>
      </c>
      <c r="J6" s="491">
        <f t="shared" si="0"/>
        <v>5</v>
      </c>
      <c r="K6" s="491">
        <f t="shared" si="0"/>
        <v>6</v>
      </c>
      <c r="L6" s="491">
        <f t="shared" si="0"/>
        <v>7</v>
      </c>
      <c r="M6" s="491">
        <f t="shared" si="0"/>
        <v>8</v>
      </c>
      <c r="N6" s="491">
        <f t="shared" si="0"/>
        <v>9</v>
      </c>
      <c r="O6" s="491">
        <f t="shared" si="0"/>
        <v>10</v>
      </c>
      <c r="P6" s="491">
        <v>11</v>
      </c>
      <c r="Q6" s="491">
        <v>12</v>
      </c>
      <c r="R6" s="491">
        <f t="shared" si="0"/>
        <v>13</v>
      </c>
      <c r="S6" s="491">
        <v>14</v>
      </c>
      <c r="T6" s="491">
        <v>15</v>
      </c>
      <c r="U6" s="491">
        <f t="shared" si="0"/>
        <v>16</v>
      </c>
      <c r="V6" s="491">
        <f t="shared" si="0"/>
        <v>17</v>
      </c>
      <c r="W6" s="491">
        <v>18</v>
      </c>
      <c r="X6" s="491">
        <f t="shared" si="0"/>
        <v>19</v>
      </c>
      <c r="Y6" s="491">
        <f t="shared" si="0"/>
        <v>20</v>
      </c>
      <c r="Z6" s="491">
        <f t="shared" si="0"/>
        <v>21</v>
      </c>
      <c r="AA6" s="491">
        <v>22</v>
      </c>
      <c r="AB6" s="491">
        <f t="shared" si="0"/>
        <v>23</v>
      </c>
      <c r="AC6" s="491">
        <f t="shared" si="0"/>
        <v>24</v>
      </c>
      <c r="AD6" s="491">
        <f t="shared" si="0"/>
        <v>25</v>
      </c>
      <c r="AE6" s="491">
        <v>26</v>
      </c>
      <c r="AF6" s="491">
        <f t="shared" si="0"/>
        <v>27</v>
      </c>
      <c r="AG6" s="491">
        <f t="shared" si="0"/>
        <v>28</v>
      </c>
      <c r="AH6" s="491">
        <f t="shared" si="0"/>
        <v>29</v>
      </c>
      <c r="AI6" s="491">
        <f t="shared" si="0"/>
        <v>30</v>
      </c>
      <c r="AJ6" s="491">
        <f t="shared" si="0"/>
        <v>31</v>
      </c>
      <c r="AK6" s="52"/>
    </row>
    <row r="7" spans="2:44" ht="15" customHeight="1" thickBot="1">
      <c r="B7" s="105">
        <v>1</v>
      </c>
      <c r="C7" s="481" t="str">
        <f>+'TAREO ACTIVIDADES TOTAL'!C7</f>
        <v>Trabajos provisionales almacen</v>
      </c>
      <c r="D7" s="554"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71" si="2">B7+1</f>
        <v>2</v>
      </c>
      <c r="C8" s="482" t="s">
        <v>3609</v>
      </c>
      <c r="D8" s="499" t="s">
        <v>60</v>
      </c>
      <c r="E8" s="534">
        <f t="shared" si="1"/>
        <v>8.5</v>
      </c>
      <c r="F8" s="493">
        <v>8.5</v>
      </c>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2"/>
        <v>5</v>
      </c>
      <c r="C11" s="482" t="str">
        <f>+'TAREO ACTIVIDADES TOTAL'!C11</f>
        <v>SNDICATO</v>
      </c>
      <c r="D11" s="499" t="str">
        <f>+'TAREO ACTIVIDADES TOTAL'!D11</f>
        <v>Seguridad Industrial (EPP y EPC), Patrimonial</v>
      </c>
      <c r="E11" s="534">
        <f t="shared" si="1"/>
        <v>8.5</v>
      </c>
      <c r="F11" s="493"/>
      <c r="G11" s="100"/>
      <c r="H11" s="104">
        <v>8.5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2"/>
        <v>6</v>
      </c>
      <c r="C12" s="482" t="str">
        <f>+'TAREO ACTIVIDADES TOTAL'!C12</f>
        <v>cerco  perimetrico provicional</v>
      </c>
      <c r="D12" s="499" t="str">
        <f>+'TAREO ACTIVIDADES TOTAL'!D12</f>
        <v>Obras provosionales</v>
      </c>
      <c r="E12" s="534">
        <f t="shared" si="1"/>
        <v>8.5</v>
      </c>
      <c r="F12" s="493"/>
      <c r="G12" s="100">
        <v>8.5</v>
      </c>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2"/>
        <v>10</v>
      </c>
      <c r="C16" s="482" t="str">
        <f>+'TAREO ACTIVIDADES TOTAL'!C16</f>
        <v xml:space="preserve">Topografia </v>
      </c>
      <c r="D16" s="499" t="str">
        <f>+'TAREO ACTIVIDADES TOTAL'!D16</f>
        <v>Topografia</v>
      </c>
      <c r="E16" s="534">
        <f t="shared" si="1"/>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2"/>
        <v>14</v>
      </c>
      <c r="C20" s="482" t="str">
        <f>+'TAREO ACTIVIDADES TOTAL'!C20</f>
        <v>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t="s">
        <v>63</v>
      </c>
      <c r="R32" s="100"/>
      <c r="S32" s="100"/>
      <c r="T32" s="100"/>
      <c r="U32" s="100"/>
      <c r="V32" s="100"/>
      <c r="W32" s="100"/>
      <c r="X32" s="100"/>
      <c r="Y32" s="100"/>
      <c r="Z32" s="100"/>
      <c r="AA32" s="100"/>
      <c r="AB32" s="100"/>
      <c r="AC32" s="100"/>
      <c r="AD32" s="100"/>
      <c r="AE32" s="100"/>
      <c r="AF32" s="100"/>
      <c r="AG32" s="100"/>
      <c r="AH32" s="100"/>
      <c r="AI32" s="100"/>
      <c r="AJ32" s="101"/>
      <c r="AK32" s="52"/>
    </row>
    <row r="33" spans="2:41"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c r="AO33" s="96"/>
    </row>
    <row r="34" spans="2:41"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c r="AO34" s="96"/>
    </row>
    <row r="35" spans="2:41"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41"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41"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41"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41"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41"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41"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41"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41" ht="15" customHeight="1" thickBot="1">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41"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41"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41"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41"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41" ht="15" customHeight="1" thickBot="1">
      <c r="B48" s="106">
        <f t="shared" si="2"/>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2"/>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2"/>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2"/>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si="2"/>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2"/>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2"/>
        <v>48</v>
      </c>
      <c r="C54" s="482" t="str">
        <f>+'TAREO ACTIVIDADES TOTAL'!C54</f>
        <v>Siliconeado de muebles de melamine - cocinas, closet</v>
      </c>
      <c r="D54" s="499" t="str">
        <f>+'TAREO ACTIVIDADES TOTAL'!D54</f>
        <v>Carpinteria de Melamina</v>
      </c>
      <c r="E54" s="534">
        <f t="shared" si="3"/>
        <v>17</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v>8.5</v>
      </c>
      <c r="AC54" s="100">
        <v>8.5</v>
      </c>
      <c r="AD54" s="100"/>
      <c r="AE54" s="100"/>
      <c r="AF54" s="100"/>
      <c r="AG54" s="100"/>
      <c r="AH54" s="100"/>
      <c r="AI54" s="100"/>
      <c r="AJ54" s="101"/>
      <c r="AK54" s="52"/>
    </row>
    <row r="55" spans="2:37" ht="15" customHeight="1" thickBot="1">
      <c r="B55" s="106">
        <f t="shared" si="2"/>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2"/>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2"/>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2"/>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2"/>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2"/>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2"/>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2"/>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2"/>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2"/>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2"/>
        <v>59</v>
      </c>
      <c r="C65" s="482" t="str">
        <f>+'TAREO ACTIVIDADES TOTAL'!C65</f>
        <v>Tarrajeo muros y derrames piso  1</v>
      </c>
      <c r="D65" s="499" t="str">
        <f>+'TAREO ACTIVIDADES TOTAL'!D65</f>
        <v>Tarrajeo, Revoques y Enlucido</v>
      </c>
      <c r="E65" s="534">
        <f t="shared" si="3"/>
        <v>8.5</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v>8.5</v>
      </c>
      <c r="AE65" s="100"/>
      <c r="AF65" s="100"/>
      <c r="AG65" s="100"/>
      <c r="AH65" s="100"/>
      <c r="AI65" s="100"/>
      <c r="AJ65" s="101"/>
      <c r="AK65" s="52"/>
    </row>
    <row r="66" spans="2:37" ht="15" customHeight="1" thickBot="1">
      <c r="B66" s="106">
        <f t="shared" si="2"/>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2"/>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2"/>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2"/>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2"/>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2"/>
        <v>65</v>
      </c>
      <c r="C71" s="482" t="str">
        <f>+'TAREO ACTIVIDADES TOTAL'!C71</f>
        <v>Colocacion ladrillo adoquines</v>
      </c>
      <c r="D71" s="499" t="str">
        <f>+'TAREO ACTIVIDADES TOTAL'!D71</f>
        <v>otros obras exteriores</v>
      </c>
      <c r="E71" s="534">
        <f t="shared" ref="E71:E76" si="4">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ref="B72:B76" si="5">B71+1</f>
        <v>66</v>
      </c>
      <c r="C72" s="482" t="str">
        <f>+'TAREO ACTIVIDADES TOTAL'!C72</f>
        <v>concreto rampa buñado exteriores</v>
      </c>
      <c r="D72" s="499" t="str">
        <f>+'TAREO ACTIVIDADES TOTAL'!D72</f>
        <v>otros obras exteriores</v>
      </c>
      <c r="E72" s="534">
        <f t="shared" si="4"/>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t="str">
        <f>+'TAREO ACTIVIDADES TOTAL'!C73</f>
        <v>Concreto jardinera y sardineles  exteriores</v>
      </c>
      <c r="D73" s="499" t="str">
        <f>+'TAREO ACTIVIDADES TOTAL'!D73</f>
        <v>Otros, Obras Exteriores</v>
      </c>
      <c r="E73" s="534">
        <f t="shared" si="4"/>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t="str">
        <f>+'TAREO ACTIVIDADES TOTAL'!C74</f>
        <v>Enchapes fachada</v>
      </c>
      <c r="D74" s="499" t="str">
        <f>+'TAREO ACTIVIDADES TOTAL'!D74</f>
        <v>Pisos de enchape ceramico y porcelanato</v>
      </c>
      <c r="E74" s="534">
        <f t="shared" si="4"/>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t="str">
        <f>+'TAREO ACTIVIDADES TOTAL'!C75</f>
        <v xml:space="preserve">Colocacion de señaletias </v>
      </c>
      <c r="D75" s="499" t="str">
        <f>+'TAREO ACTIVIDADES TOTAL'!D75</f>
        <v>Varios - Arquitectura</v>
      </c>
      <c r="E75" s="534">
        <f t="shared" si="4"/>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f>+'TAREO ACTIVIDADES TOTAL'!D76</f>
        <v>0</v>
      </c>
      <c r="E76" s="534">
        <f t="shared" si="4"/>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4.1" customHeight="1" thickBot="1">
      <c r="B77" s="634" t="s">
        <v>46</v>
      </c>
      <c r="C77" s="635"/>
      <c r="D77" s="636"/>
      <c r="E77" s="535">
        <f>SUM(E7:E76)</f>
        <v>76.5</v>
      </c>
      <c r="F77" s="485">
        <f t="shared" ref="F77:AJ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8.5</v>
      </c>
      <c r="AC77" s="485">
        <f t="shared" si="6"/>
        <v>8.5</v>
      </c>
      <c r="AD77" s="485">
        <f t="shared" si="6"/>
        <v>8.5</v>
      </c>
      <c r="AE77" s="485">
        <f t="shared" si="6"/>
        <v>0</v>
      </c>
      <c r="AF77" s="485">
        <f t="shared" si="6"/>
        <v>0</v>
      </c>
      <c r="AG77" s="485">
        <f t="shared" si="6"/>
        <v>0</v>
      </c>
      <c r="AH77" s="485">
        <f t="shared" si="6"/>
        <v>0</v>
      </c>
      <c r="AI77" s="485">
        <f t="shared" si="6"/>
        <v>0</v>
      </c>
      <c r="AJ77" s="485">
        <f t="shared" si="6"/>
        <v>0</v>
      </c>
      <c r="AK77" s="109">
        <f>+SUM(F77:AJ77)</f>
        <v>76.5</v>
      </c>
    </row>
  </sheetData>
  <mergeCells count="5">
    <mergeCell ref="B2:AP2"/>
    <mergeCell ref="O3:AP3"/>
    <mergeCell ref="B77:D77"/>
    <mergeCell ref="AQ3:AQ4"/>
    <mergeCell ref="M3:N3"/>
  </mergeCells>
  <conditionalFormatting sqref="F77:AJ77">
    <cfRule type="cellIs" dxfId="5" priority="1" operator="equal">
      <formula>0</formula>
    </cfRule>
  </conditionalFormatting>
  <pageMargins left="0.70866141732283472" right="0.70866141732283472" top="0.74803149606299213" bottom="0.74803149606299213" header="0.31496062992125984" footer="0.31496062992125984"/>
  <pageSetup paperSize="9" scale="11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784C-194A-42E2-A9CF-7DBF775CD688}">
  <dimension ref="B1:AR11383"/>
  <sheetViews>
    <sheetView zoomScale="77" zoomScaleNormal="77" workbookViewId="0">
      <pane ySplit="6" topLeftCell="A7" activePane="bottomLeft" state="frozen"/>
      <selection pane="bottomLeft" activeCell="F7" sqref="F7:K16"/>
    </sheetView>
  </sheetViews>
  <sheetFormatPr baseColWidth="10" defaultColWidth="11.44140625" defaultRowHeight="10.199999999999999"/>
  <cols>
    <col min="1" max="1" width="2.109375" style="29" customWidth="1"/>
    <col min="2" max="2" width="6.88671875" style="29" customWidth="1"/>
    <col min="3" max="3" width="38.332031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c r="AQ2" s="639"/>
    </row>
    <row r="3" spans="2:44" ht="15" customHeight="1" thickBot="1">
      <c r="B3" s="30" t="s">
        <v>39</v>
      </c>
      <c r="C3" s="31" t="s">
        <v>35</v>
      </c>
      <c r="D3" s="32"/>
      <c r="E3" s="532"/>
      <c r="F3" s="32"/>
      <c r="G3" s="32"/>
      <c r="H3" s="32"/>
      <c r="I3" s="32"/>
      <c r="J3" s="32"/>
      <c r="K3" s="32"/>
      <c r="L3" s="50"/>
      <c r="M3" s="50"/>
      <c r="N3" s="34" t="s">
        <v>47</v>
      </c>
      <c r="O3" s="631">
        <f>+'TAREO LUNES'!O3:AP3+1</f>
        <v>45712</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Trabajos provisionales almacen</v>
      </c>
      <c r="D7" s="554"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54" si="2">B7+1</f>
        <v>2</v>
      </c>
      <c r="C8" s="482" t="str">
        <f>+'TAREO ACTIVIDADES TOTAL'!C8</f>
        <v xml:space="preserve">vigia </v>
      </c>
      <c r="D8" s="499" t="str">
        <f>+'TAREO ACTIVIDADES TOTAL'!D8</f>
        <v>Seguridad Industrial (EPP y EPC), Patrimonial</v>
      </c>
      <c r="E8" s="534">
        <f t="shared" si="1"/>
        <v>8.5</v>
      </c>
      <c r="F8" s="493">
        <v>8.5</v>
      </c>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8.5</v>
      </c>
      <c r="F10" s="493"/>
      <c r="G10" s="100"/>
      <c r="H10" s="104">
        <v>8.5</v>
      </c>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3531</v>
      </c>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8.5</v>
      </c>
      <c r="F13" s="493"/>
      <c r="G13" s="100">
        <v>8.5</v>
      </c>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row>
    <row r="35" spans="2:37"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si="2"/>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2"/>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2"/>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2"/>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2"/>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t="s">
        <v>3532</v>
      </c>
    </row>
    <row r="53" spans="2:37" ht="15" customHeight="1" thickBot="1">
      <c r="B53" s="106">
        <f t="shared" si="2"/>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2"/>
        <v>48</v>
      </c>
      <c r="C54" s="482" t="str">
        <f>+'TAREO ACTIVIDADES TOTAL'!C54</f>
        <v>Siliconeado de muebles de melamine - cocinas, closet</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ref="B55:B76" si="4">B54+1</f>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t="str">
        <f>+'TAREO ACTIVIDADES TOTAL'!C65</f>
        <v>Tarrajeo muros y derrames piso  1</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7" ht="15" customHeight="1" thickBot="1">
      <c r="B69" s="106">
        <f t="shared" si="4"/>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t="str">
        <f>+'TAREO ACTIVIDADES TOTAL'!C71</f>
        <v>Colocacion ladrillo adoquines</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t="str">
        <f>+'TAREO ACTIVIDADES TOTAL'!C72</f>
        <v>concreto rampa buñado exteriores</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t="str">
        <f>+'TAREO ACTIVIDADES TOTAL'!C73</f>
        <v>Concreto jardinera y sardineles  exteriores</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t="str">
        <f>+'TAREO ACTIVIDADES TOTAL'!C74</f>
        <v>Enchapes fachada</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t="str">
        <f>+'TAREO ACTIVIDADES TOTAL'!C75</f>
        <v xml:space="preserve">Colocacion de señaletias </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f>+'TAREO ACTIVIDADES TOTAL'!D76</f>
        <v>0</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4" t="s">
        <v>46</v>
      </c>
      <c r="C77" s="635"/>
      <c r="D77" s="636"/>
      <c r="E77" s="535">
        <f>SUM(E7:E76)</f>
        <v>51</v>
      </c>
      <c r="F77" s="485">
        <f t="shared" ref="F77:AJ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51</v>
      </c>
    </row>
    <row r="11383" spans="12:12">
      <c r="L11383" s="29">
        <v>2</v>
      </c>
    </row>
  </sheetData>
  <mergeCells count="3">
    <mergeCell ref="B2:AQ2"/>
    <mergeCell ref="O3:AP3"/>
    <mergeCell ref="B77:D77"/>
  </mergeCells>
  <conditionalFormatting sqref="F77:AI77">
    <cfRule type="cellIs" dxfId="4"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D8E7-20C3-4625-843D-C1D43DCBFDD2}">
  <dimension ref="B1:AR77"/>
  <sheetViews>
    <sheetView zoomScale="80" zoomScaleNormal="80" workbookViewId="0">
      <pane ySplit="6" topLeftCell="A7" activePane="bottomLeft" state="frozen"/>
      <selection pane="bottomLeft" activeCell="C5" sqref="C5:K20"/>
    </sheetView>
  </sheetViews>
  <sheetFormatPr baseColWidth="10" defaultColWidth="11.44140625" defaultRowHeight="10.199999999999999"/>
  <cols>
    <col min="1" max="1" width="2.109375" style="29" customWidth="1"/>
    <col min="2" max="2" width="6.88671875" style="29" customWidth="1"/>
    <col min="3" max="3" width="40.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530"/>
      <c r="AL2" s="530"/>
      <c r="AM2" s="530"/>
      <c r="AN2" s="530"/>
      <c r="AO2" s="530"/>
      <c r="AP2" s="530"/>
      <c r="AQ2" s="531"/>
    </row>
    <row r="3" spans="2:44" ht="15" customHeight="1" thickBot="1">
      <c r="B3" s="30" t="s">
        <v>39</v>
      </c>
      <c r="C3" s="31" t="s">
        <v>35</v>
      </c>
      <c r="D3" s="32"/>
      <c r="E3" s="532"/>
      <c r="F3" s="32"/>
      <c r="G3" s="32"/>
      <c r="H3" s="32"/>
      <c r="I3" s="32"/>
      <c r="J3" s="32"/>
      <c r="K3" s="32"/>
      <c r="L3" s="50"/>
      <c r="M3" s="50"/>
      <c r="N3" s="34" t="s">
        <v>47</v>
      </c>
      <c r="O3" s="631">
        <f>+'TAREO MARTES'!O3:AP3+1</f>
        <v>45713</v>
      </c>
      <c r="P3" s="632"/>
      <c r="Q3" s="632"/>
      <c r="R3" s="632"/>
      <c r="S3" s="632"/>
      <c r="T3" s="632"/>
      <c r="U3" s="632"/>
      <c r="V3" s="632"/>
      <c r="W3" s="632"/>
      <c r="X3" s="632"/>
      <c r="Y3" s="632"/>
      <c r="Z3" s="632"/>
      <c r="AA3" s="632"/>
      <c r="AB3" s="632"/>
      <c r="AC3" s="632"/>
      <c r="AD3" s="632"/>
      <c r="AE3" s="632"/>
      <c r="AF3" s="632"/>
      <c r="AG3" s="632"/>
      <c r="AH3" s="632"/>
      <c r="AI3" s="632"/>
      <c r="AJ3" s="632"/>
      <c r="AK3" s="50"/>
      <c r="AL3" s="50"/>
      <c r="AM3" s="50"/>
      <c r="AN3" s="50"/>
      <c r="AO3" s="50"/>
      <c r="AP3" s="50"/>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9.5" customHeight="1" thickBot="1">
      <c r="B6" s="47"/>
      <c r="C6" s="107" t="s">
        <v>43</v>
      </c>
      <c r="D6" s="108"/>
      <c r="E6" s="49"/>
      <c r="F6" s="491">
        <v>1</v>
      </c>
      <c r="G6" s="491">
        <f>+F6+1</f>
        <v>2</v>
      </c>
      <c r="H6" s="491">
        <f t="shared" ref="H6:V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f t="shared" si="0"/>
        <v>17</v>
      </c>
      <c r="W6" s="491">
        <v>18</v>
      </c>
      <c r="X6" s="491">
        <f t="shared" ref="X6" si="1">+W6+1</f>
        <v>19</v>
      </c>
      <c r="Y6" s="491">
        <v>20</v>
      </c>
      <c r="Z6" s="491">
        <v>21</v>
      </c>
      <c r="AA6" s="491">
        <v>22</v>
      </c>
      <c r="AB6" s="491">
        <v>23</v>
      </c>
      <c r="AC6" s="491">
        <v>24</v>
      </c>
      <c r="AD6" s="491">
        <v>25</v>
      </c>
      <c r="AE6" s="491">
        <v>26</v>
      </c>
      <c r="AF6" s="491">
        <v>27</v>
      </c>
      <c r="AG6" s="491">
        <v>28</v>
      </c>
      <c r="AH6" s="491">
        <v>29</v>
      </c>
      <c r="AI6" s="491">
        <v>30</v>
      </c>
      <c r="AJ6" s="491">
        <v>38</v>
      </c>
      <c r="AK6" s="52"/>
    </row>
    <row r="7" spans="2:44" ht="15" customHeight="1" thickBot="1">
      <c r="B7" s="105">
        <v>1</v>
      </c>
      <c r="C7" s="481" t="str">
        <f>+'TAREO ACTIVIDADES TOTAL'!C7</f>
        <v>Trabajos provisionales almacen</v>
      </c>
      <c r="D7" s="554" t="str">
        <f>+'TAREO ACTIVIDADES TOTAL'!D7</f>
        <v>Obras provosionales</v>
      </c>
      <c r="E7" s="533">
        <f t="shared" ref="E7:E38" si="2">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51" si="3">B7+1</f>
        <v>2</v>
      </c>
      <c r="C8" s="482" t="str">
        <f>+'TAREO ACTIVIDADES TOTAL'!C8</f>
        <v xml:space="preserve">vigia </v>
      </c>
      <c r="D8" s="499" t="str">
        <f>+'TAREO ACTIVIDADES TOTAL'!D8</f>
        <v>Seguridad Industrial (EPP y EPC), Patrimonial</v>
      </c>
      <c r="E8" s="534">
        <f t="shared" si="2"/>
        <v>8.5</v>
      </c>
      <c r="F8" s="493">
        <v>8.5</v>
      </c>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3"/>
        <v>3</v>
      </c>
      <c r="C9" s="482" t="str">
        <f>+'TAREO ACTIVIDADES TOTAL'!C9</f>
        <v>monitor</v>
      </c>
      <c r="D9" s="499" t="str">
        <f>+'TAREO ACTIVIDADES TOTAL'!D9</f>
        <v>Seguridad Industrial (EPP y EPC), Patrimonial</v>
      </c>
      <c r="E9" s="534">
        <f t="shared" si="2"/>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3"/>
        <v>4</v>
      </c>
      <c r="C10" s="482" t="str">
        <f>+'TAREO ACTIVIDADES TOTAL'!C10</f>
        <v>Limpieza de obra</v>
      </c>
      <c r="D10" s="499" t="str">
        <f>+'TAREO ACTIVIDADES TOTAL'!D10</f>
        <v>Varios - Obras Provisionales</v>
      </c>
      <c r="E10" s="534">
        <f t="shared" si="2"/>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3"/>
        <v>5</v>
      </c>
      <c r="C11" s="482" t="str">
        <f>+'TAREO ACTIVIDADES TOTAL'!C11</f>
        <v>SNDICATO</v>
      </c>
      <c r="D11" s="499" t="str">
        <f>+'TAREO ACTIVIDADES TOTAL'!D11</f>
        <v>Seguridad Industrial (EPP y EPC), Patrimonial</v>
      </c>
      <c r="E11" s="534">
        <f t="shared" si="2"/>
        <v>8.5</v>
      </c>
      <c r="F11" s="493"/>
      <c r="G11" s="100"/>
      <c r="H11" s="104">
        <v>8.5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3"/>
        <v>6</v>
      </c>
      <c r="C12" s="482" t="str">
        <f>+'TAREO ACTIVIDADES TOTAL'!C12</f>
        <v>cerco  perimetrico provicional</v>
      </c>
      <c r="D12" s="499" t="str">
        <f>+'TAREO ACTIVIDADES TOTAL'!D12</f>
        <v>Obras provosionales</v>
      </c>
      <c r="E12" s="534">
        <f t="shared" si="2"/>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t="s">
        <v>3522</v>
      </c>
    </row>
    <row r="13" spans="2:44" ht="15" customHeight="1" thickBot="1">
      <c r="B13" s="106">
        <f t="shared" si="3"/>
        <v>7</v>
      </c>
      <c r="C13" s="482" t="str">
        <f>+'TAREO ACTIVIDADES TOTAL'!C13</f>
        <v>Trabajos provicionales - oficina staff - Almacen</v>
      </c>
      <c r="D13" s="499" t="str">
        <f>+'TAREO ACTIVIDADES TOTAL'!D13</f>
        <v>Caseta para Oficinas, comedor y Cerco perimetrico</v>
      </c>
      <c r="E13" s="534">
        <f t="shared" si="2"/>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3"/>
        <v>8</v>
      </c>
      <c r="C14" s="482" t="str">
        <f>+'TAREO ACTIVIDADES TOTAL'!C14</f>
        <v>Trabajos provicionales - baños</v>
      </c>
      <c r="D14" s="499" t="str">
        <f>+'TAREO ACTIVIDADES TOTAL'!D14</f>
        <v>Servicios Higienicos para Staff y Obreros</v>
      </c>
      <c r="E14" s="534">
        <f t="shared" si="2"/>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3"/>
        <v>9</v>
      </c>
      <c r="C15" s="482" t="str">
        <f>+'TAREO ACTIVIDADES TOTAL'!C15</f>
        <v>Señalizacion de obra</v>
      </c>
      <c r="D15" s="499" t="str">
        <f>+'TAREO ACTIVIDADES TOTAL'!D15</f>
        <v>Seguridad Industrial (EPP y EPC), Patrimonial</v>
      </c>
      <c r="E15" s="534">
        <f t="shared" si="2"/>
        <v>4</v>
      </c>
      <c r="F15" s="493"/>
      <c r="G15" s="100">
        <v>4</v>
      </c>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3"/>
        <v>10</v>
      </c>
      <c r="C16" s="482" t="str">
        <f>+'TAREO ACTIVIDADES TOTAL'!C16</f>
        <v xml:space="preserve">Topografia </v>
      </c>
      <c r="D16" s="499" t="str">
        <f>+'TAREO ACTIVIDADES TOTAL'!D16</f>
        <v>Topografia</v>
      </c>
      <c r="E16" s="534">
        <f t="shared" si="2"/>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3"/>
        <v>11</v>
      </c>
      <c r="C17" s="482" t="str">
        <f>+'TAREO ACTIVIDADES TOTAL'!C17</f>
        <v>Protecciones colectivas</v>
      </c>
      <c r="D17" s="499" t="str">
        <f>+'TAREO ACTIVIDADES TOTAL'!D17</f>
        <v>Seguridad Industrial (EPP y EPC), Patrimonial</v>
      </c>
      <c r="E17" s="534">
        <f t="shared" si="2"/>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3"/>
        <v>12</v>
      </c>
      <c r="C18" s="482" t="str">
        <f>+'TAREO ACTIVIDADES TOTAL'!C18</f>
        <v>Limpieza de vecinos</v>
      </c>
      <c r="D18" s="499" t="str">
        <f>+'TAREO ACTIVIDADES TOTAL'!D18</f>
        <v>Varios - Obras Provisionales</v>
      </c>
      <c r="E18" s="534">
        <f t="shared" si="2"/>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3"/>
        <v>13</v>
      </c>
      <c r="C19" s="482" t="str">
        <f>+'TAREO ACTIVIDADES TOTAL'!C19</f>
        <v>Traslado de materiales de Almacen</v>
      </c>
      <c r="D19" s="499" t="str">
        <f>+'TAREO ACTIVIDADES TOTAL'!D19</f>
        <v>Traslado Vertical y Horizontal</v>
      </c>
      <c r="E19" s="534">
        <f t="shared" si="2"/>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3"/>
        <v>14</v>
      </c>
      <c r="C20" s="482" t="str">
        <f>+'TAREO ACTIVIDADES TOTAL'!C20</f>
        <v>umedecer terreno</v>
      </c>
      <c r="D20" s="499" t="str">
        <f>+'TAREO ACTIVIDADES TOTAL'!D20</f>
        <v>movimientos de tierra</v>
      </c>
      <c r="E20" s="534">
        <f t="shared" si="2"/>
        <v>4.5</v>
      </c>
      <c r="F20" s="493"/>
      <c r="G20" s="100">
        <v>4.5</v>
      </c>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3"/>
        <v>15</v>
      </c>
      <c r="C21" s="482" t="str">
        <f>+'TAREO ACTIVIDADES TOTAL'!C21</f>
        <v>Acarreo Horizontal</v>
      </c>
      <c r="D21" s="499" t="str">
        <f>+'TAREO ACTIVIDADES TOTAL'!D21</f>
        <v>Traslado Vertical y Horizontal</v>
      </c>
      <c r="E21" s="534">
        <f t="shared" si="2"/>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3"/>
        <v>16</v>
      </c>
      <c r="C22" s="482" t="str">
        <f>+'TAREO ACTIVIDADES TOTAL'!C22</f>
        <v>Acarreo Vertical</v>
      </c>
      <c r="D22" s="499" t="str">
        <f>+'TAREO ACTIVIDADES TOTAL'!D22</f>
        <v>Traslado Vertical y Horizontal</v>
      </c>
      <c r="E22" s="534">
        <f t="shared" si="2"/>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3"/>
        <v>17</v>
      </c>
      <c r="C23" s="482" t="str">
        <f>+'TAREO ACTIVIDADES TOTAL'!C23</f>
        <v>Forjado de escaleras en sotano</v>
      </c>
      <c r="D23" s="499" t="str">
        <f>+'TAREO ACTIVIDADES TOTAL'!D23</f>
        <v>Contrapiso y Acabados en Cemento</v>
      </c>
      <c r="E23" s="534">
        <f t="shared" si="2"/>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3"/>
        <v>18</v>
      </c>
      <c r="C24" s="482" t="str">
        <f>+'TAREO ACTIVIDADES TOTAL'!C24</f>
        <v>Bimastil</v>
      </c>
      <c r="D24" s="499" t="str">
        <f>+'TAREO ACTIVIDADES TOTAL'!D24</f>
        <v>Marmol, Granito, Cuarzo</v>
      </c>
      <c r="E24" s="534">
        <f t="shared" si="2"/>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3"/>
        <v>19</v>
      </c>
      <c r="C25" s="482" t="str">
        <f>+'TAREO ACTIVIDADES TOTAL'!C25</f>
        <v>colocacion bordes pvc  en escaleras</v>
      </c>
      <c r="D25" s="499" t="str">
        <f>+'TAREO ACTIVIDADES TOTAL'!D25</f>
        <v>varios arquitectura</v>
      </c>
      <c r="E25" s="534">
        <f t="shared" si="2"/>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3"/>
        <v>20</v>
      </c>
      <c r="C26" s="482" t="str">
        <f>+'TAREO ACTIVIDADES TOTAL'!C26</f>
        <v>Asentado de ladrillo remates sotanos</v>
      </c>
      <c r="D26" s="499" t="str">
        <f>+'TAREO ACTIVIDADES TOTAL'!D26</f>
        <v>Muros de Albañileria</v>
      </c>
      <c r="E26" s="534">
        <f t="shared" si="2"/>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3"/>
        <v>21</v>
      </c>
      <c r="C27" s="482" t="str">
        <f>+'TAREO ACTIVIDADES TOTAL'!C27</f>
        <v>Copado resanes y limpieza de vigas y columnas de fachada</v>
      </c>
      <c r="D27" s="499" t="str">
        <f>+'TAREO ACTIVIDADES TOTAL'!D27</f>
        <v>Pintura y recubrimiento</v>
      </c>
      <c r="E27" s="534">
        <f t="shared" si="2"/>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3"/>
        <v>22</v>
      </c>
      <c r="C28" s="482" t="str">
        <f>+'TAREO ACTIVIDADES TOTAL'!C28</f>
        <v>Resane en sotanos  pisos y muros</v>
      </c>
      <c r="D28" s="499" t="str">
        <f>+'TAREO ACTIVIDADES TOTAL'!D28</f>
        <v>Tarrajeo, Revoques y Enlucido</v>
      </c>
      <c r="E28" s="534">
        <f t="shared" si="2"/>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3"/>
        <v>23</v>
      </c>
      <c r="C29" s="482" t="str">
        <f>+'TAREO ACTIVIDADES TOTAL'!C29</f>
        <v>Capataz de acabados</v>
      </c>
      <c r="D29" s="499" t="str">
        <f>+'TAREO ACTIVIDADES TOTAL'!D29</f>
        <v>Gastos de personal</v>
      </c>
      <c r="E29" s="534">
        <f t="shared" si="2"/>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3"/>
        <v>24</v>
      </c>
      <c r="C30" s="482" t="str">
        <f>+'TAREO ACTIVIDADES TOTAL'!C30</f>
        <v>Encofradoy concreto en ductos en montantes</v>
      </c>
      <c r="D30" s="499" t="str">
        <f>+'TAREO ACTIVIDADES TOTAL'!D30</f>
        <v>Muros de Albañileria</v>
      </c>
      <c r="E30" s="534">
        <f t="shared" si="2"/>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3"/>
        <v>25</v>
      </c>
      <c r="C31" s="482" t="str">
        <f>+'TAREO ACTIVIDADES TOTAL'!C31</f>
        <v>resanes en casa vecinas</v>
      </c>
      <c r="D31" s="499" t="str">
        <f>+'TAREO ACTIVIDADES TOTAL'!D31</f>
        <v>varios arquitectura</v>
      </c>
      <c r="E31" s="534">
        <f t="shared" si="2"/>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3"/>
        <v>26</v>
      </c>
      <c r="C32" s="482" t="str">
        <f>+'TAREO ACTIVIDADES TOTAL'!C32</f>
        <v>resanes piso 16</v>
      </c>
      <c r="D32" s="499" t="str">
        <f>+'TAREO ACTIVIDADES TOTAL'!D32</f>
        <v>Tarrajeo, Revoques y Enlucido</v>
      </c>
      <c r="E32" s="534">
        <f t="shared" si="2"/>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0"/>
      <c r="AJ32" s="101"/>
      <c r="AK32" s="52"/>
    </row>
    <row r="33" spans="2:37" ht="15" customHeight="1" thickBot="1">
      <c r="B33" s="106">
        <f t="shared" si="3"/>
        <v>27</v>
      </c>
      <c r="C33" s="482" t="str">
        <f>+'TAREO ACTIVIDADES TOTAL'!C33</f>
        <v>Limpieza en zona de piscina</v>
      </c>
      <c r="D33" s="499" t="str">
        <f>+'TAREO ACTIVIDADES TOTAL'!D33</f>
        <v>Seguridad Industrial (EPP y EPC), Patrimonial</v>
      </c>
      <c r="E33" s="534">
        <f t="shared" si="2"/>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row>
    <row r="34" spans="2:37" ht="15" customHeight="1" thickBot="1">
      <c r="B34" s="106">
        <f t="shared" si="3"/>
        <v>28</v>
      </c>
      <c r="C34" s="482" t="str">
        <f>+'TAREO ACTIVIDADES TOTAL'!C34</f>
        <v>Solaqueo de pasosy contrapasos de escalera de evacuacion</v>
      </c>
      <c r="D34" s="499" t="str">
        <f>+'TAREO ACTIVIDADES TOTAL'!D34</f>
        <v>Contrapiso y Acabados en Cemento</v>
      </c>
      <c r="E34" s="534">
        <f t="shared" si="2"/>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row>
    <row r="35" spans="2:37" ht="15" customHeight="1" thickBot="1">
      <c r="B35" s="106">
        <f t="shared" si="3"/>
        <v>29</v>
      </c>
      <c r="C35" s="482" t="str">
        <f>+'TAREO ACTIVIDADES TOTAL'!C35</f>
        <v>armado y desarmado de andamios</v>
      </c>
      <c r="D35" s="499" t="str">
        <f>+'TAREO ACTIVIDADES TOTAL'!D35</f>
        <v>Pintura y recubrimiento</v>
      </c>
      <c r="E35" s="534">
        <f t="shared" si="2"/>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37" ht="15" customHeight="1" thickBot="1">
      <c r="B36" s="106">
        <f t="shared" si="3"/>
        <v>30</v>
      </c>
      <c r="C36" s="482" t="str">
        <f>+'TAREO ACTIVIDADES TOTAL'!C36</f>
        <v>Limpieza y  acarreo de escombros de departamentos</v>
      </c>
      <c r="D36" s="499" t="str">
        <f>+'TAREO ACTIVIDADES TOTAL'!D36</f>
        <v>Seguridad Industrial (EPP y EPC), Patrimonial</v>
      </c>
      <c r="E36" s="534">
        <f t="shared" si="2"/>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37" ht="15" customHeight="1" thickBot="1">
      <c r="B37" s="106">
        <f t="shared" si="3"/>
        <v>31</v>
      </c>
      <c r="C37" s="482" t="str">
        <f>+'TAREO ACTIVIDADES TOTAL'!C37</f>
        <v>Eliminacion de desmonte y escombros</v>
      </c>
      <c r="D37" s="499" t="str">
        <f>+'TAREO ACTIVIDADES TOTAL'!D37</f>
        <v>Eliminación de basura y desmonte con cajas ecologicas</v>
      </c>
      <c r="E37" s="534">
        <f t="shared" si="2"/>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37" ht="15" customHeight="1" thickBot="1">
      <c r="B38" s="106">
        <f t="shared" si="3"/>
        <v>32</v>
      </c>
      <c r="C38" s="482" t="str">
        <f>+'TAREO ACTIVIDADES TOTAL'!C38</f>
        <v xml:space="preserve">Limpieza de rebabas de piso para enchape </v>
      </c>
      <c r="D38" s="499" t="str">
        <f>+'TAREO ACTIVIDADES TOTAL'!D38</f>
        <v>Tarrajeo, Revoques y Enlucido</v>
      </c>
      <c r="E38" s="534">
        <f t="shared" si="2"/>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37" ht="15" customHeight="1" thickBot="1">
      <c r="B39" s="106">
        <f t="shared" si="3"/>
        <v>33</v>
      </c>
      <c r="C39" s="482" t="str">
        <f>+'TAREO ACTIVIDADES TOTAL'!C39</f>
        <v>Picado y forjado de canaletas para mamparas y duchas</v>
      </c>
      <c r="D39" s="499" t="str">
        <f>+'TAREO ACTIVIDADES TOTAL'!D39</f>
        <v>Contrapiso y Acabados en Cemento</v>
      </c>
      <c r="E39" s="534">
        <f t="shared" ref="E39:E70" si="4">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37" ht="15" customHeight="1" thickBot="1">
      <c r="B40" s="106">
        <f t="shared" si="3"/>
        <v>34</v>
      </c>
      <c r="C40" s="482" t="str">
        <f>+'TAREO ACTIVIDADES TOTAL'!C40</f>
        <v>Correccion de centros dicroicos</v>
      </c>
      <c r="D40" s="499" t="str">
        <f>+'TAREO ACTIVIDADES TOTAL'!D40</f>
        <v>Tarrajeo, Revoques y Enlucido</v>
      </c>
      <c r="E40" s="534">
        <f t="shared" si="4"/>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37" ht="15" customHeight="1" thickBot="1">
      <c r="B41" s="106">
        <f t="shared" si="3"/>
        <v>35</v>
      </c>
      <c r="C41" s="482" t="str">
        <f>+'TAREO ACTIVIDADES TOTAL'!C41</f>
        <v>fragua en enchapesy sellado  fachada</v>
      </c>
      <c r="D41" s="499" t="str">
        <f>+'TAREO ACTIVIDADES TOTAL'!D41</f>
        <v>Pisos de enchape ceramico y porcelanato</v>
      </c>
      <c r="E41" s="534">
        <f t="shared" si="4"/>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37" ht="15" customHeight="1" thickBot="1">
      <c r="B42" s="106">
        <f t="shared" si="3"/>
        <v>36</v>
      </c>
      <c r="C42" s="482" t="str">
        <f>+'TAREO ACTIVIDADES TOTAL'!C42</f>
        <v>Remate de pintura en departamentos</v>
      </c>
      <c r="D42" s="499" t="str">
        <f>+'TAREO ACTIVIDADES TOTAL'!D42</f>
        <v>Pintura y recubrimiento</v>
      </c>
      <c r="E42" s="534">
        <f t="shared" si="4"/>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37" ht="15" customHeight="1" thickBot="1">
      <c r="B43" s="106">
        <f t="shared" si="3"/>
        <v>37</v>
      </c>
      <c r="C43" s="482" t="str">
        <f>+'TAREO ACTIVIDADES TOTAL'!C43</f>
        <v>Remate de pintura en areas comunes</v>
      </c>
      <c r="D43" s="499" t="str">
        <f>+'TAREO ACTIVIDADES TOTAL'!D43</f>
        <v>Pintura y recubrimiento</v>
      </c>
      <c r="E43" s="534">
        <f t="shared" si="4"/>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37" ht="15" customHeight="1" thickBot="1">
      <c r="B44" s="106">
        <f t="shared" si="3"/>
        <v>38</v>
      </c>
      <c r="C44" s="482" t="str">
        <f>+'TAREO ACTIVIDADES TOTAL'!C44</f>
        <v>Instalacion de drywall en departamentos</v>
      </c>
      <c r="D44" s="499" t="str">
        <f>+'TAREO ACTIVIDADES TOTAL'!D44</f>
        <v>Drywall y Falso Cielo Raso</v>
      </c>
      <c r="E44" s="534">
        <f t="shared" si="4"/>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37" ht="15" customHeight="1" thickBot="1">
      <c r="B45" s="106">
        <f t="shared" si="3"/>
        <v>39</v>
      </c>
      <c r="C45" s="482" t="str">
        <f>+'TAREO ACTIVIDADES TOTAL'!C45</f>
        <v>Sellado de junta en muros con espuma cortafuego</v>
      </c>
      <c r="D45" s="499" t="str">
        <f>+'TAREO ACTIVIDADES TOTAL'!D45</f>
        <v>Muros de Albañileria</v>
      </c>
      <c r="E45" s="534">
        <f t="shared" si="4"/>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37" ht="15" customHeight="1" thickBot="1">
      <c r="B46" s="106">
        <f t="shared" si="3"/>
        <v>40</v>
      </c>
      <c r="C46" s="482" t="str">
        <f>+'TAREO ACTIVIDADES TOTAL'!C46</f>
        <v>Forrado de  manparas y ventana</v>
      </c>
      <c r="D46" s="499" t="str">
        <f>+'TAREO ACTIVIDADES TOTAL'!D46</f>
        <v>Vidrios y cristales</v>
      </c>
      <c r="E46" s="534">
        <f t="shared" si="4"/>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37" ht="15" customHeight="1" thickBot="1">
      <c r="B47" s="106">
        <f t="shared" si="3"/>
        <v>41</v>
      </c>
      <c r="C47" s="482" t="str">
        <f>+'TAREO ACTIVIDADES TOTAL'!C47</f>
        <v>Instalacion de drywall en areas comunes</v>
      </c>
      <c r="D47" s="499" t="str">
        <f>+'TAREO ACTIVIDADES TOTAL'!D47</f>
        <v>Drywall y Falso Cielo Raso</v>
      </c>
      <c r="E47" s="534">
        <f t="shared" si="4"/>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37" ht="15" customHeight="1" thickBot="1">
      <c r="B48" s="106">
        <f t="shared" si="3"/>
        <v>42</v>
      </c>
      <c r="C48" s="482" t="str">
        <f>+'TAREO ACTIVIDADES TOTAL'!C48</f>
        <v>Impermeabilizado de retiros de fachada</v>
      </c>
      <c r="D48" s="499" t="str">
        <f>+'TAREO ACTIVIDADES TOTAL'!D48</f>
        <v>Otros, Obras Exteriores</v>
      </c>
      <c r="E48" s="534">
        <f t="shared" si="4"/>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3"/>
        <v>43</v>
      </c>
      <c r="C49" s="482" t="str">
        <f>+'TAREO ACTIVIDADES TOTAL'!C49</f>
        <v>Colocacion de topes de puerta</v>
      </c>
      <c r="D49" s="499" t="str">
        <f>+'TAREO ACTIVIDADES TOTAL'!D49</f>
        <v>Carpinteria de Madera</v>
      </c>
      <c r="E49" s="534">
        <f t="shared" si="4"/>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3"/>
        <v>44</v>
      </c>
      <c r="C50" s="482" t="str">
        <f>+'TAREO ACTIVIDADES TOTAL'!C50</f>
        <v>nivelacion de piso gimnacio</v>
      </c>
      <c r="D50" s="499" t="str">
        <f>+'TAREO ACTIVIDADES TOTAL'!D50</f>
        <v>Contrapiso y Acabados en Cemento</v>
      </c>
      <c r="E50" s="534">
        <f t="shared" si="4"/>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3"/>
        <v>45</v>
      </c>
      <c r="C51" s="482" t="str">
        <f>+'TAREO ACTIVIDADES TOTAL'!C51</f>
        <v>forrado de pisos spc</v>
      </c>
      <c r="D51" s="499" t="str">
        <f>+'TAREO ACTIVIDADES TOTAL'!D51</f>
        <v>Otros Formatos de Pisos</v>
      </c>
      <c r="E51" s="534">
        <f t="shared" si="4"/>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ref="B52:B76" si="5">B51+1</f>
        <v>46</v>
      </c>
      <c r="C52" s="482" t="str">
        <f>+'TAREO ACTIVIDADES TOTAL'!C52</f>
        <v>Colocacion de topellantas en sotanos</v>
      </c>
      <c r="D52" s="499" t="str">
        <f>+'TAREO ACTIVIDADES TOTAL'!D52</f>
        <v>Varios - Arquitectura</v>
      </c>
      <c r="E52" s="534">
        <f t="shared" si="4"/>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5"/>
        <v>47</v>
      </c>
      <c r="C53" s="482" t="str">
        <f>+'TAREO ACTIVIDADES TOTAL'!C53</f>
        <v>Solaqueos en montantes iiee iiss  gas</v>
      </c>
      <c r="D53" s="499" t="str">
        <f>+'TAREO ACTIVIDADES TOTAL'!D53</f>
        <v>Tarrajeo, Revoques y Enlucido</v>
      </c>
      <c r="E53" s="534">
        <f t="shared" si="4"/>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5"/>
        <v>48</v>
      </c>
      <c r="C54" s="482" t="str">
        <f>+'TAREO ACTIVIDADES TOTAL'!C54</f>
        <v>Siliconeado de muebles de melamine - cocinas, closet</v>
      </c>
      <c r="D54" s="499" t="str">
        <f>+'TAREO ACTIVIDADES TOTAL'!D54</f>
        <v>Carpinteria de Melamina</v>
      </c>
      <c r="E54" s="534">
        <f t="shared" si="4"/>
        <v>0</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c r="AC54" s="100"/>
      <c r="AD54" s="100"/>
      <c r="AE54" s="100"/>
      <c r="AF54" s="100"/>
      <c r="AG54" s="100"/>
      <c r="AH54" s="100"/>
      <c r="AI54" s="100"/>
      <c r="AJ54" s="101"/>
      <c r="AK54" s="52"/>
    </row>
    <row r="55" spans="2:37" ht="15" customHeight="1" thickBot="1">
      <c r="B55" s="106">
        <f t="shared" si="5"/>
        <v>49</v>
      </c>
      <c r="C55" s="482" t="str">
        <f>+'TAREO ACTIVIDADES TOTAL'!C55</f>
        <v>Tarrajeo de banco de medidores</v>
      </c>
      <c r="D55" s="499" t="str">
        <f>+'TAREO ACTIVIDADES TOTAL'!D55</f>
        <v>Tarrajeo, Revoques y Enlucido</v>
      </c>
      <c r="E55" s="534">
        <f t="shared" si="4"/>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5"/>
        <v>50</v>
      </c>
      <c r="C56" s="482" t="str">
        <f>+'TAREO ACTIVIDADES TOTAL'!C56</f>
        <v>dado de concreto acelografo</v>
      </c>
      <c r="D56" s="499" t="str">
        <f>+'TAREO ACTIVIDADES TOTAL'!D56</f>
        <v>varios arquitectura</v>
      </c>
      <c r="E56" s="534">
        <f t="shared" si="4"/>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5"/>
        <v>51</v>
      </c>
      <c r="C57" s="482" t="str">
        <f>+'TAREO ACTIVIDADES TOTAL'!C57</f>
        <v>nicho para control de riego piso 16</v>
      </c>
      <c r="D57" s="499" t="str">
        <f>+'TAREO ACTIVIDADES TOTAL'!D57</f>
        <v>varios arquitectura</v>
      </c>
      <c r="E57" s="534">
        <f t="shared" si="4"/>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5"/>
        <v>52</v>
      </c>
      <c r="C58" s="482" t="str">
        <f>+'TAREO ACTIVIDADES TOTAL'!C58</f>
        <v>Forrado de enchape de baños</v>
      </c>
      <c r="D58" s="499" t="str">
        <f>+'TAREO ACTIVIDADES TOTAL'!D58</f>
        <v>Pisos de enchape ceramico y porcelanato</v>
      </c>
      <c r="E58" s="534">
        <f t="shared" si="4"/>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5"/>
        <v>53</v>
      </c>
      <c r="C59" s="482" t="str">
        <f>+'TAREO ACTIVIDADES TOTAL'!C59</f>
        <v>Trazo en fachada para ventanas</v>
      </c>
      <c r="D59" s="499" t="str">
        <f>+'TAREO ACTIVIDADES TOTAL'!D59</f>
        <v>Topografia</v>
      </c>
      <c r="E59" s="534">
        <f t="shared" si="4"/>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5"/>
        <v>54</v>
      </c>
      <c r="C60" s="482" t="str">
        <f>+'TAREO ACTIVIDADES TOTAL'!C60</f>
        <v>Corte de fierro con instalacion de ventanas</v>
      </c>
      <c r="D60" s="499" t="str">
        <f>+'TAREO ACTIVIDADES TOTAL'!D60</f>
        <v>Seguridad Industrial (EPP y EPC), Patrimonial</v>
      </c>
      <c r="E60" s="534">
        <f t="shared" si="4"/>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5"/>
        <v>55</v>
      </c>
      <c r="C61" s="482" t="str">
        <f>+'TAREO ACTIVIDADES TOTAL'!C61</f>
        <v>Encofrado y concreto  lobby</v>
      </c>
      <c r="D61" s="499" t="str">
        <f>+'TAREO ACTIVIDADES TOTAL'!D61</f>
        <v>Varios - Arquitectura</v>
      </c>
      <c r="E61" s="534">
        <f t="shared" si="4"/>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5"/>
        <v>56</v>
      </c>
      <c r="C62" s="482" t="str">
        <f>+'TAREO ACTIVIDADES TOTAL'!C62</f>
        <v>Tarrajeos de derrames y resanes en dpts</v>
      </c>
      <c r="D62" s="499" t="str">
        <f>+'TAREO ACTIVIDADES TOTAL'!D62</f>
        <v>Tarrajeo, Revoques y Enlucido</v>
      </c>
      <c r="E62" s="534">
        <f t="shared" si="4"/>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5"/>
        <v>57</v>
      </c>
      <c r="C63" s="482" t="str">
        <f>+'TAREO ACTIVIDADES TOTAL'!C63</f>
        <v>Acentado ladrillo  blanco piso 1</v>
      </c>
      <c r="D63" s="499" t="str">
        <f>+'TAREO ACTIVIDADES TOTAL'!D63</f>
        <v>Varios - Arquitectura</v>
      </c>
      <c r="E63" s="534">
        <f t="shared" si="4"/>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5"/>
        <v>58</v>
      </c>
      <c r="C64" s="482" t="str">
        <f>+'TAREO ACTIVIDADES TOTAL'!C64</f>
        <v>Tarrajeos derrames  solaqueo techo tecnico</v>
      </c>
      <c r="D64" s="499" t="str">
        <f>+'TAREO ACTIVIDADES TOTAL'!D64</f>
        <v>Tarrajeo, Revoques y Enlucido</v>
      </c>
      <c r="E64" s="534">
        <f t="shared" si="4"/>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5"/>
        <v>59</v>
      </c>
      <c r="C65" s="482" t="str">
        <f>+'TAREO ACTIVIDADES TOTAL'!C65</f>
        <v>Tarrajeo muros y derrames piso  1</v>
      </c>
      <c r="D65" s="499" t="str">
        <f>+'TAREO ACTIVIDADES TOTAL'!D65</f>
        <v>Tarrajeo, Revoques y Enlucido</v>
      </c>
      <c r="E65" s="534">
        <f t="shared" si="4"/>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0"/>
      <c r="AJ65" s="101"/>
      <c r="AK65" s="52"/>
    </row>
    <row r="66" spans="2:37" ht="15" customHeight="1" thickBot="1">
      <c r="B66" s="106">
        <f t="shared" si="5"/>
        <v>60</v>
      </c>
      <c r="C66" s="482" t="str">
        <f>+'TAREO ACTIVIDADES TOTAL'!C66</f>
        <v>Llavero</v>
      </c>
      <c r="D66" s="499" t="str">
        <f>+'TAREO ACTIVIDADES TOTAL'!D66</f>
        <v>Seguridad Industrial (EPP y EPC), Patrimonial</v>
      </c>
      <c r="E66" s="534">
        <f t="shared" si="4"/>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5"/>
        <v>61</v>
      </c>
      <c r="C67" s="482" t="str">
        <f>+'TAREO ACTIVIDADES TOTAL'!C67</f>
        <v>Encofrado y concreto muro y meza pet sotano 2</v>
      </c>
      <c r="D67" s="499" t="str">
        <f>+'TAREO ACTIVIDADES TOTAL'!D67</f>
        <v>Varios - Arquitectura</v>
      </c>
      <c r="E67" s="534">
        <f t="shared" si="4"/>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5"/>
        <v>62</v>
      </c>
      <c r="C68" s="482" t="str">
        <f>+'TAREO ACTIVIDADES TOTAL'!C68</f>
        <v>Retoque de pintura piloto ventas</v>
      </c>
      <c r="D68" s="499" t="str">
        <f>+'TAREO ACTIVIDADES TOTAL'!D68</f>
        <v>Pintura y recubrimiento</v>
      </c>
      <c r="E68" s="534">
        <f t="shared" si="4"/>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5"/>
        <v>63</v>
      </c>
      <c r="C69" s="482" t="str">
        <f>+'TAREO ACTIVIDADES TOTAL'!C69</f>
        <v>Forrado de inodoros</v>
      </c>
      <c r="D69" s="499" t="str">
        <f>+'TAREO ACTIVIDADES TOTAL'!D69</f>
        <v>Aparatos Sanitarios y Accesorios</v>
      </c>
      <c r="E69" s="534">
        <f t="shared" si="4"/>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5"/>
        <v>64</v>
      </c>
      <c r="C70" s="482" t="str">
        <f>+'TAREO ACTIVIDADES TOTAL'!C70</f>
        <v>Forrado de cerraduras</v>
      </c>
      <c r="D70" s="499" t="str">
        <f>+'TAREO ACTIVIDADES TOTAL'!D70</f>
        <v>Cerrajeria</v>
      </c>
      <c r="E70" s="534">
        <f t="shared" si="4"/>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5"/>
        <v>65</v>
      </c>
      <c r="C71" s="482" t="str">
        <f>+'TAREO ACTIVIDADES TOTAL'!C71</f>
        <v>Colocacion ladrillo adoquines</v>
      </c>
      <c r="D71" s="499" t="str">
        <f>+'TAREO ACTIVIDADES TOTAL'!D71</f>
        <v>otros obras exteriores</v>
      </c>
      <c r="E71" s="534">
        <f t="shared" ref="E71:E76" si="6">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si="5"/>
        <v>66</v>
      </c>
      <c r="C72" s="482" t="s">
        <v>3576</v>
      </c>
      <c r="D72" s="499" t="str">
        <f>+'TAREO ACTIVIDADES TOTAL'!D72</f>
        <v>otros obras exteriores</v>
      </c>
      <c r="E72" s="534">
        <f t="shared" si="6"/>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t="str">
        <f>+'TAREO ACTIVIDADES TOTAL'!C73</f>
        <v>Concreto jardinera y sardineles  exteriores</v>
      </c>
      <c r="D73" s="499" t="str">
        <f>+'TAREO ACTIVIDADES TOTAL'!D73</f>
        <v>Otros, Obras Exteriores</v>
      </c>
      <c r="E73" s="534">
        <f t="shared" si="6"/>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t="str">
        <f>+'TAREO ACTIVIDADES TOTAL'!C74</f>
        <v>Enchapes fachada</v>
      </c>
      <c r="D74" s="499" t="str">
        <f>+'TAREO ACTIVIDADES TOTAL'!D74</f>
        <v>Pisos de enchape ceramico y porcelanato</v>
      </c>
      <c r="E74" s="534">
        <f t="shared" si="6"/>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t="str">
        <f>+'TAREO ACTIVIDADES TOTAL'!C75</f>
        <v xml:space="preserve">Colocacion de señaletias </v>
      </c>
      <c r="D75" s="499" t="str">
        <f>+'TAREO ACTIVIDADES TOTAL'!D75</f>
        <v>Varios - Arquitectura</v>
      </c>
      <c r="E75" s="534">
        <f t="shared" si="6"/>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f>+'TAREO ACTIVIDADES TOTAL'!D76</f>
        <v>0</v>
      </c>
      <c r="E76" s="534">
        <f t="shared" si="6"/>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0.8" thickBot="1">
      <c r="B77" s="634" t="s">
        <v>46</v>
      </c>
      <c r="C77" s="635"/>
      <c r="D77" s="636"/>
      <c r="E77" s="535">
        <f>SUM(E7:E76)</f>
        <v>51</v>
      </c>
      <c r="F77" s="485">
        <f t="shared" ref="F77:AI77" si="7">SUM(F7:F76)</f>
        <v>8.5</v>
      </c>
      <c r="G77" s="485">
        <f t="shared" si="7"/>
        <v>8.5</v>
      </c>
      <c r="H77" s="485">
        <f t="shared" si="7"/>
        <v>8.5</v>
      </c>
      <c r="I77" s="485">
        <f t="shared" si="7"/>
        <v>8.5</v>
      </c>
      <c r="J77" s="485">
        <f t="shared" si="7"/>
        <v>8.5</v>
      </c>
      <c r="K77" s="485">
        <f t="shared" si="7"/>
        <v>8.5</v>
      </c>
      <c r="L77" s="485">
        <f t="shared" si="7"/>
        <v>0</v>
      </c>
      <c r="M77" s="485">
        <f t="shared" si="7"/>
        <v>0</v>
      </c>
      <c r="N77" s="485">
        <f t="shared" si="7"/>
        <v>0</v>
      </c>
      <c r="O77" s="485">
        <v>0</v>
      </c>
      <c r="P77" s="561"/>
      <c r="Q77" s="485">
        <v>0</v>
      </c>
      <c r="R77" s="561"/>
      <c r="S77" s="485"/>
      <c r="T77" s="485"/>
      <c r="U77" s="485"/>
      <c r="V77" s="485">
        <v>0</v>
      </c>
      <c r="W77" s="485">
        <v>0</v>
      </c>
      <c r="X77" s="485">
        <v>0</v>
      </c>
      <c r="Y77" s="485"/>
      <c r="Z77" s="485">
        <v>0</v>
      </c>
      <c r="AA77" s="485">
        <v>0</v>
      </c>
      <c r="AB77" s="485"/>
      <c r="AC77" s="485"/>
      <c r="AD77" s="485"/>
      <c r="AE77" s="485">
        <v>0</v>
      </c>
      <c r="AF77" s="485">
        <v>0</v>
      </c>
      <c r="AG77" s="485">
        <v>0</v>
      </c>
      <c r="AH77" s="485">
        <f t="shared" si="7"/>
        <v>0</v>
      </c>
      <c r="AI77" s="485">
        <f t="shared" si="7"/>
        <v>0</v>
      </c>
      <c r="AJ77" s="485">
        <v>0</v>
      </c>
      <c r="AK77" s="109"/>
    </row>
  </sheetData>
  <mergeCells count="3">
    <mergeCell ref="O3:AJ3"/>
    <mergeCell ref="B2:AJ2"/>
    <mergeCell ref="B77:D77"/>
  </mergeCells>
  <conditionalFormatting sqref="F77:AJ77">
    <cfRule type="cellIs" dxfId="3" priority="1"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94A1-C352-49BD-A610-BCBEE68AC269}">
  <dimension ref="B1:AR78"/>
  <sheetViews>
    <sheetView topLeftCell="C1" zoomScale="80" zoomScaleNormal="80" workbookViewId="0">
      <pane ySplit="6" topLeftCell="A7" activePane="bottomLeft" state="frozen"/>
      <selection pane="bottomLeft" activeCell="C5" sqref="C5:K20"/>
    </sheetView>
  </sheetViews>
  <sheetFormatPr baseColWidth="10" defaultColWidth="11.44140625" defaultRowHeight="10.199999999999999"/>
  <cols>
    <col min="1" max="1" width="2.109375" style="29" customWidth="1"/>
    <col min="2" max="2" width="6.88671875" style="29" customWidth="1"/>
    <col min="3" max="3" width="47.441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c r="AQ2" s="639"/>
    </row>
    <row r="3" spans="2:44" ht="15" customHeight="1" thickBot="1">
      <c r="B3" s="30" t="s">
        <v>39</v>
      </c>
      <c r="C3" s="31" t="s">
        <v>35</v>
      </c>
      <c r="D3" s="32"/>
      <c r="E3" s="532"/>
      <c r="F3" s="32"/>
      <c r="G3" s="32"/>
      <c r="H3" s="32"/>
      <c r="I3" s="32"/>
      <c r="J3" s="32"/>
      <c r="K3" s="32"/>
      <c r="L3" s="50"/>
      <c r="M3" s="50"/>
      <c r="N3" s="34" t="s">
        <v>47</v>
      </c>
      <c r="O3" s="631">
        <f>+'TAREO MIERCOLES'!O3:AP3+1</f>
        <v>45714</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Trabajos provisionales almacen</v>
      </c>
      <c r="D7" s="554"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47" si="2">B7+1</f>
        <v>2</v>
      </c>
      <c r="C8" s="482" t="str">
        <f>+'TAREO ACTIVIDADES TOTAL'!C8</f>
        <v xml:space="preserve">vigia </v>
      </c>
      <c r="D8" s="499" t="str">
        <f>+'TAREO ACTIVIDADES TOTAL'!D8</f>
        <v>Seguridad Industrial (EPP y EPC), Patrimonial</v>
      </c>
      <c r="E8" s="534">
        <f t="shared" si="1"/>
        <v>17</v>
      </c>
      <c r="F8" s="493">
        <v>8.5</v>
      </c>
      <c r="G8" s="100"/>
      <c r="H8" s="104"/>
      <c r="I8" s="100"/>
      <c r="J8" s="100"/>
      <c r="K8" s="100">
        <v>8.5</v>
      </c>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monitor</v>
      </c>
      <c r="D9" s="499" t="str">
        <f>+'TAREO ACTIVIDADES TOTAL'!D9</f>
        <v>Seguridad Industrial (EPP y EPC), Patrimonial</v>
      </c>
      <c r="E9" s="534">
        <f t="shared" si="1"/>
        <v>0</v>
      </c>
      <c r="F9" s="493"/>
      <c r="G9" s="100"/>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SNDICATO</v>
      </c>
      <c r="D11" s="499" t="str">
        <f>+'TAREO ACTIVIDADES TOTAL'!D11</f>
        <v>Seguridad Industrial (EPP y EPC), Patrimonial</v>
      </c>
      <c r="E11" s="534">
        <f t="shared" si="1"/>
        <v>8.5</v>
      </c>
      <c r="F11" s="493"/>
      <c r="G11" s="100"/>
      <c r="H11" s="104">
        <v>8.5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t="s">
        <v>78</v>
      </c>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4</v>
      </c>
      <c r="F15" s="493"/>
      <c r="G15" s="100">
        <v>4</v>
      </c>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umedecer terreno</v>
      </c>
      <c r="D20" s="499" t="str">
        <f>+'TAREO ACTIVIDADES TOTAL'!D20</f>
        <v>movimientos de tierra</v>
      </c>
      <c r="E20" s="534">
        <f t="shared" si="1"/>
        <v>4.5</v>
      </c>
      <c r="F20" s="493"/>
      <c r="G20" s="100">
        <v>4.5</v>
      </c>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3523</v>
      </c>
    </row>
    <row r="35" spans="2:37"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ref="B48:B76" si="4">B47+1</f>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t="str">
        <f>+'TAREO ACTIVIDADES TOTAL'!C54</f>
        <v>Siliconeado de muebles de melamine - cocinas, closet</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40" ht="15" customHeight="1" thickBot="1">
      <c r="B65" s="106">
        <f t="shared" si="4"/>
        <v>59</v>
      </c>
      <c r="C65" s="482" t="str">
        <f>+'TAREO ACTIVIDADES TOTAL'!C65</f>
        <v>Tarrajeo muros y derrames piso  1</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40" ht="15" customHeight="1" thickBot="1">
      <c r="B66" s="106">
        <f t="shared" si="4"/>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40" ht="15" customHeight="1" thickBot="1">
      <c r="B67" s="106">
        <f t="shared" si="4"/>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40" ht="15" customHeight="1" thickBot="1">
      <c r="B68" s="106">
        <f t="shared" si="4"/>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40" ht="15" customHeight="1" thickBot="1">
      <c r="B69" s="106">
        <f t="shared" si="4"/>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40" ht="15" customHeight="1" thickBot="1">
      <c r="B70" s="106">
        <f t="shared" si="4"/>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40" ht="15" customHeight="1" thickBot="1">
      <c r="B71" s="106">
        <f t="shared" si="4"/>
        <v>65</v>
      </c>
      <c r="C71" s="482" t="str">
        <f>+'TAREO ACTIVIDADES TOTAL'!C71</f>
        <v>Colocacion ladrillo adoquines</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40" ht="15" customHeight="1" thickBot="1">
      <c r="B72" s="106">
        <f t="shared" si="4"/>
        <v>66</v>
      </c>
      <c r="C72" s="482" t="str">
        <f>+'TAREO ACTIVIDADES TOTAL'!C72</f>
        <v>concreto rampa buñado exteriores</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40" ht="15" customHeight="1" thickBot="1">
      <c r="B73" s="106">
        <f t="shared" si="4"/>
        <v>67</v>
      </c>
      <c r="C73" s="482" t="str">
        <f>+'TAREO ACTIVIDADES TOTAL'!C73</f>
        <v>Concreto jardinera y sardineles  exteriores</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40" ht="15" customHeight="1" thickBot="1">
      <c r="B74" s="106">
        <f t="shared" si="4"/>
        <v>68</v>
      </c>
      <c r="C74" s="482" t="str">
        <f>+'TAREO ACTIVIDADES TOTAL'!C74</f>
        <v>Enchapes fachada</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40" ht="15" customHeight="1" thickBot="1">
      <c r="B75" s="106">
        <f t="shared" si="4"/>
        <v>69</v>
      </c>
      <c r="C75" s="482" t="str">
        <f>+'TAREO ACTIVIDADES TOTAL'!C75</f>
        <v xml:space="preserve">Colocacion de señaletias </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40" ht="15" customHeight="1" thickBot="1">
      <c r="B76" s="536">
        <f t="shared" si="4"/>
        <v>70</v>
      </c>
      <c r="C76" s="482">
        <f>+'TAREO ACTIVIDADES TOTAL'!C76</f>
        <v>0</v>
      </c>
      <c r="D76" s="499">
        <f>+'TAREO ACTIVIDADES TOTAL'!D76</f>
        <v>0</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40" ht="10.8" thickBot="1">
      <c r="B77" s="634" t="s">
        <v>46</v>
      </c>
      <c r="C77" s="635"/>
      <c r="D77" s="636"/>
      <c r="E77" s="535">
        <f>SUM(E7:E76)</f>
        <v>51</v>
      </c>
      <c r="F77" s="485">
        <f t="shared" ref="F77:O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c r="Q77" s="485">
        <v>0</v>
      </c>
      <c r="R77" s="485"/>
      <c r="S77" s="485"/>
      <c r="T77" s="485"/>
      <c r="U77" s="485"/>
      <c r="V77" s="485">
        <v>0</v>
      </c>
      <c r="W77" s="485">
        <v>0</v>
      </c>
      <c r="X77" s="485">
        <f>SUM(W7:W76)</f>
        <v>0</v>
      </c>
      <c r="Y77" s="485"/>
      <c r="Z77" s="485">
        <v>0</v>
      </c>
      <c r="AA77" s="485">
        <v>0</v>
      </c>
      <c r="AB77" s="485"/>
      <c r="AC77" s="485">
        <f>SUM(AB7:AB76)</f>
        <v>0</v>
      </c>
      <c r="AD77" s="485">
        <f>SUM(AC7:AC76)</f>
        <v>0</v>
      </c>
      <c r="AE77" s="485">
        <v>0</v>
      </c>
      <c r="AF77" s="485">
        <v>0</v>
      </c>
      <c r="AG77" s="485">
        <v>0</v>
      </c>
      <c r="AH77" s="485">
        <v>0</v>
      </c>
      <c r="AI77" s="485">
        <v>0</v>
      </c>
      <c r="AJ77" s="561"/>
      <c r="AK77" s="561"/>
      <c r="AL77" s="561"/>
      <c r="AM77" s="109">
        <f t="shared" ref="AM77" si="7">SUM(AJ7:AJ76)</f>
        <v>0</v>
      </c>
      <c r="AN77" s="109"/>
    </row>
    <row r="78" spans="2:40">
      <c r="Z78" s="29">
        <v>0</v>
      </c>
    </row>
  </sheetData>
  <mergeCells count="3">
    <mergeCell ref="B2:AQ2"/>
    <mergeCell ref="O3:AP3"/>
    <mergeCell ref="B77:D77"/>
  </mergeCells>
  <conditionalFormatting sqref="F77:AL77">
    <cfRule type="cellIs" dxfId="2" priority="1" operator="equal">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E0BC0-6E1D-402A-92B1-D6D28507F74B}">
  <dimension ref="A1:AQ87"/>
  <sheetViews>
    <sheetView topLeftCell="C1" zoomScale="80" zoomScaleNormal="80" workbookViewId="0">
      <pane ySplit="6" topLeftCell="A7" activePane="bottomLeft" state="frozen"/>
      <selection pane="bottomLeft" activeCell="K5" sqref="C5:K20"/>
    </sheetView>
  </sheetViews>
  <sheetFormatPr baseColWidth="10" defaultColWidth="11.44140625" defaultRowHeight="10.199999999999999"/>
  <cols>
    <col min="1" max="1" width="2.109375" style="29" customWidth="1"/>
    <col min="2" max="2" width="6.88671875" style="29" customWidth="1"/>
    <col min="3" max="3" width="43.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3" ht="10.8" thickBot="1"/>
    <row r="2" spans="2:43" ht="15" customHeight="1" thickBot="1">
      <c r="B2" s="5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c r="AQ2" s="639"/>
    </row>
    <row r="3" spans="2:43" ht="15" customHeight="1" thickBot="1">
      <c r="B3" s="30" t="s">
        <v>39</v>
      </c>
      <c r="C3" s="31" t="s">
        <v>35</v>
      </c>
      <c r="D3" s="32"/>
      <c r="E3" s="532"/>
      <c r="F3" s="32"/>
      <c r="G3" s="32"/>
      <c r="H3" s="32"/>
      <c r="I3" s="32"/>
      <c r="J3" s="32"/>
      <c r="K3" s="32"/>
      <c r="L3" s="50"/>
      <c r="M3" s="50"/>
      <c r="N3" s="34" t="s">
        <v>47</v>
      </c>
      <c r="O3" s="631">
        <f>+'TAREO JUEVES'!O3:AP3+1</f>
        <v>45715</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537" t="s">
        <v>56</v>
      </c>
    </row>
    <row r="4" spans="2:43"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3"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3"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3" ht="15" customHeight="1" thickBot="1">
      <c r="B7" s="105">
        <v>1</v>
      </c>
      <c r="C7" s="481" t="str">
        <f>+'TAREO ACTIVIDADES TOTAL'!C7</f>
        <v>Trabajos provisionales almacen</v>
      </c>
      <c r="D7" s="554"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3" ht="15" customHeight="1" thickBot="1">
      <c r="B8" s="106">
        <f t="shared" ref="B8:B47" si="2">B7+1</f>
        <v>2</v>
      </c>
      <c r="C8" s="482" t="str">
        <f>+'TAREO ACTIVIDADES TOTAL'!C8</f>
        <v xml:space="preserve">vigia </v>
      </c>
      <c r="D8" s="499" t="str">
        <f>+'TAREO ACTIVIDADES TOTAL'!D8</f>
        <v>Seguridad Industrial (EPP y EPC), Patrimonial</v>
      </c>
      <c r="E8" s="534">
        <f t="shared" si="1"/>
        <v>8.5</v>
      </c>
      <c r="F8" s="493">
        <v>8.5</v>
      </c>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3"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3"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3" ht="15" customHeight="1" thickBot="1">
      <c r="B11" s="106">
        <f t="shared" si="2"/>
        <v>5</v>
      </c>
      <c r="C11" s="482" t="str">
        <f>+'TAREO ACTIVIDADES TOTAL'!C11</f>
        <v>SNDICATO</v>
      </c>
      <c r="D11" s="499" t="str">
        <f>+'TAREO ACTIVIDADES TOTAL'!D11</f>
        <v>Seguridad Industrial (EPP y EPC), Patrimonial</v>
      </c>
      <c r="E11" s="534">
        <f t="shared" si="1"/>
        <v>8.5</v>
      </c>
      <c r="F11" s="493"/>
      <c r="G11" s="100"/>
      <c r="H11" s="104">
        <v>8.5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3"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3530</v>
      </c>
    </row>
    <row r="13" spans="2:43"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3"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3"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3" ht="15" customHeight="1" thickBot="1">
      <c r="B16" s="106">
        <f t="shared" si="2"/>
        <v>10</v>
      </c>
      <c r="C16" s="482" t="str">
        <f>+'TAREO ACTIVIDADES TOTAL'!C16</f>
        <v xml:space="preserve">Topografia </v>
      </c>
      <c r="D16" s="499" t="str">
        <f>+'TAREO ACTIVIDADES TOTAL'!D16</f>
        <v>Topografia</v>
      </c>
      <c r="E16" s="534">
        <f t="shared" si="1"/>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t="s">
        <v>3521</v>
      </c>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umedecer terreno</v>
      </c>
      <c r="D20" s="499" t="str">
        <f>+'TAREO ACTIVIDADES TOTAL'!D20</f>
        <v>movimientos de tierra</v>
      </c>
      <c r="E20" s="534">
        <f t="shared" si="1"/>
        <v>8.5</v>
      </c>
      <c r="F20" s="493"/>
      <c r="G20" s="100">
        <v>8.5</v>
      </c>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1:37"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1:37"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3524</v>
      </c>
    </row>
    <row r="35" spans="1:37"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1:37"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1: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1:37"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1:37"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1:37"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1:37"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1:37"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1:37" ht="15" customHeight="1" thickBot="1">
      <c r="A43" s="29" t="s">
        <v>3525</v>
      </c>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1:37"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1:37"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1:37"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1:37"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1:37" ht="15" customHeight="1" thickBot="1">
      <c r="B48" s="106">
        <f t="shared" ref="B48:B76" si="4">B47+1</f>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t="str">
        <f>+'TAREO ACTIVIDADES TOTAL'!C54</f>
        <v>Siliconeado de muebles de melamine - cocinas, closet</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t="str">
        <f>+'TAREO ACTIVIDADES TOTAL'!C65</f>
        <v>Tarrajeo muros y derrames piso  1</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t="s">
        <v>3554</v>
      </c>
    </row>
    <row r="69" spans="2:37" ht="15" customHeight="1" thickBot="1">
      <c r="B69" s="106">
        <f t="shared" si="4"/>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t="str">
        <f>+'TAREO ACTIVIDADES TOTAL'!C71</f>
        <v>Colocacion ladrillo adoquines</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t="str">
        <f>+'TAREO ACTIVIDADES TOTAL'!C72</f>
        <v>concreto rampa buñado exteriores</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t="str">
        <f>+'TAREO ACTIVIDADES TOTAL'!C73</f>
        <v>Concreto jardinera y sardineles  exteriores</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t="str">
        <f>+'TAREO ACTIVIDADES TOTAL'!C74</f>
        <v>Enchapes fachada</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t="str">
        <f>+'TAREO ACTIVIDADES TOTAL'!C75</f>
        <v xml:space="preserve">Colocacion de señaletias </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f>+'TAREO ACTIVIDADES TOTAL'!D76</f>
        <v>0</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4" t="s">
        <v>46</v>
      </c>
      <c r="C77" s="635"/>
      <c r="D77" s="636"/>
      <c r="E77" s="535">
        <f>SUM(E7:E76)</f>
        <v>51</v>
      </c>
      <c r="F77" s="485">
        <f t="shared" ref="F77:AI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c r="AK77" s="109"/>
    </row>
    <row r="87" spans="1:1">
      <c r="A87" s="29" t="s">
        <v>3533</v>
      </c>
    </row>
  </sheetData>
  <mergeCells count="3">
    <mergeCell ref="C2:AQ2"/>
    <mergeCell ref="O3:AP3"/>
    <mergeCell ref="B77:D77"/>
  </mergeCells>
  <conditionalFormatting sqref="F77:AI77">
    <cfRule type="cellIs" dxfId="1" priority="1"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87097-959E-4418-A0F1-0C1EA5FD04AD}">
  <dimension ref="B1:AR77"/>
  <sheetViews>
    <sheetView topLeftCell="C1" zoomScale="80" zoomScaleNormal="80" workbookViewId="0">
      <pane ySplit="6" topLeftCell="A7" activePane="bottomLeft" state="frozen"/>
      <selection pane="bottomLeft" activeCell="K20" sqref="C5:K20"/>
    </sheetView>
  </sheetViews>
  <sheetFormatPr baseColWidth="10" defaultColWidth="11.44140625" defaultRowHeight="10.199999999999999"/>
  <cols>
    <col min="1" max="1" width="2.109375" style="29" customWidth="1"/>
    <col min="2" max="2" width="7.44140625" style="29" customWidth="1"/>
    <col min="3" max="3" width="46.554687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c r="AQ2" s="639"/>
    </row>
    <row r="3" spans="2:44" ht="15" customHeight="1" thickBot="1">
      <c r="B3" s="30" t="s">
        <v>39</v>
      </c>
      <c r="C3" s="31" t="s">
        <v>35</v>
      </c>
      <c r="D3" s="32"/>
      <c r="E3" s="532"/>
      <c r="F3" s="32"/>
      <c r="G3" s="32"/>
      <c r="H3" s="32"/>
      <c r="I3" s="32"/>
      <c r="J3" s="32"/>
      <c r="K3" s="32"/>
      <c r="L3" s="50"/>
      <c r="M3" s="50"/>
      <c r="N3" s="34" t="s">
        <v>47</v>
      </c>
      <c r="O3" s="631">
        <f>+'TAREO VIERNES'!O3:AP3+1</f>
        <v>45716</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Trabajos provisionales almacen</v>
      </c>
      <c r="D7" s="554"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c r="AL7" s="109"/>
    </row>
    <row r="8" spans="2:44" ht="15" customHeight="1" thickBot="1">
      <c r="B8" s="106">
        <f t="shared" ref="B8:B47" si="2">B7+1</f>
        <v>2</v>
      </c>
      <c r="C8" s="482" t="s">
        <v>3617</v>
      </c>
      <c r="D8" s="499" t="str">
        <f>+'TAREO ACTIVIDADES TOTAL'!D8</f>
        <v>Seguridad Industrial (EPP y EPC), Patrimonial</v>
      </c>
      <c r="E8" s="534">
        <f t="shared" si="1"/>
        <v>11</v>
      </c>
      <c r="F8" s="493">
        <v>5.5</v>
      </c>
      <c r="G8" s="100"/>
      <c r="H8" s="104">
        <v>5.5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c r="AL8" s="109"/>
    </row>
    <row r="9" spans="2:44" ht="15" customHeight="1" thickBot="1">
      <c r="B9" s="106">
        <f t="shared" si="2"/>
        <v>3</v>
      </c>
      <c r="C9" s="482" t="str">
        <f>+'TAREO ACTIVIDADES TOTAL'!C9</f>
        <v>monitor</v>
      </c>
      <c r="D9" s="499" t="str">
        <f>+'TAREO ACTIVIDADES TOTAL'!D9</f>
        <v>Seguridad Industrial (EPP y EPC), Patrimonial</v>
      </c>
      <c r="E9" s="534">
        <f t="shared" si="1"/>
        <v>5.5</v>
      </c>
      <c r="F9" s="493"/>
      <c r="G9" s="100"/>
      <c r="H9" s="104"/>
      <c r="I9" s="100"/>
      <c r="J9" s="100"/>
      <c r="K9" s="100">
        <v>5.5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c r="AL9" s="109"/>
    </row>
    <row r="10" spans="2:44" ht="15" customHeight="1" thickBot="1">
      <c r="B10" s="106">
        <f t="shared" si="2"/>
        <v>4</v>
      </c>
      <c r="C10" s="482" t="str">
        <f>+'TAREO ACTIVIDADES TOTAL'!C10</f>
        <v>Limpieza de obra</v>
      </c>
      <c r="D10" s="499" t="str">
        <f>+'TAREO ACTIVIDADES TOTAL'!D10</f>
        <v>Varios - Obras Provisionales</v>
      </c>
      <c r="E10" s="534">
        <f t="shared" si="1"/>
        <v>3</v>
      </c>
      <c r="F10" s="493"/>
      <c r="G10" s="100">
        <v>3</v>
      </c>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c r="AL10" s="109"/>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c r="AL11" s="109"/>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3529</v>
      </c>
      <c r="AL12" s="109"/>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c r="AL13" s="109"/>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c r="AL14" s="109"/>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c r="AL15" s="109"/>
    </row>
    <row r="16" spans="2:44" ht="15" customHeight="1" thickBot="1">
      <c r="B16" s="106">
        <f t="shared" si="2"/>
        <v>10</v>
      </c>
      <c r="C16" s="482" t="str">
        <f>+'TAREO ACTIVIDADES TOTAL'!C16</f>
        <v xml:space="preserve">Topografia </v>
      </c>
      <c r="D16" s="499" t="str">
        <f>+'TAREO ACTIVIDADES TOTAL'!D16</f>
        <v>Topografia</v>
      </c>
      <c r="E16" s="534">
        <f t="shared" si="1"/>
        <v>11</v>
      </c>
      <c r="F16" s="493"/>
      <c r="G16" s="100"/>
      <c r="H16" s="104"/>
      <c r="I16" s="100">
        <v>5.5</v>
      </c>
      <c r="J16" s="100">
        <v>5.5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c r="AL16" s="109"/>
    </row>
    <row r="17" spans="2:38"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c r="AL17" s="109"/>
    </row>
    <row r="18" spans="2:38"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c r="AL18" s="109"/>
    </row>
    <row r="19" spans="2:38"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c r="AL19" s="109"/>
    </row>
    <row r="20" spans="2:38" ht="15" customHeight="1" thickBot="1">
      <c r="B20" s="106">
        <f t="shared" si="2"/>
        <v>14</v>
      </c>
      <c r="C20" s="482" t="str">
        <f>+'TAREO ACTIVIDADES TOTAL'!C20</f>
        <v>umedecer terreno</v>
      </c>
      <c r="D20" s="499" t="str">
        <f>+'TAREO ACTIVIDADES TOTAL'!D20</f>
        <v>movimientos de tierra</v>
      </c>
      <c r="E20" s="534">
        <f t="shared" si="1"/>
        <v>2.5</v>
      </c>
      <c r="F20" s="493"/>
      <c r="G20" s="100">
        <v>2.5</v>
      </c>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c r="AL20" s="109"/>
    </row>
    <row r="21" spans="2:38"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c r="AL21" s="109"/>
    </row>
    <row r="22" spans="2:38"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c r="AL22" s="109"/>
    </row>
    <row r="23" spans="2:38"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t="s">
        <v>3552</v>
      </c>
      <c r="AL23" s="109"/>
    </row>
    <row r="24" spans="2:38"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c r="AL24" s="109"/>
    </row>
    <row r="25" spans="2:38"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c r="AL25" s="109"/>
    </row>
    <row r="26" spans="2:38"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c r="AL26" s="109"/>
    </row>
    <row r="27" spans="2:38"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c r="AL27" s="109"/>
    </row>
    <row r="28" spans="2:38"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c r="AL28" s="109"/>
    </row>
    <row r="29" spans="2:38"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c r="AL29" s="109"/>
    </row>
    <row r="30" spans="2:38"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c r="AL30" s="109"/>
    </row>
    <row r="31" spans="2:38"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c r="AL31" s="109"/>
    </row>
    <row r="32" spans="2:38"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c r="AL32" s="109"/>
    </row>
    <row r="33" spans="2:38"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c r="AL33" s="109"/>
    </row>
    <row r="34" spans="2:38"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c r="AL34" s="109"/>
    </row>
    <row r="35" spans="2:38"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c r="AL35" s="109"/>
    </row>
    <row r="36" spans="2:38"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c r="AL36" s="109"/>
    </row>
    <row r="37" spans="2:38"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c r="AL37" s="109"/>
    </row>
    <row r="38" spans="2:38"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c r="AL38" s="109"/>
    </row>
    <row r="39" spans="2:38"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c r="AL39" s="109"/>
    </row>
    <row r="40" spans="2:38"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c r="AL40" s="109"/>
    </row>
    <row r="41" spans="2:38"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c r="AL41" s="109"/>
    </row>
    <row r="42" spans="2:38"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c r="AL42" s="109"/>
    </row>
    <row r="43" spans="2:38" ht="15" customHeight="1" thickBot="1">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c r="AL43" s="109"/>
    </row>
    <row r="44" spans="2:38"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c r="AL44" s="109"/>
    </row>
    <row r="45" spans="2:38"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c r="AL45" s="109"/>
    </row>
    <row r="46" spans="2:38"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c r="AL46" s="109"/>
    </row>
    <row r="47" spans="2:38"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c r="AL47" s="109"/>
    </row>
    <row r="48" spans="2:38" ht="15" customHeight="1" thickBot="1">
      <c r="B48" s="106">
        <f t="shared" ref="B48:B76" si="4">B47+1</f>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2"/>
      <c r="AL48" s="109"/>
    </row>
    <row r="49" spans="2:37" ht="15" customHeight="1" thickBot="1">
      <c r="B49" s="106">
        <f t="shared" si="4"/>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t="str">
        <f>+'TAREO ACTIVIDADES TOTAL'!C54</f>
        <v>Siliconeado de muebles de melamine - cocinas, closet</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8" ht="15" customHeight="1" thickBot="1">
      <c r="B65" s="106">
        <f t="shared" si="4"/>
        <v>59</v>
      </c>
      <c r="C65" s="482" t="str">
        <f>+'TAREO ACTIVIDADES TOTAL'!C65</f>
        <v>Tarrajeo muros y derrames piso  1</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8" ht="15" customHeight="1" thickBot="1">
      <c r="B66" s="106">
        <f t="shared" si="4"/>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8" ht="15" customHeight="1" thickBot="1">
      <c r="B67" s="106">
        <f t="shared" si="4"/>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8" ht="15" customHeight="1" thickBot="1">
      <c r="B68" s="106">
        <f t="shared" si="4"/>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8" ht="15" customHeight="1" thickBot="1">
      <c r="B69" s="106">
        <f t="shared" si="4"/>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8" ht="15" customHeight="1" thickBot="1">
      <c r="B70" s="106">
        <f t="shared" si="4"/>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8" ht="15" customHeight="1" thickBot="1">
      <c r="B71" s="106">
        <f t="shared" si="4"/>
        <v>65</v>
      </c>
      <c r="C71" s="482" t="str">
        <f>+'TAREO ACTIVIDADES TOTAL'!C71</f>
        <v>Colocacion ladrillo adoquines</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8" ht="15" customHeight="1" thickBot="1">
      <c r="B72" s="106">
        <f t="shared" si="4"/>
        <v>66</v>
      </c>
      <c r="C72" s="482" t="str">
        <f>+'TAREO ACTIVIDADES TOTAL'!C72</f>
        <v>concreto rampa buñado exteriores</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8" ht="15" customHeight="1" thickBot="1">
      <c r="B73" s="106">
        <f t="shared" si="4"/>
        <v>67</v>
      </c>
      <c r="C73" s="482" t="str">
        <f>+'TAREO ACTIVIDADES TOTAL'!C73</f>
        <v>Concreto jardinera y sardineles  exteriores</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8" ht="15" customHeight="1" thickBot="1">
      <c r="B74" s="106">
        <f t="shared" si="4"/>
        <v>68</v>
      </c>
      <c r="C74" s="482" t="str">
        <f>+'TAREO ACTIVIDADES TOTAL'!C74</f>
        <v>Enchapes fachada</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8" ht="15" customHeight="1" thickBot="1">
      <c r="B75" s="106">
        <f t="shared" si="4"/>
        <v>69</v>
      </c>
      <c r="C75" s="482" t="str">
        <f>+'TAREO ACTIVIDADES TOTAL'!C75</f>
        <v xml:space="preserve">Colocacion de señaletias </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8" ht="15" customHeight="1" thickBot="1">
      <c r="B76" s="536">
        <f t="shared" si="4"/>
        <v>70</v>
      </c>
      <c r="C76" s="482">
        <f>+'TAREO ACTIVIDADES TOTAL'!C76</f>
        <v>0</v>
      </c>
      <c r="D76" s="499">
        <f>+'TAREO ACTIVIDADES TOTAL'!D76</f>
        <v>0</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8" ht="10.8" thickBot="1">
      <c r="B77" s="634" t="s">
        <v>46</v>
      </c>
      <c r="C77" s="635"/>
      <c r="D77" s="636"/>
      <c r="E77" s="535">
        <f>SUM(E7:E76)</f>
        <v>33</v>
      </c>
      <c r="F77" s="485">
        <f t="shared" ref="F77:AJ77" si="6">SUM(F7:F76)</f>
        <v>5.5</v>
      </c>
      <c r="G77" s="485">
        <f t="shared" si="6"/>
        <v>5.5</v>
      </c>
      <c r="H77" s="485">
        <f t="shared" si="6"/>
        <v>5.5</v>
      </c>
      <c r="I77" s="485">
        <f t="shared" si="6"/>
        <v>5.5</v>
      </c>
      <c r="J77" s="485">
        <f t="shared" si="6"/>
        <v>5.5</v>
      </c>
      <c r="K77" s="485">
        <f t="shared" si="6"/>
        <v>5.5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33</v>
      </c>
      <c r="AL77" s="109"/>
    </row>
  </sheetData>
  <mergeCells count="3">
    <mergeCell ref="B2:AQ2"/>
    <mergeCell ref="O3:AP3"/>
    <mergeCell ref="B77:D77"/>
  </mergeCells>
  <conditionalFormatting sqref="F77:AI77">
    <cfRule type="cellIs" dxfId="0" priority="1" operator="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C5976-C9F5-4666-8612-7A17BED43C3D}">
  <sheetPr>
    <tabColor rgb="FF92D050"/>
  </sheetPr>
  <dimension ref="B3:G60"/>
  <sheetViews>
    <sheetView zoomScale="55" zoomScaleNormal="55" workbookViewId="0">
      <selection activeCell="I38" sqref="I38"/>
    </sheetView>
  </sheetViews>
  <sheetFormatPr baseColWidth="10" defaultRowHeight="14.4"/>
  <cols>
    <col min="1" max="1" width="3" customWidth="1"/>
    <col min="2" max="2" width="17.44140625" style="581" customWidth="1"/>
    <col min="3" max="3" width="19.5546875" style="581" bestFit="1" customWidth="1"/>
    <col min="4" max="4" width="45.77734375" bestFit="1" customWidth="1"/>
    <col min="5" max="5" width="49.21875" style="579" bestFit="1" customWidth="1"/>
    <col min="6" max="6" width="43.109375" style="579" bestFit="1" customWidth="1"/>
    <col min="7" max="7" width="18.109375" customWidth="1"/>
    <col min="8" max="8" width="43.109375" bestFit="1" customWidth="1"/>
    <col min="9" max="9" width="38.109375" bestFit="1" customWidth="1"/>
    <col min="10" max="10" width="28.44140625" bestFit="1" customWidth="1"/>
    <col min="11" max="11" width="37.33203125" bestFit="1" customWidth="1"/>
    <col min="12" max="13" width="37.109375" bestFit="1" customWidth="1"/>
    <col min="14" max="14" width="10.33203125" bestFit="1" customWidth="1"/>
    <col min="15" max="15" width="37.109375" bestFit="1" customWidth="1"/>
  </cols>
  <sheetData>
    <row r="3" spans="2:7">
      <c r="B3" s="575" t="s">
        <v>3618</v>
      </c>
      <c r="C3" s="575" t="s">
        <v>3619</v>
      </c>
      <c r="D3" s="576" t="s">
        <v>43</v>
      </c>
      <c r="E3" s="575" t="s">
        <v>58</v>
      </c>
      <c r="F3" s="575" t="s">
        <v>3620</v>
      </c>
      <c r="G3" s="575" t="s">
        <v>3621</v>
      </c>
    </row>
    <row r="4" spans="2:7">
      <c r="B4" s="577">
        <v>46076</v>
      </c>
      <c r="C4" s="578">
        <f t="shared" ref="C4:C42" si="0">WEEKNUM(B4,2)-7</f>
        <v>2</v>
      </c>
      <c r="D4" t="s">
        <v>3609</v>
      </c>
      <c r="E4" s="579" t="s">
        <v>60</v>
      </c>
      <c r="F4" t="s">
        <v>3622</v>
      </c>
      <c r="G4" s="580">
        <v>8.5</v>
      </c>
    </row>
    <row r="5" spans="2:7">
      <c r="B5" s="577">
        <v>46076</v>
      </c>
      <c r="C5" s="578">
        <f t="shared" si="0"/>
        <v>2</v>
      </c>
      <c r="D5" t="s">
        <v>3598</v>
      </c>
      <c r="E5" s="579" t="s">
        <v>3597</v>
      </c>
      <c r="F5" t="s">
        <v>3623</v>
      </c>
      <c r="G5" s="580">
        <v>8.5</v>
      </c>
    </row>
    <row r="6" spans="2:7">
      <c r="B6" s="577">
        <v>46076</v>
      </c>
      <c r="C6" s="578">
        <f t="shared" si="0"/>
        <v>2</v>
      </c>
      <c r="D6" t="s">
        <v>3608</v>
      </c>
      <c r="E6" s="579" t="s">
        <v>60</v>
      </c>
      <c r="F6" t="s">
        <v>3624</v>
      </c>
      <c r="G6" s="580">
        <v>8.5</v>
      </c>
    </row>
    <row r="7" spans="2:7">
      <c r="B7" s="577">
        <v>46076</v>
      </c>
      <c r="C7" s="578">
        <f t="shared" si="0"/>
        <v>2</v>
      </c>
      <c r="D7" t="s">
        <v>55</v>
      </c>
      <c r="E7" s="579" t="s">
        <v>61</v>
      </c>
      <c r="F7" t="s">
        <v>3625</v>
      </c>
      <c r="G7" s="580">
        <v>8.5</v>
      </c>
    </row>
    <row r="8" spans="2:7">
      <c r="B8" s="577">
        <v>46076</v>
      </c>
      <c r="C8" s="578">
        <f t="shared" si="0"/>
        <v>2</v>
      </c>
      <c r="D8" t="s">
        <v>55</v>
      </c>
      <c r="E8" s="579" t="s">
        <v>61</v>
      </c>
      <c r="F8" t="s">
        <v>3626</v>
      </c>
      <c r="G8" s="580">
        <v>8.5</v>
      </c>
    </row>
    <row r="9" spans="2:7">
      <c r="B9" s="577">
        <v>46076</v>
      </c>
      <c r="C9" s="578">
        <f t="shared" si="0"/>
        <v>2</v>
      </c>
      <c r="D9" t="s">
        <v>3614</v>
      </c>
      <c r="E9" s="579" t="s">
        <v>60</v>
      </c>
      <c r="F9" t="s">
        <v>3627</v>
      </c>
      <c r="G9" s="580">
        <v>8.5</v>
      </c>
    </row>
    <row r="10" spans="2:7">
      <c r="B10" s="577">
        <v>46077</v>
      </c>
      <c r="C10" s="578">
        <f t="shared" si="0"/>
        <v>2</v>
      </c>
      <c r="D10" t="s">
        <v>3610</v>
      </c>
      <c r="E10" s="579" t="s">
        <v>60</v>
      </c>
      <c r="F10" t="s">
        <v>3622</v>
      </c>
      <c r="G10" s="580">
        <v>8.5</v>
      </c>
    </row>
    <row r="11" spans="2:7">
      <c r="B11" s="577">
        <v>46077</v>
      </c>
      <c r="C11" s="578">
        <f t="shared" si="0"/>
        <v>2</v>
      </c>
      <c r="D11" t="s">
        <v>3528</v>
      </c>
      <c r="E11" s="579" t="s">
        <v>117</v>
      </c>
      <c r="F11" t="s">
        <v>3623</v>
      </c>
      <c r="G11" s="580">
        <v>8.5</v>
      </c>
    </row>
    <row r="12" spans="2:7">
      <c r="B12" s="577">
        <v>46077</v>
      </c>
      <c r="C12" s="578">
        <f t="shared" si="0"/>
        <v>2</v>
      </c>
      <c r="D12" t="s">
        <v>44</v>
      </c>
      <c r="E12" s="579" t="s">
        <v>3544</v>
      </c>
      <c r="F12" t="s">
        <v>3624</v>
      </c>
      <c r="G12" s="580">
        <v>8.5</v>
      </c>
    </row>
    <row r="13" spans="2:7">
      <c r="B13" s="577">
        <v>46077</v>
      </c>
      <c r="C13" s="578">
        <f t="shared" si="0"/>
        <v>2</v>
      </c>
      <c r="D13" t="s">
        <v>55</v>
      </c>
      <c r="E13" s="579" t="s">
        <v>61</v>
      </c>
      <c r="F13" t="s">
        <v>3625</v>
      </c>
      <c r="G13" s="580">
        <v>8.5</v>
      </c>
    </row>
    <row r="14" spans="2:7">
      <c r="B14" s="577">
        <v>46077</v>
      </c>
      <c r="C14" s="578">
        <f t="shared" si="0"/>
        <v>2</v>
      </c>
      <c r="D14" t="s">
        <v>55</v>
      </c>
      <c r="E14" s="579" t="s">
        <v>61</v>
      </c>
      <c r="F14" t="s">
        <v>3626</v>
      </c>
      <c r="G14" s="580">
        <v>8.5</v>
      </c>
    </row>
    <row r="15" spans="2:7">
      <c r="B15" s="577">
        <v>46077</v>
      </c>
      <c r="C15" s="578">
        <f t="shared" si="0"/>
        <v>2</v>
      </c>
      <c r="D15" t="s">
        <v>3614</v>
      </c>
      <c r="E15" s="579" t="s">
        <v>60</v>
      </c>
      <c r="F15" t="s">
        <v>3627</v>
      </c>
      <c r="G15" s="580">
        <v>8.5</v>
      </c>
    </row>
    <row r="16" spans="2:7">
      <c r="B16" s="577">
        <v>46078</v>
      </c>
      <c r="C16" s="578">
        <f t="shared" si="0"/>
        <v>2</v>
      </c>
      <c r="D16" t="s">
        <v>45</v>
      </c>
      <c r="E16" s="579" t="s">
        <v>60</v>
      </c>
      <c r="F16" t="s">
        <v>3623</v>
      </c>
      <c r="G16" s="580">
        <v>4</v>
      </c>
    </row>
    <row r="17" spans="2:7">
      <c r="B17" s="577">
        <v>46078</v>
      </c>
      <c r="C17" s="578">
        <f t="shared" si="0"/>
        <v>2</v>
      </c>
      <c r="D17" t="s">
        <v>3615</v>
      </c>
      <c r="E17" s="579" t="s">
        <v>3616</v>
      </c>
      <c r="F17" t="s">
        <v>3623</v>
      </c>
      <c r="G17" s="580">
        <v>4.5</v>
      </c>
    </row>
    <row r="18" spans="2:7">
      <c r="B18" s="577">
        <v>46078</v>
      </c>
      <c r="C18" s="578">
        <f t="shared" si="0"/>
        <v>2</v>
      </c>
      <c r="D18" t="s">
        <v>3610</v>
      </c>
      <c r="E18" s="579" t="s">
        <v>60</v>
      </c>
      <c r="F18" t="s">
        <v>3622</v>
      </c>
      <c r="G18" s="580">
        <v>8.5</v>
      </c>
    </row>
    <row r="19" spans="2:7">
      <c r="B19" s="577">
        <v>46078</v>
      </c>
      <c r="C19" s="578">
        <f t="shared" si="0"/>
        <v>2</v>
      </c>
      <c r="D19" t="s">
        <v>3608</v>
      </c>
      <c r="E19" s="579" t="s">
        <v>60</v>
      </c>
      <c r="F19" t="s">
        <v>3624</v>
      </c>
      <c r="G19" s="580">
        <v>8.5</v>
      </c>
    </row>
    <row r="20" spans="2:7">
      <c r="B20" s="577">
        <v>46078</v>
      </c>
      <c r="C20" s="578">
        <f t="shared" si="0"/>
        <v>2</v>
      </c>
      <c r="D20" t="s">
        <v>55</v>
      </c>
      <c r="E20" s="579" t="s">
        <v>61</v>
      </c>
      <c r="F20" t="s">
        <v>3625</v>
      </c>
      <c r="G20" s="580">
        <v>8.5</v>
      </c>
    </row>
    <row r="21" spans="2:7">
      <c r="B21" s="577">
        <v>46078</v>
      </c>
      <c r="C21" s="578">
        <f t="shared" si="0"/>
        <v>2</v>
      </c>
      <c r="D21" t="s">
        <v>55</v>
      </c>
      <c r="E21" s="579" t="s">
        <v>61</v>
      </c>
      <c r="F21" t="s">
        <v>3626</v>
      </c>
      <c r="G21" s="580">
        <v>8.5</v>
      </c>
    </row>
    <row r="22" spans="2:7">
      <c r="B22" s="577">
        <v>46078</v>
      </c>
      <c r="C22" s="578">
        <f t="shared" si="0"/>
        <v>2</v>
      </c>
      <c r="D22" t="s">
        <v>3614</v>
      </c>
      <c r="E22" s="579" t="s">
        <v>60</v>
      </c>
      <c r="F22" t="s">
        <v>3627</v>
      </c>
      <c r="G22" s="580">
        <v>8.5</v>
      </c>
    </row>
    <row r="23" spans="2:7">
      <c r="B23" s="577">
        <v>46079</v>
      </c>
      <c r="C23" s="578">
        <f t="shared" si="0"/>
        <v>2</v>
      </c>
      <c r="D23" t="s">
        <v>45</v>
      </c>
      <c r="E23" s="579" t="s">
        <v>60</v>
      </c>
      <c r="F23" t="s">
        <v>3623</v>
      </c>
      <c r="G23" s="580">
        <v>4</v>
      </c>
    </row>
    <row r="24" spans="2:7">
      <c r="B24" s="577">
        <v>46079</v>
      </c>
      <c r="C24" s="578">
        <f t="shared" si="0"/>
        <v>2</v>
      </c>
      <c r="D24" t="s">
        <v>3615</v>
      </c>
      <c r="E24" s="579" t="s">
        <v>3616</v>
      </c>
      <c r="F24" t="s">
        <v>3623</v>
      </c>
      <c r="G24" s="580">
        <v>4.5</v>
      </c>
    </row>
    <row r="25" spans="2:7">
      <c r="B25" s="577">
        <v>46079</v>
      </c>
      <c r="C25" s="578">
        <f t="shared" si="0"/>
        <v>2</v>
      </c>
      <c r="D25" t="s">
        <v>3610</v>
      </c>
      <c r="E25" s="579" t="s">
        <v>60</v>
      </c>
      <c r="F25" t="s">
        <v>3622</v>
      </c>
      <c r="G25" s="580">
        <v>8.5</v>
      </c>
    </row>
    <row r="26" spans="2:7">
      <c r="B26" s="577">
        <v>46079</v>
      </c>
      <c r="C26" s="578">
        <f t="shared" si="0"/>
        <v>2</v>
      </c>
      <c r="D26" t="s">
        <v>3608</v>
      </c>
      <c r="E26" s="579" t="s">
        <v>60</v>
      </c>
      <c r="F26" t="s">
        <v>3624</v>
      </c>
      <c r="G26" s="580">
        <v>8.5</v>
      </c>
    </row>
    <row r="27" spans="2:7">
      <c r="B27" s="577">
        <v>46079</v>
      </c>
      <c r="C27" s="578">
        <f t="shared" si="0"/>
        <v>2</v>
      </c>
      <c r="D27" t="s">
        <v>55</v>
      </c>
      <c r="E27" s="579" t="s">
        <v>61</v>
      </c>
      <c r="F27" t="s">
        <v>3625</v>
      </c>
      <c r="G27" s="580">
        <v>8.5</v>
      </c>
    </row>
    <row r="28" spans="2:7">
      <c r="B28" s="577">
        <v>46079</v>
      </c>
      <c r="C28" s="578">
        <f t="shared" si="0"/>
        <v>2</v>
      </c>
      <c r="D28" t="s">
        <v>55</v>
      </c>
      <c r="E28" s="579" t="s">
        <v>61</v>
      </c>
      <c r="F28" t="s">
        <v>3626</v>
      </c>
      <c r="G28" s="580">
        <v>8.5</v>
      </c>
    </row>
    <row r="29" spans="2:7">
      <c r="B29" s="577">
        <v>46079</v>
      </c>
      <c r="C29" s="578">
        <f t="shared" si="0"/>
        <v>2</v>
      </c>
      <c r="D29" t="s">
        <v>3610</v>
      </c>
      <c r="E29" s="579" t="s">
        <v>60</v>
      </c>
      <c r="F29" t="s">
        <v>3627</v>
      </c>
      <c r="G29" s="580">
        <v>8.5</v>
      </c>
    </row>
    <row r="30" spans="2:7">
      <c r="B30" s="577">
        <v>46080</v>
      </c>
      <c r="C30" s="578">
        <f t="shared" si="0"/>
        <v>2</v>
      </c>
      <c r="D30" t="s">
        <v>3610</v>
      </c>
      <c r="E30" s="579" t="s">
        <v>60</v>
      </c>
      <c r="F30" t="s">
        <v>3622</v>
      </c>
      <c r="G30" s="580">
        <v>8.5</v>
      </c>
    </row>
    <row r="31" spans="2:7">
      <c r="B31" s="577">
        <v>46080</v>
      </c>
      <c r="C31" s="578">
        <f t="shared" si="0"/>
        <v>2</v>
      </c>
      <c r="D31" t="s">
        <v>3615</v>
      </c>
      <c r="E31" s="579" t="s">
        <v>3616</v>
      </c>
      <c r="F31" t="s">
        <v>3623</v>
      </c>
      <c r="G31" s="580">
        <v>8.5</v>
      </c>
    </row>
    <row r="32" spans="2:7">
      <c r="B32" s="577">
        <v>46080</v>
      </c>
      <c r="C32" s="578">
        <f t="shared" si="0"/>
        <v>2</v>
      </c>
      <c r="D32" t="s">
        <v>3608</v>
      </c>
      <c r="E32" s="579" t="s">
        <v>60</v>
      </c>
      <c r="F32" t="s">
        <v>3624</v>
      </c>
      <c r="G32" s="580">
        <v>8.5</v>
      </c>
    </row>
    <row r="33" spans="2:7">
      <c r="B33" s="577">
        <v>46080</v>
      </c>
      <c r="C33" s="578">
        <f t="shared" si="0"/>
        <v>2</v>
      </c>
      <c r="D33" t="s">
        <v>55</v>
      </c>
      <c r="E33" s="579" t="s">
        <v>61</v>
      </c>
      <c r="F33" t="s">
        <v>3625</v>
      </c>
      <c r="G33" s="580">
        <v>8.5</v>
      </c>
    </row>
    <row r="34" spans="2:7">
      <c r="B34" s="577">
        <v>46080</v>
      </c>
      <c r="C34" s="578">
        <f t="shared" si="0"/>
        <v>2</v>
      </c>
      <c r="D34" t="s">
        <v>55</v>
      </c>
      <c r="E34" s="579" t="s">
        <v>61</v>
      </c>
      <c r="F34" t="s">
        <v>3626</v>
      </c>
      <c r="G34" s="580">
        <v>8.5</v>
      </c>
    </row>
    <row r="35" spans="2:7">
      <c r="B35" s="577">
        <v>46080</v>
      </c>
      <c r="C35" s="578">
        <f t="shared" si="0"/>
        <v>2</v>
      </c>
      <c r="D35" t="s">
        <v>3614</v>
      </c>
      <c r="E35" s="579" t="s">
        <v>60</v>
      </c>
      <c r="F35" t="s">
        <v>3627</v>
      </c>
      <c r="G35" s="580">
        <v>8.5</v>
      </c>
    </row>
    <row r="36" spans="2:7">
      <c r="B36" s="577">
        <v>46081</v>
      </c>
      <c r="C36" s="578">
        <f t="shared" si="0"/>
        <v>2</v>
      </c>
      <c r="D36" t="s">
        <v>3615</v>
      </c>
      <c r="E36" s="579" t="s">
        <v>3616</v>
      </c>
      <c r="F36" t="s">
        <v>3623</v>
      </c>
      <c r="G36" s="580">
        <v>2.5</v>
      </c>
    </row>
    <row r="37" spans="2:7">
      <c r="B37" s="577">
        <v>46081</v>
      </c>
      <c r="C37" s="578">
        <f t="shared" si="0"/>
        <v>2</v>
      </c>
      <c r="D37" t="s">
        <v>44</v>
      </c>
      <c r="E37" s="579" t="s">
        <v>3544</v>
      </c>
      <c r="F37" t="s">
        <v>3623</v>
      </c>
      <c r="G37" s="580">
        <v>3</v>
      </c>
    </row>
    <row r="38" spans="2:7">
      <c r="B38" s="577">
        <v>46081</v>
      </c>
      <c r="C38" s="578">
        <f t="shared" si="0"/>
        <v>2</v>
      </c>
      <c r="D38" t="s">
        <v>3617</v>
      </c>
      <c r="E38" s="579" t="s">
        <v>60</v>
      </c>
      <c r="F38" t="s">
        <v>3622</v>
      </c>
      <c r="G38" s="580">
        <v>5.5</v>
      </c>
    </row>
    <row r="39" spans="2:7">
      <c r="B39" s="577">
        <v>46081</v>
      </c>
      <c r="C39" s="578">
        <f t="shared" si="0"/>
        <v>2</v>
      </c>
      <c r="D39" t="s">
        <v>3617</v>
      </c>
      <c r="E39" s="579" t="s">
        <v>60</v>
      </c>
      <c r="F39" t="s">
        <v>3624</v>
      </c>
      <c r="G39" s="580">
        <v>5.5</v>
      </c>
    </row>
    <row r="40" spans="2:7">
      <c r="B40" s="577">
        <v>46081</v>
      </c>
      <c r="C40" s="578">
        <f t="shared" si="0"/>
        <v>2</v>
      </c>
      <c r="D40" t="s">
        <v>55</v>
      </c>
      <c r="E40" s="579" t="s">
        <v>61</v>
      </c>
      <c r="F40" t="s">
        <v>3625</v>
      </c>
      <c r="G40" s="580">
        <v>5.5</v>
      </c>
    </row>
    <row r="41" spans="2:7">
      <c r="B41" s="577">
        <v>46081</v>
      </c>
      <c r="C41" s="578">
        <f t="shared" si="0"/>
        <v>2</v>
      </c>
      <c r="D41" t="s">
        <v>55</v>
      </c>
      <c r="E41" s="579" t="s">
        <v>61</v>
      </c>
      <c r="F41" t="s">
        <v>3626</v>
      </c>
      <c r="G41" s="580">
        <v>5.5</v>
      </c>
    </row>
    <row r="42" spans="2:7">
      <c r="B42" s="577">
        <v>46081</v>
      </c>
      <c r="C42" s="578">
        <f t="shared" si="0"/>
        <v>2</v>
      </c>
      <c r="D42" t="s">
        <v>3614</v>
      </c>
      <c r="E42" s="579" t="s">
        <v>60</v>
      </c>
      <c r="F42" t="s">
        <v>3627</v>
      </c>
      <c r="G42" s="580">
        <v>5.5</v>
      </c>
    </row>
    <row r="43" spans="2:7">
      <c r="B43" s="577">
        <v>46069</v>
      </c>
      <c r="C43" s="578">
        <f t="shared" ref="C43:C60" si="1">WEEKNUM(B43,2)-7</f>
        <v>1</v>
      </c>
      <c r="D43" t="s">
        <v>3596</v>
      </c>
      <c r="E43" s="579" t="s">
        <v>3597</v>
      </c>
      <c r="F43" t="s">
        <v>3622</v>
      </c>
      <c r="G43" s="580">
        <v>8.5</v>
      </c>
    </row>
    <row r="44" spans="2:7">
      <c r="B44" s="577">
        <v>46069</v>
      </c>
      <c r="C44" s="578">
        <f t="shared" si="1"/>
        <v>1</v>
      </c>
      <c r="D44" t="s">
        <v>3596</v>
      </c>
      <c r="E44" s="579" t="s">
        <v>3597</v>
      </c>
      <c r="F44" t="s">
        <v>3623</v>
      </c>
      <c r="G44" s="580">
        <v>8.5</v>
      </c>
    </row>
    <row r="45" spans="2:7">
      <c r="B45" s="577">
        <v>46070</v>
      </c>
      <c r="C45" s="578">
        <f t="shared" si="1"/>
        <v>1</v>
      </c>
      <c r="D45" t="s">
        <v>3628</v>
      </c>
      <c r="E45" s="579" t="s">
        <v>3597</v>
      </c>
      <c r="F45" t="s">
        <v>3622</v>
      </c>
      <c r="G45" s="580">
        <v>8.5</v>
      </c>
    </row>
    <row r="46" spans="2:7">
      <c r="B46" s="577">
        <v>46070</v>
      </c>
      <c r="C46" s="578">
        <f t="shared" si="1"/>
        <v>1</v>
      </c>
      <c r="D46" t="s">
        <v>3628</v>
      </c>
      <c r="E46" s="579" t="s">
        <v>3597</v>
      </c>
      <c r="F46" t="s">
        <v>3623</v>
      </c>
      <c r="G46" s="580">
        <v>8.5</v>
      </c>
    </row>
    <row r="47" spans="2:7">
      <c r="B47" s="577">
        <v>46071</v>
      </c>
      <c r="C47" s="578">
        <f t="shared" si="1"/>
        <v>1</v>
      </c>
      <c r="D47" t="s">
        <v>3629</v>
      </c>
      <c r="E47" s="579" t="s">
        <v>3597</v>
      </c>
      <c r="F47" t="s">
        <v>3622</v>
      </c>
      <c r="G47" s="580">
        <v>4</v>
      </c>
    </row>
    <row r="48" spans="2:7">
      <c r="B48" s="577">
        <v>46071</v>
      </c>
      <c r="C48" s="578">
        <f t="shared" si="1"/>
        <v>1</v>
      </c>
      <c r="D48" t="s">
        <v>65</v>
      </c>
      <c r="E48" s="579" t="s">
        <v>64</v>
      </c>
      <c r="F48" t="s">
        <v>3622</v>
      </c>
      <c r="G48" s="580">
        <v>4.5</v>
      </c>
    </row>
    <row r="49" spans="2:7">
      <c r="B49" s="577">
        <v>46071</v>
      </c>
      <c r="C49" s="578">
        <f t="shared" si="1"/>
        <v>1</v>
      </c>
      <c r="D49" t="s">
        <v>3629</v>
      </c>
      <c r="E49" s="579" t="s">
        <v>3597</v>
      </c>
      <c r="F49" t="s">
        <v>3623</v>
      </c>
      <c r="G49" s="580">
        <v>4</v>
      </c>
    </row>
    <row r="50" spans="2:7">
      <c r="B50" s="577">
        <v>46071</v>
      </c>
      <c r="C50" s="578">
        <f t="shared" si="1"/>
        <v>1</v>
      </c>
      <c r="D50" t="s">
        <v>65</v>
      </c>
      <c r="E50" s="579" t="s">
        <v>64</v>
      </c>
      <c r="F50" t="s">
        <v>3623</v>
      </c>
      <c r="G50" s="580">
        <v>4.5</v>
      </c>
    </row>
    <row r="51" spans="2:7">
      <c r="B51" s="577">
        <v>46072</v>
      </c>
      <c r="C51" s="578">
        <f t="shared" si="1"/>
        <v>1</v>
      </c>
      <c r="D51" t="s">
        <v>3596</v>
      </c>
      <c r="E51" s="579" t="s">
        <v>3597</v>
      </c>
      <c r="F51" t="s">
        <v>3622</v>
      </c>
      <c r="G51" s="580">
        <v>4.5</v>
      </c>
    </row>
    <row r="52" spans="2:7">
      <c r="B52" s="577">
        <v>46072</v>
      </c>
      <c r="C52" s="578">
        <f t="shared" si="1"/>
        <v>1</v>
      </c>
      <c r="D52" t="s">
        <v>45</v>
      </c>
      <c r="E52" s="579" t="s">
        <v>60</v>
      </c>
      <c r="F52" t="s">
        <v>3622</v>
      </c>
      <c r="G52" s="580">
        <v>4</v>
      </c>
    </row>
    <row r="53" spans="2:7">
      <c r="B53" s="577">
        <v>46072</v>
      </c>
      <c r="C53" s="578">
        <f t="shared" si="1"/>
        <v>1</v>
      </c>
      <c r="D53" t="s">
        <v>3596</v>
      </c>
      <c r="E53" s="579" t="s">
        <v>3597</v>
      </c>
      <c r="F53" t="s">
        <v>3623</v>
      </c>
      <c r="G53" s="580">
        <v>4.5</v>
      </c>
    </row>
    <row r="54" spans="2:7">
      <c r="B54" s="577">
        <v>46072</v>
      </c>
      <c r="C54" s="578">
        <f t="shared" si="1"/>
        <v>1</v>
      </c>
      <c r="D54" t="s">
        <v>45</v>
      </c>
      <c r="E54" s="579" t="s">
        <v>60</v>
      </c>
      <c r="F54" t="s">
        <v>3623</v>
      </c>
      <c r="G54" s="580">
        <v>4</v>
      </c>
    </row>
    <row r="55" spans="2:7">
      <c r="B55" s="577">
        <v>46073</v>
      </c>
      <c r="C55" s="578">
        <f t="shared" si="1"/>
        <v>1</v>
      </c>
      <c r="D55" t="s">
        <v>3528</v>
      </c>
      <c r="E55" s="579" t="s">
        <v>117</v>
      </c>
      <c r="F55" t="s">
        <v>3622</v>
      </c>
      <c r="G55" s="580">
        <v>8.5</v>
      </c>
    </row>
    <row r="56" spans="2:7">
      <c r="B56" s="577">
        <v>46073</v>
      </c>
      <c r="C56" s="578">
        <f t="shared" si="1"/>
        <v>1</v>
      </c>
      <c r="D56" t="s">
        <v>3528</v>
      </c>
      <c r="E56" s="579" t="s">
        <v>117</v>
      </c>
      <c r="F56" t="s">
        <v>3623</v>
      </c>
      <c r="G56" s="580">
        <v>8.5</v>
      </c>
    </row>
    <row r="57" spans="2:7">
      <c r="B57" s="577">
        <v>46074</v>
      </c>
      <c r="C57" s="578">
        <f t="shared" si="1"/>
        <v>1</v>
      </c>
      <c r="D57" t="s">
        <v>44</v>
      </c>
      <c r="E57" s="579" t="s">
        <v>3544</v>
      </c>
      <c r="F57" t="s">
        <v>3622</v>
      </c>
      <c r="G57" s="580">
        <v>3</v>
      </c>
    </row>
    <row r="58" spans="2:7">
      <c r="B58" s="577">
        <v>46074</v>
      </c>
      <c r="C58" s="578">
        <f t="shared" si="1"/>
        <v>1</v>
      </c>
      <c r="D58" t="s">
        <v>3598</v>
      </c>
      <c r="E58" s="579" t="s">
        <v>873</v>
      </c>
      <c r="F58" t="s">
        <v>3622</v>
      </c>
      <c r="G58" s="580">
        <v>2.5</v>
      </c>
    </row>
    <row r="59" spans="2:7">
      <c r="B59" s="577">
        <v>46074</v>
      </c>
      <c r="C59" s="578">
        <f t="shared" si="1"/>
        <v>1</v>
      </c>
      <c r="D59" t="s">
        <v>44</v>
      </c>
      <c r="E59" s="579" t="s">
        <v>3544</v>
      </c>
      <c r="F59" t="s">
        <v>3623</v>
      </c>
      <c r="G59" s="580">
        <v>3</v>
      </c>
    </row>
    <row r="60" spans="2:7">
      <c r="B60" s="577">
        <v>46074</v>
      </c>
      <c r="C60" s="578">
        <f t="shared" si="1"/>
        <v>1</v>
      </c>
      <c r="D60" t="s">
        <v>3598</v>
      </c>
      <c r="E60" s="579" t="s">
        <v>873</v>
      </c>
      <c r="F60" t="s">
        <v>3623</v>
      </c>
      <c r="G60" s="580">
        <v>2.5</v>
      </c>
    </row>
  </sheetData>
  <autoFilter ref="B3:G3" xr:uid="{47008F96-05AB-44FA-A26A-8F98A390F66D}">
    <sortState xmlns:xlrd2="http://schemas.microsoft.com/office/spreadsheetml/2017/richdata2" ref="B4:G42">
      <sortCondition ref="B3"/>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9CF4FD052B904192126259567E8B60" ma:contentTypeVersion="20" ma:contentTypeDescription="Create a new document." ma:contentTypeScope="" ma:versionID="474651a848c2bf2d6a8f8055fa78b7b3">
  <xsd:schema xmlns:xsd="http://www.w3.org/2001/XMLSchema" xmlns:xs="http://www.w3.org/2001/XMLSchema" xmlns:p="http://schemas.microsoft.com/office/2006/metadata/properties" xmlns:ns2="2f549032-4865-4e0d-a2fc-0352d06fe2bf" xmlns:ns3="951ee25e-9dca-43c9-b53d-0ef97cc4ddc2" targetNamespace="http://schemas.microsoft.com/office/2006/metadata/properties" ma:root="true" ma:fieldsID="8b23006f8c64cb7e219e6c1a48b83f24" ns2:_="" ns3:_="">
    <xsd:import namespace="2f549032-4865-4e0d-a2fc-0352d06fe2bf"/>
    <xsd:import namespace="951ee25e-9dca-43c9-b53d-0ef97cc4ddc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549032-4865-4e0d-a2fc-0352d06fe2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09c8d69-c7f0-4da1-a9f4-a6304ebc87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1ee25e-9dca-43c9-b53d-0ef97cc4ddc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fe6cbb3-4629-41c0-845a-663f58f2505e}" ma:internalName="TaxCatchAll" ma:showField="CatchAllData" ma:web="951ee25e-9dca-43c9-b53d-0ef97cc4dd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549032-4865-4e0d-a2fc-0352d06fe2bf">
      <Terms xmlns="http://schemas.microsoft.com/office/infopath/2007/PartnerControls"/>
    </lcf76f155ced4ddcb4097134ff3c332f>
    <TaxCatchAll xmlns="951ee25e-9dca-43c9-b53d-0ef97cc4ddc2" xsi:nil="true"/>
  </documentManagement>
</p:properties>
</file>

<file path=customXml/itemProps1.xml><?xml version="1.0" encoding="utf-8"?>
<ds:datastoreItem xmlns:ds="http://schemas.openxmlformats.org/officeDocument/2006/customXml" ds:itemID="{1A4A48C2-54EE-4318-B6BD-1B8434C9402B}">
  <ds:schemaRefs>
    <ds:schemaRef ds:uri="http://schemas.microsoft.com/sharepoint/v3/contenttype/forms"/>
  </ds:schemaRefs>
</ds:datastoreItem>
</file>

<file path=customXml/itemProps2.xml><?xml version="1.0" encoding="utf-8"?>
<ds:datastoreItem xmlns:ds="http://schemas.openxmlformats.org/officeDocument/2006/customXml" ds:itemID="{B5606B86-46E8-47F3-99E1-25C8F686A7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549032-4865-4e0d-a2fc-0352d06fe2bf"/>
    <ds:schemaRef ds:uri="951ee25e-9dca-43c9-b53d-0ef97cc4d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FD0C8C-3393-4556-9959-F543BAA406E0}">
  <ds:schemaRefs>
    <ds:schemaRef ds:uri="http://schemas.microsoft.com/office/2006/metadata/properties"/>
    <ds:schemaRef ds:uri="http://schemas.microsoft.com/office/infopath/2007/PartnerControls"/>
    <ds:schemaRef ds:uri="2f549032-4865-4e0d-a2fc-0352d06fe2bf"/>
    <ds:schemaRef ds:uri="951ee25e-9dca-43c9-b53d-0ef97cc4dd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PRESUPUESTO DE OBRA</vt:lpstr>
      <vt:lpstr>TAREO SEMANAL</vt:lpstr>
      <vt:lpstr>Hoja1</vt:lpstr>
      <vt:lpstr>TAREO ACTIVIDADES TOTAL</vt:lpstr>
      <vt:lpstr>TAREO LUNES</vt:lpstr>
      <vt:lpstr>TAREO MARTES</vt:lpstr>
      <vt:lpstr>TAREO MIERCOLES</vt:lpstr>
      <vt:lpstr>TAREO JUEVES</vt:lpstr>
      <vt:lpstr>TAREO VIERNES</vt:lpstr>
      <vt:lpstr>TAREO SABADO</vt:lpstr>
      <vt:lpstr>SEM_2</vt:lpstr>
      <vt:lpstr>'TAREO SABADO'!_FilterDatabase</vt:lpstr>
      <vt:lpstr>'TAREO SEMANAL'!Área_de_impresión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2207TK0502330</dc:creator>
  <cp:lastModifiedBy>Yrving Leon</cp:lastModifiedBy>
  <cp:lastPrinted>2025-09-01T21:10:49Z</cp:lastPrinted>
  <dcterms:created xsi:type="dcterms:W3CDTF">2024-03-21T16:06:38Z</dcterms:created>
  <dcterms:modified xsi:type="dcterms:W3CDTF">2026-03-21T05:30:45Z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0x0101004C9CF4FD052B904192126259567E8B60</vt:lpwstr>
  </property>
  <property fmtid="{D5CDD505-2E9C-101B-9397-08002B2CF9AE}" pid="3" name="MediaServiceImageTags">
    <vt:lpwstr/>
  </property>
</Properties>
</file>